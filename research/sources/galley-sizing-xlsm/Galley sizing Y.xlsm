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c062b757cf6026fc/Documents/rowing project/Pentaconter/"/>
    </mc:Choice>
  </mc:AlternateContent>
  <xr:revisionPtr revIDLastSave="0" documentId="13_ncr:1_{DC333BA2-6A75-433E-BAA1-C94B6637A201}" xr6:coauthVersionLast="47" xr6:coauthVersionMax="47" xr10:uidLastSave="{00000000-0000-0000-0000-000000000000}"/>
  <bookViews>
    <workbookView xWindow="-120" yWindow="-120" windowWidth="38640" windowHeight="21120" tabRatio="762" activeTab="1" xr2:uid="{C7BA2469-BD14-4974-8C8C-514A4B160EFD}"/>
  </bookViews>
  <sheets>
    <sheet name="Readme" sheetId="3" r:id="rId1"/>
    <sheet name="Input" sheetId="11" r:id="rId2"/>
    <sheet name="Weight" sheetId="20" r:id="rId3"/>
    <sheet name="Manoevering" sheetId="22" r:id="rId4"/>
    <sheet name="Simulation" sheetId="23" r:id="rId5"/>
    <sheet name="Powering" sheetId="21" r:id="rId6"/>
    <sheet name="Basis Hull" sheetId="19" r:id="rId7"/>
    <sheet name="Transform" sheetId="5" r:id="rId8"/>
    <sheet name="Lines " sheetId="15" r:id="rId9"/>
  </sheets>
  <functionGroups builtInGroupCount="19"/>
  <externalReferences>
    <externalReference r:id="rId10"/>
    <externalReference r:id="rId11"/>
  </externalReferences>
  <definedNames>
    <definedName name="_xleta.IF" hidden="1" xlm="1">#NAME?</definedName>
    <definedName name="_xleta.NOT" hidden="1" xlm="1">#NAME?</definedName>
    <definedName name="AREA_ss" localSheetId="6">'Basis Hull'!#REF!</definedName>
    <definedName name="AREA_ss">Transform!#REF!</definedName>
    <definedName name="AREA03">Input!#REF!</definedName>
    <definedName name="AREA1" localSheetId="6">'Basis Hull'!#REF!</definedName>
    <definedName name="AREA1">Transform!#REF!</definedName>
    <definedName name="AREA2" localSheetId="6">'Basis Hull'!#REF!</definedName>
    <definedName name="AREA2">Transform!#REF!</definedName>
    <definedName name="AREA3" localSheetId="6">'Basis Hull'!#REF!</definedName>
    <definedName name="AREA3">Transform!#REF!</definedName>
    <definedName name="AREA4" localSheetId="6">'Basis Hull'!#REF!</definedName>
    <definedName name="AREA4">Transform!#REF!</definedName>
    <definedName name="AREA5" localSheetId="6">'Basis Hull'!#REF!</definedName>
    <definedName name="AREA5">Transform!#REF!</definedName>
    <definedName name="AREABhd" localSheetId="6">'Basis Hull'!#REF!</definedName>
    <definedName name="AREABhd">Transform!#REF!</definedName>
    <definedName name="AREAss">#REF!</definedName>
    <definedName name="AREAtot">#REF!</definedName>
    <definedName name="BOA">Input!$C$57</definedName>
    <definedName name="Bss">Input!#REF!</definedName>
    <definedName name="BWL">Input!$C$74</definedName>
    <definedName name="D">Input!$B$8</definedName>
    <definedName name="_xlnm.Database">#REF!</definedName>
    <definedName name="Dk_3">Input!#REF!</definedName>
    <definedName name="Dk_ss" localSheetId="6">'Basis Hull'!#REF!</definedName>
    <definedName name="Dk_ss">Transform!#REF!</definedName>
    <definedName name="Dk2_">Input!#REF!</definedName>
    <definedName name="Dk3_">Input!#REF!</definedName>
    <definedName name="Dk4_">Input!#REF!</definedName>
    <definedName name="Dk5_">Input!#REF!</definedName>
    <definedName name="Dub">Input!#REF!</definedName>
    <definedName name="h" localSheetId="6">'Basis Hull'!$B$47</definedName>
    <definedName name="h">Transform!$B$86</definedName>
    <definedName name="HullSA">Transform!$C$314</definedName>
    <definedName name="KinVisc">#REF!</definedName>
    <definedName name="Length_mh">'[1]Input data'!$C$3</definedName>
    <definedName name="LOA">Input!$B$5</definedName>
    <definedName name="Lss">Input!#REF!</definedName>
    <definedName name="LWL">Input!$B$6</definedName>
    <definedName name="Mast">Input!#REF!</definedName>
    <definedName name="NIDSS">Input!#REF!</definedName>
    <definedName name="Prop_type">'[2]FuelCalc Summary'!$D$2</definedName>
    <definedName name="T">Input!$B$10</definedName>
    <definedName name="TCOMP">Input!#REF!</definedName>
    <definedName name="U">#REF!</definedName>
    <definedName name="VOLss" localSheetId="6">'Basis Hull'!#REF!</definedName>
    <definedName name="VOLss">Transform!#REF!</definedName>
    <definedName name="VOLT" localSheetId="6">'Basis Hull'!#REF!</definedName>
    <definedName name="VOLT">Transform!#REF!</definedName>
    <definedName name="VOLTT" localSheetId="6">'Basis Hull'!#REF!</definedName>
    <definedName name="VOLTT">Transform!#REF!</definedName>
    <definedName name="W_1">#REF!</definedName>
    <definedName name="W_2">#REF!</definedName>
    <definedName name="W_3">#REF!</definedName>
    <definedName name="W_4">#REF!</definedName>
    <definedName name="W_5">#REF!</definedName>
    <definedName name="W_6">#REF!</definedName>
    <definedName name="W_7">#REF!</definedName>
    <definedName name="W_8">#REF!</definedName>
    <definedName name="W_9">#REF!</definedName>
    <definedName name="WSA">Input!$C$76</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4" i="11" l="1"/>
  <c r="N41" i="22" a="1"/>
  <c r="L41" i="22" a="1"/>
  <c r="B23" i="22"/>
  <c r="Y55" i="21"/>
  <c r="E55" i="21"/>
  <c r="C56" i="21"/>
  <c r="B71" i="21"/>
  <c r="B70" i="21"/>
  <c r="B69" i="21"/>
  <c r="B68" i="21"/>
  <c r="B67" i="21"/>
  <c r="B66" i="21"/>
  <c r="B65" i="21"/>
  <c r="B64" i="21"/>
  <c r="B63" i="21"/>
  <c r="B62" i="21"/>
  <c r="B61" i="21"/>
  <c r="B60" i="21"/>
  <c r="B59" i="21"/>
  <c r="B58" i="21"/>
  <c r="B57" i="21"/>
  <c r="B56" i="21"/>
  <c r="B55" i="21"/>
  <c r="C23" i="22"/>
  <c r="A6" i="23"/>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G137" i="22"/>
  <c r="F137" i="22"/>
  <c r="E137" i="22"/>
  <c r="D137" i="22"/>
  <c r="C137" i="22"/>
  <c r="B137" i="22"/>
  <c r="G41" i="22"/>
  <c r="F41" i="22"/>
  <c r="D41" i="22"/>
  <c r="C41" i="22"/>
  <c r="B41" i="22"/>
  <c r="Y29" i="11"/>
  <c r="D55" i="21" l="1"/>
  <c r="D71" i="21"/>
  <c r="E71" i="21" s="1"/>
  <c r="F71" i="21" s="1"/>
  <c r="D70" i="21"/>
  <c r="E70" i="21" s="1"/>
  <c r="F70" i="21" s="1"/>
  <c r="D69" i="21"/>
  <c r="E69" i="21" s="1"/>
  <c r="F69" i="21" s="1"/>
  <c r="D68" i="21"/>
  <c r="E68" i="21" s="1"/>
  <c r="F68" i="21"/>
  <c r="D67" i="21"/>
  <c r="E67" i="21" s="1"/>
  <c r="F67" i="21" s="1"/>
  <c r="D66" i="21"/>
  <c r="E66" i="21" s="1"/>
  <c r="F66" i="21" s="1"/>
  <c r="D65" i="21"/>
  <c r="E65" i="21" s="1"/>
  <c r="F65" i="21" s="1"/>
  <c r="D64" i="21"/>
  <c r="E64" i="21" s="1"/>
  <c r="F64" i="21" s="1"/>
  <c r="D63" i="21"/>
  <c r="E63" i="21" s="1"/>
  <c r="F63" i="21" s="1"/>
  <c r="D62" i="21"/>
  <c r="E62" i="21" s="1"/>
  <c r="F62" i="21" s="1"/>
  <c r="D61" i="21"/>
  <c r="E61" i="21" s="1"/>
  <c r="F61" i="21" s="1"/>
  <c r="D60" i="21"/>
  <c r="E60" i="21" s="1"/>
  <c r="F60" i="21" s="1"/>
  <c r="D59" i="21"/>
  <c r="E59" i="21" s="1"/>
  <c r="F59" i="21" s="1"/>
  <c r="D58" i="21"/>
  <c r="E58" i="21" s="1"/>
  <c r="F58" i="21" s="1"/>
  <c r="D57" i="21"/>
  <c r="E57" i="21" s="1"/>
  <c r="F57" i="21" s="1"/>
  <c r="D56" i="21"/>
  <c r="E56" i="21" s="1"/>
  <c r="F56" i="21" s="1"/>
  <c r="N55" i="21"/>
  <c r="C33" i="22"/>
  <c r="B33" i="22"/>
  <c r="O80" i="21"/>
  <c r="L56" i="21"/>
  <c r="H76" i="20"/>
  <c r="E76" i="20"/>
  <c r="E14" i="20"/>
  <c r="E13" i="20"/>
  <c r="E12" i="20"/>
  <c r="E11" i="20"/>
  <c r="E8" i="20"/>
  <c r="E7" i="20"/>
  <c r="E6" i="20"/>
  <c r="E5" i="20"/>
  <c r="E46" i="20"/>
  <c r="G46" i="20" s="1"/>
  <c r="I46" i="20"/>
  <c r="E49" i="20"/>
  <c r="E48" i="20"/>
  <c r="E47" i="20"/>
  <c r="I49" i="20"/>
  <c r="I48" i="20"/>
  <c r="G48" i="20"/>
  <c r="I47" i="20"/>
  <c r="E30" i="20"/>
  <c r="H22" i="20"/>
  <c r="I22" i="20"/>
  <c r="G22" i="20"/>
  <c r="E64" i="20"/>
  <c r="H64" i="20" s="1"/>
  <c r="I64" i="20"/>
  <c r="G64" i="20"/>
  <c r="E20" i="20"/>
  <c r="E52" i="20"/>
  <c r="H49" i="20" s="1"/>
  <c r="E51" i="20"/>
  <c r="H48" i="20" s="1"/>
  <c r="E50" i="20"/>
  <c r="H47" i="20" s="1"/>
  <c r="C15" i="22"/>
  <c r="C16" i="22"/>
  <c r="C14" i="22"/>
  <c r="C13" i="22"/>
  <c r="C12" i="22"/>
  <c r="C11" i="22"/>
  <c r="C10" i="22"/>
  <c r="N137" i="22" l="1" a="1"/>
  <c r="L137" i="22" a="1"/>
  <c r="P137" i="22" a="1"/>
  <c r="Q137" i="22" a="1"/>
  <c r="O137" i="22" a="1"/>
  <c r="H46" i="20"/>
  <c r="J46" i="20" s="1"/>
  <c r="J49" i="20"/>
  <c r="J48" i="20"/>
  <c r="J47" i="20"/>
  <c r="G47" i="20"/>
  <c r="G49" i="20"/>
  <c r="J22" i="20"/>
  <c r="J64" i="20"/>
  <c r="C3" i="22"/>
  <c r="L63" i="11"/>
  <c r="I63" i="11"/>
  <c r="H63" i="11"/>
  <c r="B12" i="22"/>
  <c r="O41" i="22" s="1" a="1"/>
  <c r="N56" i="21"/>
  <c r="M63" i="21"/>
  <c r="M64" i="21" s="1"/>
  <c r="M65" i="21" s="1"/>
  <c r="M66" i="21" s="1"/>
  <c r="M67" i="21" s="1"/>
  <c r="M68" i="21" s="1"/>
  <c r="M69" i="21" s="1"/>
  <c r="M70" i="21" s="1"/>
  <c r="N73" i="21"/>
  <c r="N74" i="21" s="1"/>
  <c r="K61" i="11"/>
  <c r="H66" i="11"/>
  <c r="J66" i="11" s="1"/>
  <c r="K66" i="11" s="1"/>
  <c r="B51" i="11"/>
  <c r="A138" i="22"/>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C9" i="22"/>
  <c r="C5" i="22"/>
  <c r="J63" i="11" l="1"/>
  <c r="B37" i="22"/>
  <c r="A43" i="22"/>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G77" i="21" l="1"/>
  <c r="Z55" i="21"/>
  <c r="C4" i="21"/>
  <c r="C58" i="21"/>
  <c r="G88" i="21" a="1"/>
  <c r="Q88" i="21" a="1"/>
  <c r="Q56" i="21" l="1"/>
  <c r="T56" i="21" s="1" a="1"/>
  <c r="R71" i="21"/>
  <c r="S71" i="21" s="1"/>
  <c r="R70" i="21"/>
  <c r="S70" i="21" s="1"/>
  <c r="R69" i="21"/>
  <c r="S69" i="21" s="1"/>
  <c r="R68" i="21"/>
  <c r="S68" i="21" s="1"/>
  <c r="R67" i="21"/>
  <c r="S67" i="21" s="1"/>
  <c r="R66" i="21"/>
  <c r="S66" i="21" s="1"/>
  <c r="R65" i="21"/>
  <c r="S65" i="21" s="1"/>
  <c r="R64" i="21"/>
  <c r="S64" i="21" s="1"/>
  <c r="R62" i="21"/>
  <c r="S62" i="21" s="1"/>
  <c r="R61" i="21"/>
  <c r="S61" i="21" s="1"/>
  <c r="R60" i="21"/>
  <c r="S60" i="21" s="1"/>
  <c r="R59" i="21"/>
  <c r="S59" i="21" s="1"/>
  <c r="R58" i="21"/>
  <c r="S58" i="21" s="1"/>
  <c r="R57" i="21"/>
  <c r="S57" i="21" s="1"/>
  <c r="R56" i="21"/>
  <c r="S56" i="21" s="1"/>
  <c r="R63" i="21"/>
  <c r="S63" i="21" s="1"/>
  <c r="R55" i="21"/>
  <c r="Q63" i="21"/>
  <c r="T63" i="21" s="1" a="1"/>
  <c r="C71" i="21"/>
  <c r="C70" i="21"/>
  <c r="C69" i="21"/>
  <c r="C68" i="21"/>
  <c r="C67" i="21"/>
  <c r="C66" i="21"/>
  <c r="C65" i="21"/>
  <c r="C64" i="21"/>
  <c r="C63" i="21"/>
  <c r="C62" i="21"/>
  <c r="C61" i="21"/>
  <c r="C60" i="21"/>
  <c r="C59" i="21"/>
  <c r="C57" i="21"/>
  <c r="B11" i="21"/>
  <c r="A98" i="2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L71" i="21"/>
  <c r="N71" i="21" s="1"/>
  <c r="Z71" i="21" s="1"/>
  <c r="L70" i="21"/>
  <c r="N70" i="21" s="1"/>
  <c r="Z70" i="21" s="1"/>
  <c r="L69" i="21"/>
  <c r="N69" i="21" s="1"/>
  <c r="Z69" i="21" s="1"/>
  <c r="L68" i="21"/>
  <c r="N68" i="21" s="1"/>
  <c r="Z68" i="21" s="1"/>
  <c r="L67" i="21"/>
  <c r="N67" i="21" s="1"/>
  <c r="Z67" i="21" s="1"/>
  <c r="L66" i="21"/>
  <c r="N66" i="21" s="1"/>
  <c r="Z66" i="21" s="1"/>
  <c r="L65" i="21"/>
  <c r="N65" i="21" s="1"/>
  <c r="Z65" i="21" s="1"/>
  <c r="L64" i="21"/>
  <c r="N64" i="21" s="1"/>
  <c r="Z64" i="21" s="1"/>
  <c r="L63" i="21"/>
  <c r="N63" i="21" s="1"/>
  <c r="Z63" i="21" s="1"/>
  <c r="L62" i="21"/>
  <c r="N62" i="21" s="1"/>
  <c r="Z62" i="21" s="1"/>
  <c r="L61" i="21"/>
  <c r="N61" i="21" s="1"/>
  <c r="Z61" i="21" s="1"/>
  <c r="L60" i="21"/>
  <c r="N60" i="21" s="1"/>
  <c r="Z60" i="21" s="1"/>
  <c r="L59" i="21"/>
  <c r="N59" i="21" s="1"/>
  <c r="L58" i="21"/>
  <c r="N58" i="21" s="1"/>
  <c r="Z58" i="21" s="1"/>
  <c r="L57" i="21"/>
  <c r="N57" i="21" s="1"/>
  <c r="Z57" i="21" s="1"/>
  <c r="Z56" i="21"/>
  <c r="G71" i="21"/>
  <c r="H71" i="21" s="1"/>
  <c r="I71" i="21" s="1"/>
  <c r="G70" i="21"/>
  <c r="H70" i="21" s="1"/>
  <c r="I70" i="21" s="1"/>
  <c r="G69" i="21"/>
  <c r="H69" i="21" s="1"/>
  <c r="I69" i="21" s="1"/>
  <c r="G68" i="21"/>
  <c r="H68" i="21" s="1"/>
  <c r="I68" i="21" s="1"/>
  <c r="G67" i="21"/>
  <c r="H67" i="21" s="1"/>
  <c r="I67" i="21" s="1"/>
  <c r="G66" i="21"/>
  <c r="H66" i="21" s="1"/>
  <c r="I66" i="21" s="1"/>
  <c r="G65" i="21"/>
  <c r="H65" i="21" s="1"/>
  <c r="I65" i="21" s="1"/>
  <c r="G64" i="21"/>
  <c r="H64" i="21" s="1"/>
  <c r="I64" i="21" s="1"/>
  <c r="G63" i="21"/>
  <c r="H63" i="21" s="1"/>
  <c r="I63" i="21" s="1"/>
  <c r="G62" i="21"/>
  <c r="H62" i="21" s="1"/>
  <c r="I62" i="21" s="1"/>
  <c r="G61" i="21"/>
  <c r="H61" i="21" s="1"/>
  <c r="I61" i="21" s="1"/>
  <c r="G60" i="21"/>
  <c r="H60" i="21" s="1"/>
  <c r="I60" i="21" s="1"/>
  <c r="G59" i="21"/>
  <c r="H59" i="21" s="1"/>
  <c r="I59" i="21" s="1"/>
  <c r="G58" i="21"/>
  <c r="H58" i="21" s="1"/>
  <c r="I58" i="21" s="1"/>
  <c r="G57" i="21"/>
  <c r="H57" i="21" s="1"/>
  <c r="I57" i="21" s="1"/>
  <c r="G56" i="21"/>
  <c r="H56" i="21" s="1"/>
  <c r="I56" i="21" s="1"/>
  <c r="G55" i="21"/>
  <c r="C6" i="21"/>
  <c r="J88" i="21" a="1"/>
  <c r="R88" i="21" a="1"/>
  <c r="Z59" i="21" l="1"/>
  <c r="J55" i="21"/>
  <c r="Q71" i="21"/>
  <c r="T71" i="21" s="1" a="1"/>
  <c r="Q59" i="21"/>
  <c r="T59" i="21" s="1" a="1"/>
  <c r="Q65" i="21"/>
  <c r="T65" i="21" s="1" a="1"/>
  <c r="Q60" i="21"/>
  <c r="T60" i="21" s="1" a="1"/>
  <c r="Q70" i="21"/>
  <c r="T70" i="21" s="1" a="1"/>
  <c r="Q58" i="21"/>
  <c r="T58" i="21" s="1" a="1"/>
  <c r="Q68" i="21"/>
  <c r="T68" i="21" s="1" a="1"/>
  <c r="Q69" i="21"/>
  <c r="T69" i="21" s="1" a="1"/>
  <c r="Q57" i="21"/>
  <c r="T57" i="21" s="1" a="1"/>
  <c r="Q66" i="21"/>
  <c r="T66" i="21" s="1" a="1"/>
  <c r="Q64" i="21"/>
  <c r="T64" i="21" s="1" a="1"/>
  <c r="Q62" i="21"/>
  <c r="T62" i="21" s="1" a="1"/>
  <c r="Q61" i="21"/>
  <c r="T61" i="21" s="1" a="1"/>
  <c r="Q67" i="21"/>
  <c r="T67" i="21" s="1" a="1"/>
  <c r="J69" i="21"/>
  <c r="J70" i="21"/>
  <c r="J71" i="21"/>
  <c r="J56" i="21"/>
  <c r="J59" i="21"/>
  <c r="J61" i="21"/>
  <c r="J62" i="21"/>
  <c r="J68" i="21"/>
  <c r="J58" i="21"/>
  <c r="J60" i="21"/>
  <c r="J63" i="21"/>
  <c r="J67" i="21"/>
  <c r="J57" i="21"/>
  <c r="J64" i="21"/>
  <c r="J65" i="21"/>
  <c r="J66" i="21"/>
  <c r="O61" i="21"/>
  <c r="O55" i="21"/>
  <c r="O68" i="21"/>
  <c r="O57" i="21"/>
  <c r="O56" i="21"/>
  <c r="O58" i="21"/>
  <c r="O59" i="21"/>
  <c r="O71" i="21"/>
  <c r="O69" i="21"/>
  <c r="O63" i="21"/>
  <c r="O64" i="21"/>
  <c r="O60" i="21"/>
  <c r="O70" i="21"/>
  <c r="O65" i="21"/>
  <c r="O66" i="21"/>
  <c r="O67" i="21"/>
  <c r="O62" i="21"/>
  <c r="X12" i="11"/>
  <c r="G69" i="20" l="1"/>
  <c r="H57" i="20" l="1"/>
  <c r="H5" i="20"/>
  <c r="W12" i="11"/>
  <c r="H36" i="20"/>
  <c r="H34" i="20" l="1"/>
  <c r="I28" i="20" l="1"/>
  <c r="H29" i="20"/>
  <c r="H28" i="20"/>
  <c r="F31" i="20" l="1"/>
  <c r="F29" i="20"/>
  <c r="I29" i="20" s="1"/>
  <c r="H40" i="20" l="1"/>
  <c r="E40" i="20"/>
  <c r="G40" i="20" s="1"/>
  <c r="H42" i="20"/>
  <c r="H41" i="20"/>
  <c r="H78" i="20"/>
  <c r="E78" i="20"/>
  <c r="G78" i="20" s="1"/>
  <c r="E77" i="20"/>
  <c r="G77" i="20" s="1"/>
  <c r="I6" i="19"/>
  <c r="H77" i="20"/>
  <c r="I78" i="20"/>
  <c r="I77" i="20"/>
  <c r="C318" i="5"/>
  <c r="C313" i="5"/>
  <c r="C264" i="19"/>
  <c r="C269" i="19"/>
  <c r="I72" i="20"/>
  <c r="I74" i="20"/>
  <c r="I73" i="20"/>
  <c r="I52" i="20"/>
  <c r="I51" i="20"/>
  <c r="I50" i="20"/>
  <c r="I45" i="20"/>
  <c r="I44" i="20"/>
  <c r="I43" i="20"/>
  <c r="I42" i="20"/>
  <c r="I41" i="20"/>
  <c r="I40" i="20"/>
  <c r="I39" i="20"/>
  <c r="I38" i="20"/>
  <c r="E42" i="20"/>
  <c r="G42" i="20" s="1"/>
  <c r="E41" i="20"/>
  <c r="I57" i="20"/>
  <c r="I79" i="20"/>
  <c r="I69" i="20"/>
  <c r="H65" i="20"/>
  <c r="I70" i="20"/>
  <c r="I62" i="20"/>
  <c r="I65" i="20"/>
  <c r="I66" i="20"/>
  <c r="I63" i="20"/>
  <c r="H63" i="20"/>
  <c r="H79" i="20"/>
  <c r="H75" i="20"/>
  <c r="H74" i="20"/>
  <c r="H73" i="20"/>
  <c r="H72" i="20"/>
  <c r="H45" i="20"/>
  <c r="H44" i="20"/>
  <c r="H43" i="20"/>
  <c r="H39" i="20"/>
  <c r="H38" i="20"/>
  <c r="I35" i="20"/>
  <c r="I34" i="20"/>
  <c r="I33" i="20"/>
  <c r="H33" i="20"/>
  <c r="I21" i="20"/>
  <c r="I20" i="20"/>
  <c r="I25" i="20"/>
  <c r="I18" i="20"/>
  <c r="I17" i="20"/>
  <c r="H8" i="20"/>
  <c r="F84" i="20"/>
  <c r="I12" i="20"/>
  <c r="I36" i="20" s="1"/>
  <c r="I6" i="20"/>
  <c r="I14" i="20"/>
  <c r="I76" i="20" s="1"/>
  <c r="I13" i="20"/>
  <c r="I11" i="20"/>
  <c r="I7" i="20"/>
  <c r="I8" i="20"/>
  <c r="I5" i="20"/>
  <c r="J5" i="20" s="1"/>
  <c r="C74" i="11"/>
  <c r="C4" i="22" s="1"/>
  <c r="C75" i="11"/>
  <c r="C73" i="11"/>
  <c r="G76" i="20"/>
  <c r="F61" i="20"/>
  <c r="I61" i="20" s="1"/>
  <c r="F60" i="20"/>
  <c r="I60" i="20" s="1"/>
  <c r="H50" i="20"/>
  <c r="G52" i="20"/>
  <c r="G51" i="20"/>
  <c r="E45" i="20"/>
  <c r="G45" i="20" s="1"/>
  <c r="E44" i="20"/>
  <c r="G44" i="20" s="1"/>
  <c r="E43" i="20"/>
  <c r="G13" i="20"/>
  <c r="G12" i="20"/>
  <c r="F5" i="20"/>
  <c r="G5" i="20" s="1"/>
  <c r="E74" i="20"/>
  <c r="G74" i="20" s="1"/>
  <c r="E73" i="20"/>
  <c r="G73" i="20" s="1"/>
  <c r="E72" i="20"/>
  <c r="Q45" i="5"/>
  <c r="E11" i="19"/>
  <c r="G11" i="19" s="1"/>
  <c r="I11" i="19" s="1"/>
  <c r="K11" i="19" s="1"/>
  <c r="M11" i="19" s="1"/>
  <c r="O11" i="19" s="1"/>
  <c r="Q11" i="19" s="1"/>
  <c r="S11" i="19" s="1"/>
  <c r="U11" i="19" s="1"/>
  <c r="W11" i="19" s="1"/>
  <c r="Y11" i="19" s="1"/>
  <c r="AA11" i="19" s="1"/>
  <c r="AC11" i="19" s="1"/>
  <c r="AE11" i="19" s="1"/>
  <c r="AG11" i="19" s="1"/>
  <c r="AI11" i="19" s="1"/>
  <c r="AK11" i="19" s="1"/>
  <c r="AM11" i="19" s="1"/>
  <c r="AO11" i="19" s="1"/>
  <c r="AQ11" i="19" s="1"/>
  <c r="E70" i="20"/>
  <c r="G70" i="20" s="1"/>
  <c r="I55" i="20"/>
  <c r="I54" i="20"/>
  <c r="F55" i="20"/>
  <c r="F54" i="20"/>
  <c r="J67" i="20"/>
  <c r="J32" i="20"/>
  <c r="J27" i="20"/>
  <c r="J26" i="20"/>
  <c r="J24" i="20"/>
  <c r="J23" i="20"/>
  <c r="J19" i="20"/>
  <c r="J16" i="20"/>
  <c r="J15" i="20"/>
  <c r="J10" i="20"/>
  <c r="J9" i="20"/>
  <c r="J4" i="20"/>
  <c r="G79" i="20"/>
  <c r="G75" i="20"/>
  <c r="G67" i="20"/>
  <c r="G65" i="20"/>
  <c r="G63" i="20"/>
  <c r="G62" i="20"/>
  <c r="G50" i="20"/>
  <c r="G39" i="20"/>
  <c r="G38" i="20"/>
  <c r="G36" i="20"/>
  <c r="G35" i="20"/>
  <c r="G34" i="20"/>
  <c r="G33" i="20"/>
  <c r="G32" i="20"/>
  <c r="G27" i="20"/>
  <c r="G26" i="20"/>
  <c r="G25" i="20"/>
  <c r="G24" i="20"/>
  <c r="G23" i="20"/>
  <c r="G21" i="20"/>
  <c r="G20" i="20"/>
  <c r="G19" i="20"/>
  <c r="G18" i="20"/>
  <c r="G17" i="20"/>
  <c r="G16" i="20"/>
  <c r="G15" i="20"/>
  <c r="G14" i="20"/>
  <c r="G11" i="20"/>
  <c r="G10" i="20"/>
  <c r="G9" i="20"/>
  <c r="G8" i="20"/>
  <c r="G7" i="20"/>
  <c r="G6" i="20"/>
  <c r="G4" i="20"/>
  <c r="E66" i="20"/>
  <c r="G66" i="20" s="1"/>
  <c r="E57" i="20"/>
  <c r="G57" i="20" s="1"/>
  <c r="G56" i="20" s="1"/>
  <c r="E31" i="20"/>
  <c r="G31" i="20" s="1"/>
  <c r="G30" i="20"/>
  <c r="E29" i="20"/>
  <c r="E28" i="20"/>
  <c r="G28" i="20" l="1"/>
  <c r="E3" i="20"/>
  <c r="H25" i="20"/>
  <c r="J25" i="20" s="1"/>
  <c r="C5" i="21"/>
  <c r="H69" i="20"/>
  <c r="J69" i="20" s="1"/>
  <c r="H30" i="20"/>
  <c r="H31" i="20"/>
  <c r="J78" i="20"/>
  <c r="I75" i="20"/>
  <c r="J75" i="20" s="1"/>
  <c r="H13" i="20"/>
  <c r="J13" i="20" s="1"/>
  <c r="H62" i="20"/>
  <c r="J62" i="20" s="1"/>
  <c r="I31" i="20"/>
  <c r="H60" i="20"/>
  <c r="I30" i="20"/>
  <c r="G29" i="20"/>
  <c r="G3" i="20" s="1"/>
  <c r="J38" i="20"/>
  <c r="J77" i="20"/>
  <c r="J43" i="20"/>
  <c r="J33" i="20"/>
  <c r="J73" i="20"/>
  <c r="J74" i="20"/>
  <c r="J44" i="20"/>
  <c r="J72" i="20"/>
  <c r="J76" i="20"/>
  <c r="J63" i="20"/>
  <c r="J65" i="20"/>
  <c r="H71" i="20"/>
  <c r="J41" i="20"/>
  <c r="J42" i="20"/>
  <c r="J40" i="20"/>
  <c r="J50" i="20"/>
  <c r="J45" i="20"/>
  <c r="G41" i="20"/>
  <c r="J36" i="20"/>
  <c r="H51" i="20"/>
  <c r="J51" i="20" s="1"/>
  <c r="J79" i="20"/>
  <c r="J28" i="20"/>
  <c r="H66" i="20"/>
  <c r="J66" i="20" s="1"/>
  <c r="H70" i="20"/>
  <c r="J34" i="20"/>
  <c r="J29" i="20"/>
  <c r="H52" i="20"/>
  <c r="J52" i="20" s="1"/>
  <c r="J39" i="20"/>
  <c r="H18" i="20"/>
  <c r="J18" i="20" s="1"/>
  <c r="J8" i="20"/>
  <c r="H17" i="20"/>
  <c r="J17" i="20" s="1"/>
  <c r="H11" i="20"/>
  <c r="J11" i="20" s="1"/>
  <c r="G68" i="20"/>
  <c r="J30" i="20" l="1"/>
  <c r="J31" i="20"/>
  <c r="J71" i="20"/>
  <c r="I71" i="20" s="1"/>
  <c r="H37" i="20"/>
  <c r="H68" i="20"/>
  <c r="J70" i="20"/>
  <c r="J68" i="20" s="1"/>
  <c r="J57" i="20"/>
  <c r="J56" i="20" s="1"/>
  <c r="H56" i="20"/>
  <c r="J37" i="20"/>
  <c r="I68" i="20" l="1"/>
  <c r="I37" i="20"/>
  <c r="I56" i="20"/>
  <c r="E61" i="20"/>
  <c r="E60" i="20"/>
  <c r="E68" i="20"/>
  <c r="F68" i="20" s="1"/>
  <c r="E59" i="20"/>
  <c r="E56" i="20"/>
  <c r="G72" i="20"/>
  <c r="G71" i="20" s="1"/>
  <c r="F56" i="20" l="1"/>
  <c r="G60" i="20"/>
  <c r="G61" i="20"/>
  <c r="H61" i="20"/>
  <c r="J61" i="20" s="1"/>
  <c r="E37" i="20"/>
  <c r="E81" i="20" s="1"/>
  <c r="G43" i="20"/>
  <c r="G37" i="20" s="1"/>
  <c r="E71" i="20"/>
  <c r="F71" i="20" s="1"/>
  <c r="B40" i="19"/>
  <c r="C40" i="19"/>
  <c r="D40" i="19"/>
  <c r="E40" i="19"/>
  <c r="F40" i="19"/>
  <c r="G40" i="19"/>
  <c r="H40" i="19"/>
  <c r="I40" i="19"/>
  <c r="J40" i="19"/>
  <c r="K40" i="19"/>
  <c r="L40" i="19"/>
  <c r="M40" i="19"/>
  <c r="N40" i="19"/>
  <c r="O40" i="19"/>
  <c r="P40" i="19"/>
  <c r="Q40" i="19"/>
  <c r="R40" i="19"/>
  <c r="S40" i="19"/>
  <c r="T40" i="19"/>
  <c r="U40" i="19"/>
  <c r="V40" i="19"/>
  <c r="W40" i="19"/>
  <c r="X40" i="19"/>
  <c r="Y40" i="19"/>
  <c r="Z40" i="19"/>
  <c r="AA40" i="19"/>
  <c r="AB40" i="19"/>
  <c r="AC40" i="19"/>
  <c r="AD40" i="19"/>
  <c r="AE40" i="19"/>
  <c r="AF40" i="19"/>
  <c r="AG40" i="19"/>
  <c r="AH40" i="19"/>
  <c r="AI40" i="19"/>
  <c r="AJ40" i="19"/>
  <c r="AK40" i="19"/>
  <c r="AL40" i="19"/>
  <c r="AM40" i="19"/>
  <c r="AN40" i="19"/>
  <c r="AO40" i="19"/>
  <c r="AP40" i="19"/>
  <c r="AQ40" i="19"/>
  <c r="D44" i="19"/>
  <c r="E44" i="19" s="1"/>
  <c r="F44" i="19" s="1"/>
  <c r="G44" i="19" s="1"/>
  <c r="H44" i="19" s="1"/>
  <c r="I44" i="19" s="1"/>
  <c r="J44" i="19" s="1"/>
  <c r="K44" i="19" s="1"/>
  <c r="L44" i="19" s="1"/>
  <c r="M44" i="19" s="1"/>
  <c r="N44" i="19" s="1"/>
  <c r="O44" i="19" s="1"/>
  <c r="P44" i="19" s="1"/>
  <c r="Q44" i="19" s="1"/>
  <c r="R44" i="19" s="1"/>
  <c r="S44" i="19" s="1"/>
  <c r="T44" i="19" s="1"/>
  <c r="U44" i="19" s="1"/>
  <c r="V44" i="19" s="1"/>
  <c r="W44" i="19" s="1"/>
  <c r="C45" i="19"/>
  <c r="D45" i="19"/>
  <c r="E45" i="19"/>
  <c r="A47" i="19"/>
  <c r="A135" i="19" s="1"/>
  <c r="D75" i="19"/>
  <c r="E75" i="19" s="1"/>
  <c r="F75" i="19" s="1"/>
  <c r="G75" i="19" s="1"/>
  <c r="H75" i="19" s="1"/>
  <c r="I75" i="19" s="1"/>
  <c r="J75" i="19" s="1"/>
  <c r="K75" i="19" s="1"/>
  <c r="L75" i="19" s="1"/>
  <c r="M75" i="19" s="1"/>
  <c r="N75" i="19" s="1"/>
  <c r="O75" i="19" s="1"/>
  <c r="P75" i="19" s="1"/>
  <c r="Q75" i="19" s="1"/>
  <c r="R75" i="19" s="1"/>
  <c r="S75" i="19" s="1"/>
  <c r="T75" i="19" s="1"/>
  <c r="U75" i="19" s="1"/>
  <c r="V75" i="19" s="1"/>
  <c r="W76" i="19"/>
  <c r="D76" i="19" s="1"/>
  <c r="E76" i="19" s="1"/>
  <c r="F76" i="19" s="1"/>
  <c r="G76" i="19" s="1"/>
  <c r="H76" i="19" s="1"/>
  <c r="I76" i="19" s="1"/>
  <c r="J76" i="19" s="1"/>
  <c r="K76" i="19" s="1"/>
  <c r="L76" i="19" s="1"/>
  <c r="M76" i="19" s="1"/>
  <c r="N76" i="19" s="1"/>
  <c r="O76" i="19" s="1"/>
  <c r="P76" i="19" s="1"/>
  <c r="Q76" i="19" s="1"/>
  <c r="R76" i="19" s="1"/>
  <c r="S76" i="19" s="1"/>
  <c r="T76" i="19" s="1"/>
  <c r="U76" i="19" s="1"/>
  <c r="V76" i="19" s="1"/>
  <c r="A77" i="19"/>
  <c r="A78" i="19"/>
  <c r="W105" i="19"/>
  <c r="A106" i="19"/>
  <c r="W133" i="19"/>
  <c r="A134" i="19"/>
  <c r="W162" i="19"/>
  <c r="A163" i="19"/>
  <c r="W191" i="19"/>
  <c r="A192" i="19"/>
  <c r="F218" i="19"/>
  <c r="W223" i="19"/>
  <c r="W269" i="19" s="1"/>
  <c r="T46" i="5"/>
  <c r="B55" i="11"/>
  <c r="C55" i="11"/>
  <c r="D55" i="11"/>
  <c r="B58" i="11"/>
  <c r="C58" i="11"/>
  <c r="D58" i="11"/>
  <c r="B59" i="11"/>
  <c r="B5" i="22" s="1"/>
  <c r="C59" i="11"/>
  <c r="D59" i="11"/>
  <c r="E3" i="5"/>
  <c r="S3" i="5"/>
  <c r="E4" i="5"/>
  <c r="I4" i="5"/>
  <c r="E5" i="5"/>
  <c r="E6" i="5"/>
  <c r="I6" i="5"/>
  <c r="C10" i="5"/>
  <c r="E10" i="5"/>
  <c r="G10" i="5"/>
  <c r="I10" i="5"/>
  <c r="B12" i="5"/>
  <c r="C12" i="5"/>
  <c r="D12" i="5"/>
  <c r="D52" i="5" s="1"/>
  <c r="E12" i="5"/>
  <c r="F12" i="5"/>
  <c r="F52" i="5" s="1"/>
  <c r="G12" i="5"/>
  <c r="H12" i="5"/>
  <c r="H52" i="5" s="1"/>
  <c r="I12" i="5"/>
  <c r="J12" i="5"/>
  <c r="K12" i="5"/>
  <c r="L12" i="5"/>
  <c r="L52" i="5" s="1"/>
  <c r="M12" i="5"/>
  <c r="N12" i="5"/>
  <c r="O12" i="5"/>
  <c r="P12" i="5"/>
  <c r="P52" i="5" s="1"/>
  <c r="Q12" i="5"/>
  <c r="R12" i="5"/>
  <c r="R52" i="5" s="1"/>
  <c r="S12" i="5"/>
  <c r="T12" i="5"/>
  <c r="T52" i="5" s="1"/>
  <c r="U12" i="5"/>
  <c r="V12" i="5"/>
  <c r="W12" i="5"/>
  <c r="X12" i="5"/>
  <c r="Y12" i="5"/>
  <c r="Z12" i="5"/>
  <c r="AA12" i="5"/>
  <c r="AB12" i="5"/>
  <c r="AC12" i="5"/>
  <c r="AD12" i="5"/>
  <c r="AD52" i="5" s="1"/>
  <c r="AE12" i="5"/>
  <c r="AF12" i="5"/>
  <c r="AF52" i="5" s="1"/>
  <c r="AG12" i="5"/>
  <c r="AH12" i="5"/>
  <c r="AH52" i="5" s="1"/>
  <c r="AI12" i="5"/>
  <c r="AJ12" i="5"/>
  <c r="AJ52" i="5" s="1"/>
  <c r="AK12" i="5"/>
  <c r="AL12" i="5"/>
  <c r="AL52" i="5" s="1"/>
  <c r="AM12" i="5"/>
  <c r="AN12" i="5"/>
  <c r="AN52" i="5" s="1"/>
  <c r="AO12" i="5"/>
  <c r="AP12" i="5"/>
  <c r="AP52" i="5" s="1"/>
  <c r="AQ12" i="5"/>
  <c r="B13" i="5"/>
  <c r="C13" i="5"/>
  <c r="D13" i="5"/>
  <c r="E13" i="5"/>
  <c r="F13" i="5"/>
  <c r="G13" i="5"/>
  <c r="H13" i="5"/>
  <c r="I13" i="5"/>
  <c r="J13" i="5"/>
  <c r="K13" i="5"/>
  <c r="L13" i="5"/>
  <c r="M13" i="5"/>
  <c r="N13" i="5"/>
  <c r="O13" i="5"/>
  <c r="P13" i="5"/>
  <c r="Q13" i="5"/>
  <c r="R13" i="5"/>
  <c r="S13" i="5"/>
  <c r="T13" i="5"/>
  <c r="U13" i="5"/>
  <c r="V13" i="5"/>
  <c r="W13" i="5"/>
  <c r="X13" i="5"/>
  <c r="Y13" i="5"/>
  <c r="Z13" i="5"/>
  <c r="AA13" i="5"/>
  <c r="AB13" i="5"/>
  <c r="AC13" i="5"/>
  <c r="AD13" i="5"/>
  <c r="AE13" i="5"/>
  <c r="AF13" i="5"/>
  <c r="AG13" i="5"/>
  <c r="AH13" i="5"/>
  <c r="AI13" i="5"/>
  <c r="AJ13" i="5"/>
  <c r="AK13" i="5"/>
  <c r="AL13" i="5"/>
  <c r="AM13" i="5"/>
  <c r="AN13" i="5"/>
  <c r="AO13" i="5"/>
  <c r="AP13" i="5"/>
  <c r="AQ13" i="5"/>
  <c r="B14" i="5"/>
  <c r="C14" i="5"/>
  <c r="D14"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B15" i="5"/>
  <c r="C15" i="5"/>
  <c r="D15" i="5"/>
  <c r="E15" i="5"/>
  <c r="F15" i="5"/>
  <c r="G15" i="5"/>
  <c r="H15" i="5"/>
  <c r="I15" i="5"/>
  <c r="J15" i="5"/>
  <c r="K15" i="5"/>
  <c r="L15" i="5"/>
  <c r="M15" i="5"/>
  <c r="N15" i="5"/>
  <c r="O15" i="5"/>
  <c r="P15" i="5"/>
  <c r="Q15" i="5"/>
  <c r="R15" i="5"/>
  <c r="S15" i="5"/>
  <c r="T15" i="5"/>
  <c r="U15" i="5"/>
  <c r="V15" i="5"/>
  <c r="W15" i="5"/>
  <c r="X15" i="5"/>
  <c r="Y15" i="5"/>
  <c r="Z15" i="5"/>
  <c r="AA15" i="5"/>
  <c r="AB15" i="5"/>
  <c r="AC15" i="5"/>
  <c r="AD15" i="5"/>
  <c r="AE15" i="5"/>
  <c r="AF15" i="5"/>
  <c r="AG15" i="5"/>
  <c r="AH15" i="5"/>
  <c r="AI15" i="5"/>
  <c r="AJ15" i="5"/>
  <c r="AK15" i="5"/>
  <c r="AL15" i="5"/>
  <c r="AM15" i="5"/>
  <c r="AN15" i="5"/>
  <c r="AO15" i="5"/>
  <c r="AP15" i="5"/>
  <c r="AQ15" i="5"/>
  <c r="B16" i="5"/>
  <c r="C16" i="5"/>
  <c r="D16"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I16" i="5"/>
  <c r="AJ16" i="5"/>
  <c r="AK16" i="5"/>
  <c r="AL16" i="5"/>
  <c r="AM16" i="5"/>
  <c r="AN16" i="5"/>
  <c r="AO16" i="5"/>
  <c r="AP16" i="5"/>
  <c r="AQ16" i="5"/>
  <c r="B17" i="5"/>
  <c r="C17" i="5"/>
  <c r="D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H17" i="5"/>
  <c r="AI17" i="5"/>
  <c r="AJ17" i="5"/>
  <c r="AK17" i="5"/>
  <c r="AL17" i="5"/>
  <c r="AM17" i="5"/>
  <c r="AN17" i="5"/>
  <c r="AO17" i="5"/>
  <c r="AP17" i="5"/>
  <c r="AQ17" i="5"/>
  <c r="B18" i="5"/>
  <c r="C18" i="5"/>
  <c r="D18" i="5"/>
  <c r="E18" i="5"/>
  <c r="F18" i="5"/>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B19" i="5"/>
  <c r="C19" i="5"/>
  <c r="D19" i="5"/>
  <c r="E19" i="5"/>
  <c r="F19" i="5"/>
  <c r="G19" i="5"/>
  <c r="H19" i="5"/>
  <c r="I19" i="5"/>
  <c r="J19" i="5"/>
  <c r="K19" i="5"/>
  <c r="L19" i="5"/>
  <c r="M19" i="5"/>
  <c r="N19" i="5"/>
  <c r="O19" i="5"/>
  <c r="P19" i="5"/>
  <c r="Q19" i="5"/>
  <c r="R19" i="5"/>
  <c r="S19" i="5"/>
  <c r="T19" i="5"/>
  <c r="U19" i="5"/>
  <c r="V19" i="5"/>
  <c r="W19" i="5"/>
  <c r="X19" i="5"/>
  <c r="Y19" i="5"/>
  <c r="Z19" i="5"/>
  <c r="AA19" i="5"/>
  <c r="AB19" i="5"/>
  <c r="AC19" i="5"/>
  <c r="AD19" i="5"/>
  <c r="AE19" i="5"/>
  <c r="AF19" i="5"/>
  <c r="AG19" i="5"/>
  <c r="AH19" i="5"/>
  <c r="AI19" i="5"/>
  <c r="AJ19" i="5"/>
  <c r="AK19" i="5"/>
  <c r="AL19" i="5"/>
  <c r="AM19" i="5"/>
  <c r="AN19" i="5"/>
  <c r="AO19" i="5"/>
  <c r="AP19" i="5"/>
  <c r="AQ19" i="5"/>
  <c r="B20" i="5"/>
  <c r="C20" i="5"/>
  <c r="D20" i="5"/>
  <c r="E20" i="5"/>
  <c r="F20" i="5"/>
  <c r="G20" i="5"/>
  <c r="H20" i="5"/>
  <c r="I20" i="5"/>
  <c r="J20" i="5"/>
  <c r="K20" i="5"/>
  <c r="L20" i="5"/>
  <c r="M20" i="5"/>
  <c r="N20" i="5"/>
  <c r="O20" i="5"/>
  <c r="P20" i="5"/>
  <c r="Q20" i="5"/>
  <c r="R20" i="5"/>
  <c r="S20" i="5"/>
  <c r="T20" i="5"/>
  <c r="U20" i="5"/>
  <c r="V20" i="5"/>
  <c r="W20" i="5"/>
  <c r="X20" i="5"/>
  <c r="Y20" i="5"/>
  <c r="Z20" i="5"/>
  <c r="AA20" i="5"/>
  <c r="AB20" i="5"/>
  <c r="AC20" i="5"/>
  <c r="AD20" i="5"/>
  <c r="AE20" i="5"/>
  <c r="AF20" i="5"/>
  <c r="AG20" i="5"/>
  <c r="AH20" i="5"/>
  <c r="AI20" i="5"/>
  <c r="AJ20" i="5"/>
  <c r="AK20" i="5"/>
  <c r="AL20" i="5"/>
  <c r="AM20" i="5"/>
  <c r="AN20" i="5"/>
  <c r="AO20" i="5"/>
  <c r="AP20" i="5"/>
  <c r="AQ20" i="5"/>
  <c r="B21" i="5"/>
  <c r="C21" i="5"/>
  <c r="D21" i="5"/>
  <c r="E21" i="5"/>
  <c r="F21" i="5"/>
  <c r="G21" i="5"/>
  <c r="H21" i="5"/>
  <c r="I21" i="5"/>
  <c r="J21" i="5"/>
  <c r="K21" i="5"/>
  <c r="L21" i="5"/>
  <c r="M21" i="5"/>
  <c r="N21" i="5"/>
  <c r="O21" i="5"/>
  <c r="P21" i="5"/>
  <c r="Q21" i="5"/>
  <c r="R21" i="5"/>
  <c r="S21" i="5"/>
  <c r="T21" i="5"/>
  <c r="U21" i="5"/>
  <c r="V21" i="5"/>
  <c r="W21" i="5"/>
  <c r="X21" i="5"/>
  <c r="Y21" i="5"/>
  <c r="Z21" i="5"/>
  <c r="AA21" i="5"/>
  <c r="AB21" i="5"/>
  <c r="AC21" i="5"/>
  <c r="AD21" i="5"/>
  <c r="AE21" i="5"/>
  <c r="AF21" i="5"/>
  <c r="AG21" i="5"/>
  <c r="AH21" i="5"/>
  <c r="AI21" i="5"/>
  <c r="AJ21" i="5"/>
  <c r="AK21" i="5"/>
  <c r="AL21" i="5"/>
  <c r="AM21" i="5"/>
  <c r="AN21" i="5"/>
  <c r="AO21" i="5"/>
  <c r="AP21" i="5"/>
  <c r="AQ21" i="5"/>
  <c r="B22" i="5"/>
  <c r="C22" i="5"/>
  <c r="D22" i="5"/>
  <c r="E22" i="5"/>
  <c r="F22" i="5"/>
  <c r="G22" i="5"/>
  <c r="H22" i="5"/>
  <c r="I22" i="5"/>
  <c r="J22" i="5"/>
  <c r="K22" i="5"/>
  <c r="L22" i="5"/>
  <c r="M22" i="5"/>
  <c r="N22" i="5"/>
  <c r="O22" i="5"/>
  <c r="P22" i="5"/>
  <c r="Q22" i="5"/>
  <c r="R22" i="5"/>
  <c r="S22" i="5"/>
  <c r="T22" i="5"/>
  <c r="U22" i="5"/>
  <c r="V22" i="5"/>
  <c r="W22" i="5"/>
  <c r="X22" i="5"/>
  <c r="Y22" i="5"/>
  <c r="Z22" i="5"/>
  <c r="AA22" i="5"/>
  <c r="AB22" i="5"/>
  <c r="AC22" i="5"/>
  <c r="AD22" i="5"/>
  <c r="AE22" i="5"/>
  <c r="AF22" i="5"/>
  <c r="AG22" i="5"/>
  <c r="AH22" i="5"/>
  <c r="AI22" i="5"/>
  <c r="AJ22" i="5"/>
  <c r="AK22" i="5"/>
  <c r="AL22" i="5"/>
  <c r="AM22" i="5"/>
  <c r="AN22" i="5"/>
  <c r="AO22" i="5"/>
  <c r="AP22" i="5"/>
  <c r="AQ22" i="5"/>
  <c r="B23" i="5"/>
  <c r="C23" i="5"/>
  <c r="D23" i="5"/>
  <c r="E23" i="5"/>
  <c r="F23" i="5"/>
  <c r="G23" i="5"/>
  <c r="H23" i="5"/>
  <c r="I23" i="5"/>
  <c r="J23" i="5"/>
  <c r="K23" i="5"/>
  <c r="L23" i="5"/>
  <c r="M23" i="5"/>
  <c r="N23" i="5"/>
  <c r="O23" i="5"/>
  <c r="P23" i="5"/>
  <c r="Q23" i="5"/>
  <c r="R23" i="5"/>
  <c r="S23" i="5"/>
  <c r="T23" i="5"/>
  <c r="U23" i="5"/>
  <c r="V23" i="5"/>
  <c r="W23" i="5"/>
  <c r="X23" i="5"/>
  <c r="Y23" i="5"/>
  <c r="Z23" i="5"/>
  <c r="AA23" i="5"/>
  <c r="AB23" i="5"/>
  <c r="AC23" i="5"/>
  <c r="AD23" i="5"/>
  <c r="AE23" i="5"/>
  <c r="AF23" i="5"/>
  <c r="AG23" i="5"/>
  <c r="AH23" i="5"/>
  <c r="AI23" i="5"/>
  <c r="AJ23" i="5"/>
  <c r="AK23" i="5"/>
  <c r="AL23" i="5"/>
  <c r="AM23" i="5"/>
  <c r="AN23" i="5"/>
  <c r="AO23" i="5"/>
  <c r="AP23" i="5"/>
  <c r="AQ23" i="5"/>
  <c r="B24" i="5"/>
  <c r="C24" i="5"/>
  <c r="D24" i="5"/>
  <c r="E24" i="5"/>
  <c r="F24" i="5"/>
  <c r="G24" i="5"/>
  <c r="H24" i="5"/>
  <c r="I24" i="5"/>
  <c r="J24" i="5"/>
  <c r="K24" i="5"/>
  <c r="L24" i="5"/>
  <c r="M24" i="5"/>
  <c r="N24" i="5"/>
  <c r="O24" i="5"/>
  <c r="P24" i="5"/>
  <c r="Q24" i="5"/>
  <c r="R24" i="5"/>
  <c r="S24" i="5"/>
  <c r="T24" i="5"/>
  <c r="U24" i="5"/>
  <c r="V24" i="5"/>
  <c r="W24" i="5"/>
  <c r="X24" i="5"/>
  <c r="Y24" i="5"/>
  <c r="Z24" i="5"/>
  <c r="AA24" i="5"/>
  <c r="AB24" i="5"/>
  <c r="AC24" i="5"/>
  <c r="AD24" i="5"/>
  <c r="AE24" i="5"/>
  <c r="AF24" i="5"/>
  <c r="AG24" i="5"/>
  <c r="AH24" i="5"/>
  <c r="AI24" i="5"/>
  <c r="AJ24" i="5"/>
  <c r="AK24" i="5"/>
  <c r="AL24" i="5"/>
  <c r="AM24" i="5"/>
  <c r="AN24" i="5"/>
  <c r="AO24" i="5"/>
  <c r="AP24" i="5"/>
  <c r="AQ24" i="5"/>
  <c r="B25" i="5"/>
  <c r="C25" i="5"/>
  <c r="D25" i="5"/>
  <c r="E25" i="5"/>
  <c r="F25" i="5"/>
  <c r="G25" i="5"/>
  <c r="H25" i="5"/>
  <c r="I25" i="5"/>
  <c r="J25" i="5"/>
  <c r="K25" i="5"/>
  <c r="L25" i="5"/>
  <c r="M25" i="5"/>
  <c r="N25" i="5"/>
  <c r="O25" i="5"/>
  <c r="P25" i="5"/>
  <c r="Q25" i="5"/>
  <c r="R25" i="5"/>
  <c r="S25" i="5"/>
  <c r="T25" i="5"/>
  <c r="U25" i="5"/>
  <c r="V25" i="5"/>
  <c r="W25" i="5"/>
  <c r="X25" i="5"/>
  <c r="Y25" i="5"/>
  <c r="Z25" i="5"/>
  <c r="AA25" i="5"/>
  <c r="AB25" i="5"/>
  <c r="AC25" i="5"/>
  <c r="AD25" i="5"/>
  <c r="AE25" i="5"/>
  <c r="AF25" i="5"/>
  <c r="AG25" i="5"/>
  <c r="AH25" i="5"/>
  <c r="AI25" i="5"/>
  <c r="AJ25" i="5"/>
  <c r="AK25" i="5"/>
  <c r="AL25" i="5"/>
  <c r="AM25" i="5"/>
  <c r="AN25" i="5"/>
  <c r="AO25" i="5"/>
  <c r="AP25" i="5"/>
  <c r="AQ25" i="5"/>
  <c r="B26" i="5"/>
  <c r="C26" i="5"/>
  <c r="D26" i="5"/>
  <c r="E26" i="5"/>
  <c r="F26" i="5"/>
  <c r="G26" i="5"/>
  <c r="H26" i="5"/>
  <c r="I26" i="5"/>
  <c r="J26" i="5"/>
  <c r="K26" i="5"/>
  <c r="L26" i="5"/>
  <c r="M26" i="5"/>
  <c r="N26" i="5"/>
  <c r="O26" i="5"/>
  <c r="P26" i="5"/>
  <c r="Q26" i="5"/>
  <c r="R26" i="5"/>
  <c r="S26" i="5"/>
  <c r="T26" i="5"/>
  <c r="U26" i="5"/>
  <c r="V26" i="5"/>
  <c r="W26" i="5"/>
  <c r="X26" i="5"/>
  <c r="Y26" i="5"/>
  <c r="Z26" i="5"/>
  <c r="AA26" i="5"/>
  <c r="AB26" i="5"/>
  <c r="AC26" i="5"/>
  <c r="AD26" i="5"/>
  <c r="AE26" i="5"/>
  <c r="AF26" i="5"/>
  <c r="AG26" i="5"/>
  <c r="AH26" i="5"/>
  <c r="AI26" i="5"/>
  <c r="AJ26" i="5"/>
  <c r="AK26" i="5"/>
  <c r="AL26" i="5"/>
  <c r="AM26" i="5"/>
  <c r="AN26" i="5"/>
  <c r="AO26" i="5"/>
  <c r="AP26" i="5"/>
  <c r="AQ26" i="5"/>
  <c r="B27" i="5"/>
  <c r="C27" i="5"/>
  <c r="D27" i="5"/>
  <c r="E27" i="5"/>
  <c r="F27" i="5"/>
  <c r="G27" i="5"/>
  <c r="H27" i="5"/>
  <c r="I27" i="5"/>
  <c r="J27" i="5"/>
  <c r="K27" i="5"/>
  <c r="L27" i="5"/>
  <c r="M27" i="5"/>
  <c r="N27" i="5"/>
  <c r="O27" i="5"/>
  <c r="P27" i="5"/>
  <c r="Q27" i="5"/>
  <c r="R27" i="5"/>
  <c r="S27" i="5"/>
  <c r="T27" i="5"/>
  <c r="U27" i="5"/>
  <c r="V27" i="5"/>
  <c r="W27" i="5"/>
  <c r="X27" i="5"/>
  <c r="Y27" i="5"/>
  <c r="Z27" i="5"/>
  <c r="AA27" i="5"/>
  <c r="AB27" i="5"/>
  <c r="AC27" i="5"/>
  <c r="AD27" i="5"/>
  <c r="AE27" i="5"/>
  <c r="AF27" i="5"/>
  <c r="AG27" i="5"/>
  <c r="AH27" i="5"/>
  <c r="AI27" i="5"/>
  <c r="AJ27" i="5"/>
  <c r="AK27" i="5"/>
  <c r="AL27" i="5"/>
  <c r="AM27" i="5"/>
  <c r="AN27" i="5"/>
  <c r="AO27" i="5"/>
  <c r="AP27" i="5"/>
  <c r="AQ27" i="5"/>
  <c r="B28" i="5"/>
  <c r="C28" i="5"/>
  <c r="D28" i="5"/>
  <c r="E28" i="5"/>
  <c r="F28" i="5"/>
  <c r="G28" i="5"/>
  <c r="H28" i="5"/>
  <c r="I28" i="5"/>
  <c r="J28" i="5"/>
  <c r="K28" i="5"/>
  <c r="L28" i="5"/>
  <c r="M28" i="5"/>
  <c r="N28" i="5"/>
  <c r="O28" i="5"/>
  <c r="P28" i="5"/>
  <c r="Q28" i="5"/>
  <c r="R28" i="5"/>
  <c r="S28" i="5"/>
  <c r="T28" i="5"/>
  <c r="U28" i="5"/>
  <c r="V28" i="5"/>
  <c r="W28" i="5"/>
  <c r="X28" i="5"/>
  <c r="Y28" i="5"/>
  <c r="Z28" i="5"/>
  <c r="AA28" i="5"/>
  <c r="AB28" i="5"/>
  <c r="AC28" i="5"/>
  <c r="AD28" i="5"/>
  <c r="AE28" i="5"/>
  <c r="AF28" i="5"/>
  <c r="AG28" i="5"/>
  <c r="AH28" i="5"/>
  <c r="AI28" i="5"/>
  <c r="AJ28" i="5"/>
  <c r="AK28" i="5"/>
  <c r="AL28" i="5"/>
  <c r="AM28" i="5"/>
  <c r="AN28" i="5"/>
  <c r="AO28" i="5"/>
  <c r="AP28" i="5"/>
  <c r="AQ28" i="5"/>
  <c r="B29" i="5"/>
  <c r="C29" i="5"/>
  <c r="D29" i="5"/>
  <c r="E29" i="5"/>
  <c r="F29" i="5"/>
  <c r="G29" i="5"/>
  <c r="H29" i="5"/>
  <c r="I29" i="5"/>
  <c r="J29" i="5"/>
  <c r="K29" i="5"/>
  <c r="L29" i="5"/>
  <c r="M29" i="5"/>
  <c r="N29" i="5"/>
  <c r="O29" i="5"/>
  <c r="P29" i="5"/>
  <c r="Q29" i="5"/>
  <c r="R29" i="5"/>
  <c r="S29" i="5"/>
  <c r="T29" i="5"/>
  <c r="U29" i="5"/>
  <c r="V29" i="5"/>
  <c r="W29" i="5"/>
  <c r="X29" i="5"/>
  <c r="Y29" i="5"/>
  <c r="Z29" i="5"/>
  <c r="AA29" i="5"/>
  <c r="AB29" i="5"/>
  <c r="AC29" i="5"/>
  <c r="AD29" i="5"/>
  <c r="AE29" i="5"/>
  <c r="AF29" i="5"/>
  <c r="AG29" i="5"/>
  <c r="AH29" i="5"/>
  <c r="AI29" i="5"/>
  <c r="AJ29" i="5"/>
  <c r="AK29" i="5"/>
  <c r="AL29" i="5"/>
  <c r="AM29" i="5"/>
  <c r="AN29" i="5"/>
  <c r="AO29" i="5"/>
  <c r="AP29" i="5"/>
  <c r="AQ29" i="5"/>
  <c r="B30" i="5"/>
  <c r="C30" i="5"/>
  <c r="D30" i="5"/>
  <c r="E30" i="5"/>
  <c r="F30" i="5"/>
  <c r="G30" i="5"/>
  <c r="H30" i="5"/>
  <c r="I30" i="5"/>
  <c r="J30" i="5"/>
  <c r="K30" i="5"/>
  <c r="L30" i="5"/>
  <c r="M30" i="5"/>
  <c r="N30" i="5"/>
  <c r="O30" i="5"/>
  <c r="P30" i="5"/>
  <c r="Q30" i="5"/>
  <c r="R30" i="5"/>
  <c r="S30" i="5"/>
  <c r="T30" i="5"/>
  <c r="U30" i="5"/>
  <c r="V30" i="5"/>
  <c r="W30" i="5"/>
  <c r="X30" i="5"/>
  <c r="Y30" i="5"/>
  <c r="Z30" i="5"/>
  <c r="AA30" i="5"/>
  <c r="AB30" i="5"/>
  <c r="AC30" i="5"/>
  <c r="AD30" i="5"/>
  <c r="AE30" i="5"/>
  <c r="AF30" i="5"/>
  <c r="AG30" i="5"/>
  <c r="AH30" i="5"/>
  <c r="AI30" i="5"/>
  <c r="AJ30" i="5"/>
  <c r="AK30" i="5"/>
  <c r="AL30" i="5"/>
  <c r="AM30" i="5"/>
  <c r="AN30" i="5"/>
  <c r="AO30" i="5"/>
  <c r="AP30" i="5"/>
  <c r="AQ30" i="5"/>
  <c r="B31" i="5"/>
  <c r="C31" i="5"/>
  <c r="D31" i="5"/>
  <c r="E31" i="5"/>
  <c r="F31" i="5"/>
  <c r="G31" i="5"/>
  <c r="H31" i="5"/>
  <c r="I31" i="5"/>
  <c r="J31" i="5"/>
  <c r="K31" i="5"/>
  <c r="L31" i="5"/>
  <c r="M31" i="5"/>
  <c r="N31" i="5"/>
  <c r="O31" i="5"/>
  <c r="P31" i="5"/>
  <c r="Q31" i="5"/>
  <c r="R31" i="5"/>
  <c r="S31" i="5"/>
  <c r="T31" i="5"/>
  <c r="U31" i="5"/>
  <c r="V31" i="5"/>
  <c r="W31" i="5"/>
  <c r="X31" i="5"/>
  <c r="Y31" i="5"/>
  <c r="Z31" i="5"/>
  <c r="AA31" i="5"/>
  <c r="AB31" i="5"/>
  <c r="AC31" i="5"/>
  <c r="AD31" i="5"/>
  <c r="AE31" i="5"/>
  <c r="AF31" i="5"/>
  <c r="AG31" i="5"/>
  <c r="AH31" i="5"/>
  <c r="AI31" i="5"/>
  <c r="AJ31" i="5"/>
  <c r="AK31" i="5"/>
  <c r="AL31" i="5"/>
  <c r="AM31" i="5"/>
  <c r="AN31" i="5"/>
  <c r="AO31" i="5"/>
  <c r="AP31" i="5"/>
  <c r="AQ31" i="5"/>
  <c r="B32" i="5"/>
  <c r="C32" i="5"/>
  <c r="D32" i="5"/>
  <c r="E32" i="5"/>
  <c r="F32" i="5"/>
  <c r="G32" i="5"/>
  <c r="H32" i="5"/>
  <c r="I32" i="5"/>
  <c r="J32" i="5"/>
  <c r="K32" i="5"/>
  <c r="L32" i="5"/>
  <c r="M32" i="5"/>
  <c r="N32" i="5"/>
  <c r="O32" i="5"/>
  <c r="P32" i="5"/>
  <c r="Q32" i="5"/>
  <c r="R32" i="5"/>
  <c r="S32" i="5"/>
  <c r="T32" i="5"/>
  <c r="U32" i="5"/>
  <c r="V32" i="5"/>
  <c r="W32" i="5"/>
  <c r="X32" i="5"/>
  <c r="Y32" i="5"/>
  <c r="Z32" i="5"/>
  <c r="AA32" i="5"/>
  <c r="AB32" i="5"/>
  <c r="AC32" i="5"/>
  <c r="AD32" i="5"/>
  <c r="AE32" i="5"/>
  <c r="AF32" i="5"/>
  <c r="AG32" i="5"/>
  <c r="AH32" i="5"/>
  <c r="AI32" i="5"/>
  <c r="AJ32" i="5"/>
  <c r="AK32" i="5"/>
  <c r="AL32" i="5"/>
  <c r="AM32" i="5"/>
  <c r="AN32" i="5"/>
  <c r="AO32" i="5"/>
  <c r="AP32" i="5"/>
  <c r="AQ32" i="5"/>
  <c r="B33" i="5"/>
  <c r="C33" i="5"/>
  <c r="D33" i="5"/>
  <c r="E33" i="5"/>
  <c r="F33" i="5"/>
  <c r="G33" i="5"/>
  <c r="H33" i="5"/>
  <c r="I33" i="5"/>
  <c r="J33" i="5"/>
  <c r="K33" i="5"/>
  <c r="L33" i="5"/>
  <c r="M33" i="5"/>
  <c r="N33" i="5"/>
  <c r="O33" i="5"/>
  <c r="P33" i="5"/>
  <c r="Q33" i="5"/>
  <c r="R33" i="5"/>
  <c r="S33" i="5"/>
  <c r="T33" i="5"/>
  <c r="U33" i="5"/>
  <c r="V33" i="5"/>
  <c r="W33" i="5"/>
  <c r="X33" i="5"/>
  <c r="Y33" i="5"/>
  <c r="Z33" i="5"/>
  <c r="AA33" i="5"/>
  <c r="AB33" i="5"/>
  <c r="AC33" i="5"/>
  <c r="AD33" i="5"/>
  <c r="AE33" i="5"/>
  <c r="AF33" i="5"/>
  <c r="AG33" i="5"/>
  <c r="AH33" i="5"/>
  <c r="AI33" i="5"/>
  <c r="AJ33" i="5"/>
  <c r="AK33" i="5"/>
  <c r="AL33" i="5"/>
  <c r="AM33" i="5"/>
  <c r="AN33" i="5"/>
  <c r="AO33" i="5"/>
  <c r="AP33" i="5"/>
  <c r="AQ33" i="5"/>
  <c r="B34" i="5"/>
  <c r="C34" i="5"/>
  <c r="D34" i="5"/>
  <c r="E34" i="5"/>
  <c r="F34" i="5"/>
  <c r="G34" i="5"/>
  <c r="H34" i="5"/>
  <c r="I34" i="5"/>
  <c r="J34" i="5"/>
  <c r="K34" i="5"/>
  <c r="L34" i="5"/>
  <c r="M34" i="5"/>
  <c r="N34" i="5"/>
  <c r="O34" i="5"/>
  <c r="P34" i="5"/>
  <c r="Q34" i="5"/>
  <c r="R34" i="5"/>
  <c r="S34" i="5"/>
  <c r="T34" i="5"/>
  <c r="U34" i="5"/>
  <c r="V34" i="5"/>
  <c r="W34" i="5"/>
  <c r="X34" i="5"/>
  <c r="Y34" i="5"/>
  <c r="Z34" i="5"/>
  <c r="AA34" i="5"/>
  <c r="AB34" i="5"/>
  <c r="AC34" i="5"/>
  <c r="AD34" i="5"/>
  <c r="AE34" i="5"/>
  <c r="AF34" i="5"/>
  <c r="AG34" i="5"/>
  <c r="AH34" i="5"/>
  <c r="AI34" i="5"/>
  <c r="AJ34" i="5"/>
  <c r="AK34" i="5"/>
  <c r="AL34" i="5"/>
  <c r="AM34" i="5"/>
  <c r="AN34" i="5"/>
  <c r="AO34" i="5"/>
  <c r="AP34" i="5"/>
  <c r="AQ34" i="5"/>
  <c r="B35" i="5"/>
  <c r="C35" i="5"/>
  <c r="D35" i="5"/>
  <c r="E35" i="5"/>
  <c r="F35" i="5"/>
  <c r="G35" i="5"/>
  <c r="H35" i="5"/>
  <c r="I35" i="5"/>
  <c r="J35" i="5"/>
  <c r="K35" i="5"/>
  <c r="L35" i="5"/>
  <c r="M35" i="5"/>
  <c r="N35" i="5"/>
  <c r="O35" i="5"/>
  <c r="P35" i="5"/>
  <c r="Q35" i="5"/>
  <c r="R35" i="5"/>
  <c r="S35" i="5"/>
  <c r="T35" i="5"/>
  <c r="U35" i="5"/>
  <c r="V35" i="5"/>
  <c r="W35" i="5"/>
  <c r="X35" i="5"/>
  <c r="Y35" i="5"/>
  <c r="Z35" i="5"/>
  <c r="AA35" i="5"/>
  <c r="AB35" i="5"/>
  <c r="AC35" i="5"/>
  <c r="AD35" i="5"/>
  <c r="AE35" i="5"/>
  <c r="AF35" i="5"/>
  <c r="AG35" i="5"/>
  <c r="AH35" i="5"/>
  <c r="AI35" i="5"/>
  <c r="AJ35" i="5"/>
  <c r="AK35" i="5"/>
  <c r="AL35" i="5"/>
  <c r="AM35" i="5"/>
  <c r="AN35" i="5"/>
  <c r="AO35" i="5"/>
  <c r="AP35" i="5"/>
  <c r="AQ35" i="5"/>
  <c r="B36" i="5"/>
  <c r="C36" i="5"/>
  <c r="D36" i="5"/>
  <c r="E36" i="5"/>
  <c r="F36" i="5"/>
  <c r="G36" i="5"/>
  <c r="H36" i="5"/>
  <c r="I36" i="5"/>
  <c r="J36" i="5"/>
  <c r="K36" i="5"/>
  <c r="L36" i="5"/>
  <c r="M36" i="5"/>
  <c r="N36" i="5"/>
  <c r="O36" i="5"/>
  <c r="P36" i="5"/>
  <c r="Q36" i="5"/>
  <c r="R36" i="5"/>
  <c r="S36" i="5"/>
  <c r="T36" i="5"/>
  <c r="U36" i="5"/>
  <c r="V36" i="5"/>
  <c r="W36" i="5"/>
  <c r="X36" i="5"/>
  <c r="Y36" i="5"/>
  <c r="Z36" i="5"/>
  <c r="AA36" i="5"/>
  <c r="AB36" i="5"/>
  <c r="AC36" i="5"/>
  <c r="AD36" i="5"/>
  <c r="AE36" i="5"/>
  <c r="AF36" i="5"/>
  <c r="AG36" i="5"/>
  <c r="AH36" i="5"/>
  <c r="AI36" i="5"/>
  <c r="AJ36" i="5"/>
  <c r="AK36" i="5"/>
  <c r="AL36" i="5"/>
  <c r="AM36" i="5"/>
  <c r="AN36" i="5"/>
  <c r="AO36" i="5"/>
  <c r="AP36" i="5"/>
  <c r="AQ36" i="5"/>
  <c r="B37" i="5"/>
  <c r="C37" i="5"/>
  <c r="D37" i="5"/>
  <c r="E37" i="5"/>
  <c r="F37" i="5"/>
  <c r="G37" i="5"/>
  <c r="H37" i="5"/>
  <c r="I37" i="5"/>
  <c r="J37" i="5"/>
  <c r="K37" i="5"/>
  <c r="L37" i="5"/>
  <c r="M37" i="5"/>
  <c r="N37" i="5"/>
  <c r="O37" i="5"/>
  <c r="P37" i="5"/>
  <c r="Q37" i="5"/>
  <c r="R37" i="5"/>
  <c r="S37" i="5"/>
  <c r="T37" i="5"/>
  <c r="U37" i="5"/>
  <c r="V37" i="5"/>
  <c r="W37" i="5"/>
  <c r="X37" i="5"/>
  <c r="Y37" i="5"/>
  <c r="Z37" i="5"/>
  <c r="AA37" i="5"/>
  <c r="AB37" i="5"/>
  <c r="AC37" i="5"/>
  <c r="AD37" i="5"/>
  <c r="AE37" i="5"/>
  <c r="AF37" i="5"/>
  <c r="AG37" i="5"/>
  <c r="AH37" i="5"/>
  <c r="AI37" i="5"/>
  <c r="AJ37" i="5"/>
  <c r="AK37" i="5"/>
  <c r="AL37" i="5"/>
  <c r="AM37" i="5"/>
  <c r="AN37" i="5"/>
  <c r="AO37" i="5"/>
  <c r="AP37" i="5"/>
  <c r="AQ37" i="5"/>
  <c r="B38" i="5"/>
  <c r="C38" i="5"/>
  <c r="D38" i="5"/>
  <c r="E38" i="5"/>
  <c r="F38" i="5"/>
  <c r="G38" i="5"/>
  <c r="H38" i="5"/>
  <c r="I38" i="5"/>
  <c r="J38" i="5"/>
  <c r="K38" i="5"/>
  <c r="L38" i="5"/>
  <c r="M38" i="5"/>
  <c r="N38" i="5"/>
  <c r="O38" i="5"/>
  <c r="P38" i="5"/>
  <c r="P39" i="5" s="1"/>
  <c r="Q38" i="5"/>
  <c r="R38" i="5"/>
  <c r="S38" i="5"/>
  <c r="T38" i="5"/>
  <c r="U38" i="5"/>
  <c r="V38" i="5"/>
  <c r="W38" i="5"/>
  <c r="X38" i="5"/>
  <c r="Y38" i="5"/>
  <c r="Z38" i="5"/>
  <c r="AA38" i="5"/>
  <c r="AB38" i="5"/>
  <c r="AC38" i="5"/>
  <c r="AD38" i="5"/>
  <c r="AE38" i="5"/>
  <c r="AF38" i="5"/>
  <c r="AG38" i="5"/>
  <c r="AH38" i="5"/>
  <c r="AI38" i="5"/>
  <c r="AJ38" i="5"/>
  <c r="AK38" i="5"/>
  <c r="AL38" i="5"/>
  <c r="AM38" i="5"/>
  <c r="AN38" i="5"/>
  <c r="AO38" i="5"/>
  <c r="AP38" i="5"/>
  <c r="AQ38" i="5"/>
  <c r="E43" i="5"/>
  <c r="I43" i="5"/>
  <c r="E44" i="5"/>
  <c r="I44" i="5"/>
  <c r="E45" i="5"/>
  <c r="I55" i="5" s="1"/>
  <c r="T45" i="5"/>
  <c r="E46" i="5"/>
  <c r="C49" i="5"/>
  <c r="E49" i="5"/>
  <c r="G49" i="5"/>
  <c r="I49" i="5"/>
  <c r="K49" i="5"/>
  <c r="M49" i="5"/>
  <c r="O49" i="5"/>
  <c r="Q49" i="5"/>
  <c r="S49" i="5"/>
  <c r="U49" i="5"/>
  <c r="W49" i="5"/>
  <c r="Y49" i="5"/>
  <c r="AA49" i="5"/>
  <c r="AC49" i="5"/>
  <c r="AE49" i="5"/>
  <c r="AG49" i="5"/>
  <c r="AI49" i="5"/>
  <c r="AK49" i="5"/>
  <c r="AM49" i="5"/>
  <c r="AO49" i="5"/>
  <c r="AQ49" i="5"/>
  <c r="B52" i="5"/>
  <c r="N52" i="5"/>
  <c r="Z52" i="5"/>
  <c r="AB52" i="5"/>
  <c r="D83" i="5"/>
  <c r="E83" i="5" s="1"/>
  <c r="C84" i="5"/>
  <c r="A86" i="5"/>
  <c r="A174" i="5" s="1"/>
  <c r="D114" i="5"/>
  <c r="E114" i="5" s="1"/>
  <c r="F114" i="5" s="1"/>
  <c r="G114" i="5" s="1"/>
  <c r="H114" i="5" s="1"/>
  <c r="I114" i="5" s="1"/>
  <c r="J114" i="5" s="1"/>
  <c r="K114" i="5" s="1"/>
  <c r="L114" i="5" s="1"/>
  <c r="M114" i="5" s="1"/>
  <c r="N114" i="5" s="1"/>
  <c r="O114" i="5" s="1"/>
  <c r="P114" i="5" s="1"/>
  <c r="Q114" i="5" s="1"/>
  <c r="R114" i="5" s="1"/>
  <c r="S114" i="5" s="1"/>
  <c r="T114" i="5" s="1"/>
  <c r="U114" i="5" s="1"/>
  <c r="V114" i="5" s="1"/>
  <c r="W115" i="5"/>
  <c r="D115" i="5" s="1"/>
  <c r="E115" i="5" s="1"/>
  <c r="F115" i="5" s="1"/>
  <c r="G115" i="5" s="1"/>
  <c r="H115" i="5" s="1"/>
  <c r="I115" i="5" s="1"/>
  <c r="J115" i="5" s="1"/>
  <c r="K115" i="5" s="1"/>
  <c r="L115" i="5" s="1"/>
  <c r="M115" i="5" s="1"/>
  <c r="N115" i="5" s="1"/>
  <c r="O115" i="5" s="1"/>
  <c r="P115" i="5" s="1"/>
  <c r="Q115" i="5" s="1"/>
  <c r="R115" i="5" s="1"/>
  <c r="S115" i="5" s="1"/>
  <c r="T115" i="5" s="1"/>
  <c r="U115" i="5" s="1"/>
  <c r="V115" i="5" s="1"/>
  <c r="A116" i="5"/>
  <c r="W144" i="5"/>
  <c r="A145" i="5"/>
  <c r="W172" i="5"/>
  <c r="A173" i="5"/>
  <c r="W201" i="5"/>
  <c r="A202" i="5"/>
  <c r="W230" i="5"/>
  <c r="A231" i="5"/>
  <c r="F257" i="5"/>
  <c r="W261" i="5"/>
  <c r="F284" i="5"/>
  <c r="W288" i="5"/>
  <c r="W318" i="5" s="1"/>
  <c r="N357" i="5"/>
  <c r="O357" i="5"/>
  <c r="B3" i="22" l="1"/>
  <c r="A87" i="5"/>
  <c r="A146" i="5"/>
  <c r="A232" i="5"/>
  <c r="A117" i="5"/>
  <c r="A203" i="5"/>
  <c r="AA66" i="5"/>
  <c r="A164" i="19"/>
  <c r="Y65" i="5"/>
  <c r="S78" i="5"/>
  <c r="G78" i="5"/>
  <c r="AE76" i="5"/>
  <c r="S76" i="5"/>
  <c r="AK75" i="5"/>
  <c r="Y75" i="5"/>
  <c r="AQ74" i="5"/>
  <c r="AE74" i="5"/>
  <c r="S74" i="5"/>
  <c r="G74" i="5"/>
  <c r="AK73" i="5"/>
  <c r="AC67" i="5"/>
  <c r="AG68" i="5"/>
  <c r="I68" i="5"/>
  <c r="AG62" i="5"/>
  <c r="AA57" i="5"/>
  <c r="Y66" i="5"/>
  <c r="M73" i="5"/>
  <c r="AQ72" i="5"/>
  <c r="S72" i="5"/>
  <c r="G72" i="5"/>
  <c r="Y71" i="5"/>
  <c r="M71" i="5"/>
  <c r="AE70" i="5"/>
  <c r="S70" i="5"/>
  <c r="AK69" i="5"/>
  <c r="Y69" i="5"/>
  <c r="AQ68" i="5"/>
  <c r="J60" i="20"/>
  <c r="J59" i="20" s="1"/>
  <c r="H59" i="20"/>
  <c r="G59" i="20"/>
  <c r="F59" i="20" s="1"/>
  <c r="I69" i="5"/>
  <c r="D144" i="5"/>
  <c r="E144" i="5" s="1"/>
  <c r="F144" i="5" s="1"/>
  <c r="G144" i="5" s="1"/>
  <c r="H144" i="5" s="1"/>
  <c r="I144" i="5" s="1"/>
  <c r="J144" i="5" s="1"/>
  <c r="K144" i="5" s="1"/>
  <c r="L144" i="5" s="1"/>
  <c r="M144" i="5" s="1"/>
  <c r="N144" i="5" s="1"/>
  <c r="O144" i="5" s="1"/>
  <c r="P144" i="5" s="1"/>
  <c r="Q144" i="5" s="1"/>
  <c r="R144" i="5" s="1"/>
  <c r="S144" i="5" s="1"/>
  <c r="T144" i="5" s="1"/>
  <c r="U144" i="5" s="1"/>
  <c r="V144" i="5" s="1"/>
  <c r="S68" i="5"/>
  <c r="AO76" i="5"/>
  <c r="AK67" i="5"/>
  <c r="AO78" i="5"/>
  <c r="AC78" i="5"/>
  <c r="AA78" i="5"/>
  <c r="O78" i="5"/>
  <c r="AM76" i="5"/>
  <c r="AI74" i="5"/>
  <c r="AC76" i="5"/>
  <c r="Y76" i="5"/>
  <c r="W76" i="5"/>
  <c r="AI75" i="5"/>
  <c r="AK74" i="5"/>
  <c r="E74" i="5"/>
  <c r="AQ73" i="5"/>
  <c r="AQ77" i="5"/>
  <c r="AO73" i="5"/>
  <c r="K77" i="5"/>
  <c r="W71" i="5"/>
  <c r="K73" i="5"/>
  <c r="M72" i="5"/>
  <c r="K72" i="5"/>
  <c r="AK71" i="5"/>
  <c r="AC70" i="5"/>
  <c r="AC69" i="5"/>
  <c r="AQ65" i="5"/>
  <c r="S71" i="5"/>
  <c r="Q71" i="5"/>
  <c r="Q68" i="5"/>
  <c r="G64" i="5"/>
  <c r="AE60" i="5"/>
  <c r="AQ58" i="5"/>
  <c r="M57" i="5"/>
  <c r="Y55" i="5"/>
  <c r="F83" i="5"/>
  <c r="AE69" i="5"/>
  <c r="A48" i="19"/>
  <c r="A193" i="19"/>
  <c r="A107" i="19"/>
  <c r="D261" i="5"/>
  <c r="E261" i="5" s="1"/>
  <c r="F261" i="5" s="1"/>
  <c r="D230" i="5"/>
  <c r="E230" i="5" s="1"/>
  <c r="F230" i="5" s="1"/>
  <c r="G230" i="5" s="1"/>
  <c r="H230" i="5" s="1"/>
  <c r="I230" i="5" s="1"/>
  <c r="J230" i="5" s="1"/>
  <c r="K230" i="5" s="1"/>
  <c r="L230" i="5" s="1"/>
  <c r="M230" i="5" s="1"/>
  <c r="N230" i="5" s="1"/>
  <c r="O230" i="5" s="1"/>
  <c r="P230" i="5" s="1"/>
  <c r="Q230" i="5" s="1"/>
  <c r="R230" i="5" s="1"/>
  <c r="S230" i="5" s="1"/>
  <c r="T230" i="5" s="1"/>
  <c r="U230" i="5" s="1"/>
  <c r="V230" i="5" s="1"/>
  <c r="D288" i="5"/>
  <c r="D318" i="5" s="1"/>
  <c r="M78" i="5"/>
  <c r="G76" i="5"/>
  <c r="Y73" i="5"/>
  <c r="AQ70" i="5"/>
  <c r="G68" i="5"/>
  <c r="AA62" i="5"/>
  <c r="AO77" i="5"/>
  <c r="AE75" i="5"/>
  <c r="G73" i="5"/>
  <c r="Y70" i="5"/>
  <c r="Y67" i="5"/>
  <c r="AQ63" i="5"/>
  <c r="E73" i="5"/>
  <c r="I67" i="5"/>
  <c r="M75" i="5"/>
  <c r="AE66" i="5"/>
  <c r="G57" i="5"/>
  <c r="AC77" i="5"/>
  <c r="AC75" i="5"/>
  <c r="W70" i="5"/>
  <c r="AA77" i="5"/>
  <c r="AE72" i="5"/>
  <c r="G70" i="5"/>
  <c r="W58" i="5"/>
  <c r="O77" i="5"/>
  <c r="AO74" i="5"/>
  <c r="Q72" i="5"/>
  <c r="AI69" i="5"/>
  <c r="D201" i="5"/>
  <c r="E201" i="5" s="1"/>
  <c r="F201" i="5" s="1"/>
  <c r="G201" i="5" s="1"/>
  <c r="H201" i="5" s="1"/>
  <c r="I201" i="5" s="1"/>
  <c r="J201" i="5" s="1"/>
  <c r="K201" i="5" s="1"/>
  <c r="L201" i="5" s="1"/>
  <c r="M201" i="5" s="1"/>
  <c r="N201" i="5" s="1"/>
  <c r="O201" i="5" s="1"/>
  <c r="P201" i="5" s="1"/>
  <c r="Q201" i="5" s="1"/>
  <c r="R201" i="5" s="1"/>
  <c r="S201" i="5" s="1"/>
  <c r="T201" i="5" s="1"/>
  <c r="U201" i="5" s="1"/>
  <c r="V201" i="5" s="1"/>
  <c r="AA39" i="5"/>
  <c r="O39" i="5"/>
  <c r="AG39" i="5"/>
  <c r="E39" i="5"/>
  <c r="AM39" i="5"/>
  <c r="AP39" i="5"/>
  <c r="AD39" i="5"/>
  <c r="X39" i="5"/>
  <c r="T39" i="5"/>
  <c r="R39" i="5"/>
  <c r="L39" i="5"/>
  <c r="D133" i="19"/>
  <c r="E133" i="19" s="1"/>
  <c r="F133" i="19" s="1"/>
  <c r="G133" i="19" s="1"/>
  <c r="H133" i="19" s="1"/>
  <c r="I133" i="19" s="1"/>
  <c r="J133" i="19" s="1"/>
  <c r="K133" i="19" s="1"/>
  <c r="L133" i="19" s="1"/>
  <c r="M133" i="19" s="1"/>
  <c r="N133" i="19" s="1"/>
  <c r="O133" i="19" s="1"/>
  <c r="P133" i="19" s="1"/>
  <c r="Q133" i="19" s="1"/>
  <c r="R133" i="19" s="1"/>
  <c r="S133" i="19" s="1"/>
  <c r="T133" i="19" s="1"/>
  <c r="U133" i="19" s="1"/>
  <c r="V133" i="19" s="1"/>
  <c r="D191" i="19"/>
  <c r="E191" i="19" s="1"/>
  <c r="F191" i="19" s="1"/>
  <c r="G191" i="19" s="1"/>
  <c r="H191" i="19" s="1"/>
  <c r="I191" i="19" s="1"/>
  <c r="J191" i="19" s="1"/>
  <c r="K191" i="19" s="1"/>
  <c r="L191" i="19" s="1"/>
  <c r="M191" i="19" s="1"/>
  <c r="N191" i="19" s="1"/>
  <c r="O191" i="19" s="1"/>
  <c r="P191" i="19" s="1"/>
  <c r="Q191" i="19" s="1"/>
  <c r="R191" i="19" s="1"/>
  <c r="S191" i="19" s="1"/>
  <c r="T191" i="19" s="1"/>
  <c r="U191" i="19" s="1"/>
  <c r="V191" i="19" s="1"/>
  <c r="D162" i="19"/>
  <c r="E162" i="19" s="1"/>
  <c r="F162" i="19" s="1"/>
  <c r="G162" i="19" s="1"/>
  <c r="H162" i="19" s="1"/>
  <c r="I162" i="19" s="1"/>
  <c r="J162" i="19" s="1"/>
  <c r="K162" i="19" s="1"/>
  <c r="L162" i="19" s="1"/>
  <c r="M162" i="19" s="1"/>
  <c r="N162" i="19" s="1"/>
  <c r="O162" i="19" s="1"/>
  <c r="P162" i="19" s="1"/>
  <c r="Q162" i="19" s="1"/>
  <c r="R162" i="19" s="1"/>
  <c r="S162" i="19" s="1"/>
  <c r="T162" i="19" s="1"/>
  <c r="U162" i="19" s="1"/>
  <c r="V162" i="19" s="1"/>
  <c r="D105" i="19"/>
  <c r="E105" i="19" s="1"/>
  <c r="F105" i="19" s="1"/>
  <c r="G105" i="19" s="1"/>
  <c r="H105" i="19" s="1"/>
  <c r="I105" i="19" s="1"/>
  <c r="J105" i="19" s="1"/>
  <c r="K105" i="19" s="1"/>
  <c r="L105" i="19" s="1"/>
  <c r="M105" i="19" s="1"/>
  <c r="N105" i="19" s="1"/>
  <c r="O105" i="19" s="1"/>
  <c r="P105" i="19" s="1"/>
  <c r="Q105" i="19" s="1"/>
  <c r="R105" i="19" s="1"/>
  <c r="S105" i="19" s="1"/>
  <c r="T105" i="19" s="1"/>
  <c r="U105" i="19" s="1"/>
  <c r="V105" i="19" s="1"/>
  <c r="D223" i="19"/>
  <c r="D269" i="19" s="1"/>
  <c r="U39" i="5"/>
  <c r="X52" i="5"/>
  <c r="AJ39" i="5"/>
  <c r="F39" i="5"/>
  <c r="AC39" i="5"/>
  <c r="Q39" i="5"/>
  <c r="C39" i="5"/>
  <c r="I39" i="5"/>
  <c r="H39" i="5"/>
  <c r="AF39" i="5"/>
  <c r="H58" i="5"/>
  <c r="F75" i="5"/>
  <c r="H73" i="5"/>
  <c r="B65" i="5"/>
  <c r="H75" i="5"/>
  <c r="H56" i="5"/>
  <c r="D68" i="5"/>
  <c r="F71" i="5"/>
  <c r="D78" i="5"/>
  <c r="B78" i="5"/>
  <c r="F63" i="5"/>
  <c r="F54" i="5"/>
  <c r="H53" i="5"/>
  <c r="D76" i="5"/>
  <c r="D70" i="5"/>
  <c r="B67" i="5"/>
  <c r="B76" i="5"/>
  <c r="D74" i="5"/>
  <c r="B60" i="5"/>
  <c r="B74" i="5"/>
  <c r="F67" i="5"/>
  <c r="D77" i="5"/>
  <c r="H77" i="5"/>
  <c r="D66" i="5"/>
  <c r="D75" i="5"/>
  <c r="D73" i="5"/>
  <c r="D71" i="5"/>
  <c r="D69" i="5"/>
  <c r="D67" i="5"/>
  <c r="D65" i="5"/>
  <c r="D63" i="5"/>
  <c r="F37" i="20"/>
  <c r="F3" i="20"/>
  <c r="D172" i="5"/>
  <c r="E172" i="5" s="1"/>
  <c r="F172" i="5" s="1"/>
  <c r="G172" i="5" s="1"/>
  <c r="H172" i="5" s="1"/>
  <c r="I172" i="5" s="1"/>
  <c r="J172" i="5" s="1"/>
  <c r="K172" i="5" s="1"/>
  <c r="L172" i="5" s="1"/>
  <c r="M172" i="5" s="1"/>
  <c r="N172" i="5" s="1"/>
  <c r="O172" i="5" s="1"/>
  <c r="P172" i="5" s="1"/>
  <c r="Q172" i="5" s="1"/>
  <c r="R172" i="5" s="1"/>
  <c r="S172" i="5" s="1"/>
  <c r="T172" i="5" s="1"/>
  <c r="U172" i="5" s="1"/>
  <c r="V172" i="5" s="1"/>
  <c r="A118" i="5"/>
  <c r="A88" i="5"/>
  <c r="W52" i="5"/>
  <c r="AK52" i="5"/>
  <c r="I53" i="5"/>
  <c r="K54" i="5"/>
  <c r="Y54" i="5"/>
  <c r="AM54" i="5"/>
  <c r="AO55" i="5"/>
  <c r="M56" i="5"/>
  <c r="AA56" i="5"/>
  <c r="AC57" i="5"/>
  <c r="AQ57" i="5"/>
  <c r="O58" i="5"/>
  <c r="Q59" i="5"/>
  <c r="AE59" i="5"/>
  <c r="C60" i="5"/>
  <c r="E61" i="5"/>
  <c r="S61" i="5"/>
  <c r="AG61" i="5"/>
  <c r="AI62" i="5"/>
  <c r="G63" i="5"/>
  <c r="U63" i="5"/>
  <c r="W64" i="5"/>
  <c r="AK64" i="5"/>
  <c r="I65" i="5"/>
  <c r="C67" i="5"/>
  <c r="Q67" i="5"/>
  <c r="AQ67" i="5"/>
  <c r="AA68" i="5"/>
  <c r="I52" i="5"/>
  <c r="AM53" i="5"/>
  <c r="AA55" i="5"/>
  <c r="O57" i="5"/>
  <c r="C59" i="5"/>
  <c r="AG60" i="5"/>
  <c r="U62" i="5"/>
  <c r="I64" i="5"/>
  <c r="W65" i="5"/>
  <c r="AG66" i="5"/>
  <c r="E67" i="5"/>
  <c r="AE67" i="5"/>
  <c r="O68" i="5"/>
  <c r="AO68" i="5"/>
  <c r="K52" i="5"/>
  <c r="Y52" i="5"/>
  <c r="AM52" i="5"/>
  <c r="AO53" i="5"/>
  <c r="M54" i="5"/>
  <c r="AA54" i="5"/>
  <c r="AC55" i="5"/>
  <c r="AQ55" i="5"/>
  <c r="O56" i="5"/>
  <c r="Q57" i="5"/>
  <c r="AE57" i="5"/>
  <c r="C58" i="5"/>
  <c r="E59" i="5"/>
  <c r="S59" i="5"/>
  <c r="AG59" i="5"/>
  <c r="AI60" i="5"/>
  <c r="G61" i="5"/>
  <c r="U61" i="5"/>
  <c r="W62" i="5"/>
  <c r="AK62" i="5"/>
  <c r="I63" i="5"/>
  <c r="K64" i="5"/>
  <c r="Y64" i="5"/>
  <c r="AM64" i="5"/>
  <c r="AI66" i="5"/>
  <c r="S67" i="5"/>
  <c r="C68" i="5"/>
  <c r="AA53" i="5"/>
  <c r="O55" i="5"/>
  <c r="C57" i="5"/>
  <c r="AG58" i="5"/>
  <c r="U60" i="5"/>
  <c r="I62" i="5"/>
  <c r="AM63" i="5"/>
  <c r="M52" i="5"/>
  <c r="AA52" i="5"/>
  <c r="AC53" i="5"/>
  <c r="AQ53" i="5"/>
  <c r="O54" i="5"/>
  <c r="Q55" i="5"/>
  <c r="AE55" i="5"/>
  <c r="C56" i="5"/>
  <c r="E57" i="5"/>
  <c r="S57" i="5"/>
  <c r="AG57" i="5"/>
  <c r="AI58" i="5"/>
  <c r="G59" i="5"/>
  <c r="U59" i="5"/>
  <c r="W60" i="5"/>
  <c r="AK60" i="5"/>
  <c r="I61" i="5"/>
  <c r="K62" i="5"/>
  <c r="Y62" i="5"/>
  <c r="AM62" i="5"/>
  <c r="AO63" i="5"/>
  <c r="M64" i="5"/>
  <c r="AA64" i="5"/>
  <c r="AM65" i="5"/>
  <c r="K66" i="5"/>
  <c r="AK66" i="5"/>
  <c r="U67" i="5"/>
  <c r="E68" i="5"/>
  <c r="O69" i="5"/>
  <c r="O53" i="5"/>
  <c r="C55" i="5"/>
  <c r="AG56" i="5"/>
  <c r="U58" i="5"/>
  <c r="I60" i="5"/>
  <c r="AM61" i="5"/>
  <c r="O52" i="5"/>
  <c r="Q53" i="5"/>
  <c r="AE53" i="5"/>
  <c r="C54" i="5"/>
  <c r="E55" i="5"/>
  <c r="S55" i="5"/>
  <c r="AG55" i="5"/>
  <c r="C53" i="5"/>
  <c r="AG54" i="5"/>
  <c r="U56" i="5"/>
  <c r="I58" i="5"/>
  <c r="AM59" i="5"/>
  <c r="AA61" i="5"/>
  <c r="O63" i="5"/>
  <c r="AG52" i="5"/>
  <c r="U54" i="5"/>
  <c r="I56" i="5"/>
  <c r="AM57" i="5"/>
  <c r="AA59" i="5"/>
  <c r="O61" i="5"/>
  <c r="C63" i="5"/>
  <c r="AG64" i="5"/>
  <c r="S65" i="5"/>
  <c r="C66" i="5"/>
  <c r="AC66" i="5"/>
  <c r="AM67" i="5"/>
  <c r="K68" i="5"/>
  <c r="AK68" i="5"/>
  <c r="U69" i="5"/>
  <c r="AG69" i="5"/>
  <c r="C70" i="5"/>
  <c r="O70" i="5"/>
  <c r="AA70" i="5"/>
  <c r="AM70" i="5"/>
  <c r="I71" i="5"/>
  <c r="U71" i="5"/>
  <c r="AG71" i="5"/>
  <c r="C72" i="5"/>
  <c r="O72" i="5"/>
  <c r="AA72" i="5"/>
  <c r="AM72" i="5"/>
  <c r="I73" i="5"/>
  <c r="U73" i="5"/>
  <c r="AG73" i="5"/>
  <c r="C74" i="5"/>
  <c r="O74" i="5"/>
  <c r="AA74" i="5"/>
  <c r="AM74" i="5"/>
  <c r="I75" i="5"/>
  <c r="U75" i="5"/>
  <c r="AG75" i="5"/>
  <c r="C76" i="5"/>
  <c r="O76" i="5"/>
  <c r="AA76" i="5"/>
  <c r="AI52" i="5"/>
  <c r="G53" i="5"/>
  <c r="U53" i="5"/>
  <c r="W54" i="5"/>
  <c r="AK54" i="5"/>
  <c r="K56" i="5"/>
  <c r="Y56" i="5"/>
  <c r="AM56" i="5"/>
  <c r="AO57" i="5"/>
  <c r="M58" i="5"/>
  <c r="AA58" i="5"/>
  <c r="AC59" i="5"/>
  <c r="AQ59" i="5"/>
  <c r="O60" i="5"/>
  <c r="Q61" i="5"/>
  <c r="AE61" i="5"/>
  <c r="C62" i="5"/>
  <c r="E63" i="5"/>
  <c r="S63" i="5"/>
  <c r="AG63" i="5"/>
  <c r="AI64" i="5"/>
  <c r="G65" i="5"/>
  <c r="I54" i="5"/>
  <c r="I59" i="5"/>
  <c r="Y60" i="5"/>
  <c r="AO61" i="5"/>
  <c r="C65" i="5"/>
  <c r="AE65" i="5"/>
  <c r="M66" i="5"/>
  <c r="AM68" i="5"/>
  <c r="S69" i="5"/>
  <c r="M70" i="5"/>
  <c r="G71" i="5"/>
  <c r="AQ71" i="5"/>
  <c r="AK72" i="5"/>
  <c r="AE73" i="5"/>
  <c r="Y74" i="5"/>
  <c r="S75" i="5"/>
  <c r="M76" i="5"/>
  <c r="E77" i="5"/>
  <c r="S77" i="5"/>
  <c r="AG77" i="5"/>
  <c r="E78" i="5"/>
  <c r="U78" i="5"/>
  <c r="AI78" i="5"/>
  <c r="W56" i="5"/>
  <c r="AA60" i="5"/>
  <c r="AQ61" i="5"/>
  <c r="Q63" i="5"/>
  <c r="O64" i="5"/>
  <c r="E65" i="5"/>
  <c r="AG65" i="5"/>
  <c r="O67" i="5"/>
  <c r="AM69" i="5"/>
  <c r="AG70" i="5"/>
  <c r="AA71" i="5"/>
  <c r="U72" i="5"/>
  <c r="O73" i="5"/>
  <c r="I74" i="5"/>
  <c r="C75" i="5"/>
  <c r="AM75" i="5"/>
  <c r="AG76" i="5"/>
  <c r="O59" i="5"/>
  <c r="O66" i="5"/>
  <c r="AM66" i="5"/>
  <c r="AO67" i="5"/>
  <c r="U68" i="5"/>
  <c r="C69" i="5"/>
  <c r="AO69" i="5"/>
  <c r="AI70" i="5"/>
  <c r="AC71" i="5"/>
  <c r="W72" i="5"/>
  <c r="Q73" i="5"/>
  <c r="K74" i="5"/>
  <c r="E75" i="5"/>
  <c r="AO75" i="5"/>
  <c r="AI76" i="5"/>
  <c r="G77" i="5"/>
  <c r="U77" i="5"/>
  <c r="AI77" i="5"/>
  <c r="I78" i="5"/>
  <c r="W78" i="5"/>
  <c r="AK78" i="5"/>
  <c r="AI54" i="5"/>
  <c r="AI56" i="5"/>
  <c r="AM60" i="5"/>
  <c r="M62" i="5"/>
  <c r="AA63" i="5"/>
  <c r="Q66" i="5"/>
  <c r="W68" i="5"/>
  <c r="E69" i="5"/>
  <c r="W69" i="5"/>
  <c r="Q70" i="5"/>
  <c r="K71" i="5"/>
  <c r="E72" i="5"/>
  <c r="AO72" i="5"/>
  <c r="AI73" i="5"/>
  <c r="AC74" i="5"/>
  <c r="W75" i="5"/>
  <c r="Q76" i="5"/>
  <c r="AK77" i="5"/>
  <c r="AK56" i="5"/>
  <c r="K58" i="5"/>
  <c r="O62" i="5"/>
  <c r="AC63" i="5"/>
  <c r="U64" i="5"/>
  <c r="O65" i="5"/>
  <c r="AO65" i="5"/>
  <c r="AO66" i="5"/>
  <c r="W67" i="5"/>
  <c r="Y68" i="5"/>
  <c r="AQ69" i="5"/>
  <c r="AK70" i="5"/>
  <c r="AE71" i="5"/>
  <c r="Y72" i="5"/>
  <c r="S73" i="5"/>
  <c r="M74" i="5"/>
  <c r="G75" i="5"/>
  <c r="AQ75" i="5"/>
  <c r="AK76" i="5"/>
  <c r="I77" i="5"/>
  <c r="W77" i="5"/>
  <c r="AM77" i="5"/>
  <c r="K78" i="5"/>
  <c r="Y78" i="5"/>
  <c r="AM78" i="5"/>
  <c r="E53" i="5"/>
  <c r="G55" i="5"/>
  <c r="C61" i="5"/>
  <c r="S62" i="5"/>
  <c r="AE63" i="5"/>
  <c r="Q65" i="5"/>
  <c r="W66" i="5"/>
  <c r="AQ66" i="5"/>
  <c r="G69" i="5"/>
  <c r="AA69" i="5"/>
  <c r="U70" i="5"/>
  <c r="O71" i="5"/>
  <c r="I72" i="5"/>
  <c r="C73" i="5"/>
  <c r="AM73" i="5"/>
  <c r="AG74" i="5"/>
  <c r="AA75" i="5"/>
  <c r="U76" i="5"/>
  <c r="Y77" i="5"/>
  <c r="U52" i="5"/>
  <c r="S53" i="5"/>
  <c r="U55" i="5"/>
  <c r="I57" i="5"/>
  <c r="Y58" i="5"/>
  <c r="AO59" i="5"/>
  <c r="AE64" i="5"/>
  <c r="U65" i="5"/>
  <c r="G67" i="5"/>
  <c r="AA67" i="5"/>
  <c r="E70" i="5"/>
  <c r="AO70" i="5"/>
  <c r="AI71" i="5"/>
  <c r="AC72" i="5"/>
  <c r="W73" i="5"/>
  <c r="Q74" i="5"/>
  <c r="K75" i="5"/>
  <c r="E76" i="5"/>
  <c r="M77" i="5"/>
  <c r="AQ78" i="5"/>
  <c r="C52" i="5"/>
  <c r="AG53" i="5"/>
  <c r="U57" i="5"/>
  <c r="AK58" i="5"/>
  <c r="K60" i="5"/>
  <c r="AA65" i="5"/>
  <c r="E66" i="5"/>
  <c r="AG67" i="5"/>
  <c r="AI68" i="5"/>
  <c r="I70" i="5"/>
  <c r="C71" i="5"/>
  <c r="AM71" i="5"/>
  <c r="AG72" i="5"/>
  <c r="AA73" i="5"/>
  <c r="U74" i="5"/>
  <c r="O75" i="5"/>
  <c r="I76" i="5"/>
  <c r="AQ76" i="5"/>
  <c r="AE78" i="5"/>
  <c r="AK53" i="5"/>
  <c r="AM55" i="5"/>
  <c r="AM58" i="5"/>
  <c r="M60" i="5"/>
  <c r="AC61" i="5"/>
  <c r="C64" i="5"/>
  <c r="AQ64" i="5"/>
  <c r="AC65" i="5"/>
  <c r="I66" i="5"/>
  <c r="K67" i="5"/>
  <c r="AI67" i="5"/>
  <c r="M68" i="5"/>
  <c r="Q69" i="5"/>
  <c r="K70" i="5"/>
  <c r="E71" i="5"/>
  <c r="AO71" i="5"/>
  <c r="AI72" i="5"/>
  <c r="AC73" i="5"/>
  <c r="W74" i="5"/>
  <c r="Q75" i="5"/>
  <c r="K76" i="5"/>
  <c r="C77" i="5"/>
  <c r="Q77" i="5"/>
  <c r="AE77" i="5"/>
  <c r="C78" i="5"/>
  <c r="Q78" i="5"/>
  <c r="AG78" i="5"/>
  <c r="B63" i="5"/>
  <c r="B64" i="5"/>
  <c r="F73" i="5"/>
  <c r="H68" i="5"/>
  <c r="B66" i="5"/>
  <c r="D61" i="5"/>
  <c r="D59" i="5"/>
  <c r="D57" i="5"/>
  <c r="D55" i="5"/>
  <c r="AN39" i="5"/>
  <c r="AB39" i="5"/>
  <c r="D53" i="5"/>
  <c r="D39" i="5"/>
  <c r="V52" i="5"/>
  <c r="V39" i="5"/>
  <c r="J52" i="5"/>
  <c r="J39" i="5"/>
  <c r="F66" i="5"/>
  <c r="F70" i="5"/>
  <c r="F72" i="5"/>
  <c r="F74" i="5"/>
  <c r="F76" i="5"/>
  <c r="F78" i="5"/>
  <c r="F61" i="5"/>
  <c r="F59" i="5"/>
  <c r="F58" i="5"/>
  <c r="F57" i="5"/>
  <c r="F56" i="5"/>
  <c r="F55" i="5"/>
  <c r="F65" i="5"/>
  <c r="F64" i="5"/>
  <c r="B70" i="5"/>
  <c r="F68" i="5"/>
  <c r="U66" i="5"/>
  <c r="F69" i="5"/>
  <c r="H64" i="5"/>
  <c r="B58" i="5"/>
  <c r="D60" i="5"/>
  <c r="H63" i="5"/>
  <c r="B68" i="5"/>
  <c r="B71" i="5"/>
  <c r="H72" i="5"/>
  <c r="B73" i="5"/>
  <c r="H74" i="5"/>
  <c r="B75" i="5"/>
  <c r="H76" i="5"/>
  <c r="B77" i="5"/>
  <c r="H78" i="5"/>
  <c r="B56" i="5"/>
  <c r="D58" i="5"/>
  <c r="H61" i="5"/>
  <c r="B55" i="5"/>
  <c r="H60" i="5"/>
  <c r="H67" i="5"/>
  <c r="B69" i="5"/>
  <c r="B54" i="5"/>
  <c r="D56" i="5"/>
  <c r="H59" i="5"/>
  <c r="B53" i="5"/>
  <c r="D54" i="5"/>
  <c r="H57" i="5"/>
  <c r="H55" i="5"/>
  <c r="B62" i="5"/>
  <c r="D64" i="5"/>
  <c r="H69" i="5"/>
  <c r="H54" i="5"/>
  <c r="B61" i="5"/>
  <c r="M69" i="5"/>
  <c r="AE68" i="5"/>
  <c r="M67" i="5"/>
  <c r="S66" i="5"/>
  <c r="G66" i="5"/>
  <c r="AK65" i="5"/>
  <c r="M65" i="5"/>
  <c r="S64" i="5"/>
  <c r="AK63" i="5"/>
  <c r="Y63" i="5"/>
  <c r="M63" i="5"/>
  <c r="AQ62" i="5"/>
  <c r="AE62" i="5"/>
  <c r="G62" i="5"/>
  <c r="AK61" i="5"/>
  <c r="Y61" i="5"/>
  <c r="M61" i="5"/>
  <c r="AQ60" i="5"/>
  <c r="S60" i="5"/>
  <c r="G60" i="5"/>
  <c r="AK59" i="5"/>
  <c r="Y59" i="5"/>
  <c r="M59" i="5"/>
  <c r="AE58" i="5"/>
  <c r="S58" i="5"/>
  <c r="G58" i="5"/>
  <c r="AK57" i="5"/>
  <c r="Y57" i="5"/>
  <c r="AQ56" i="5"/>
  <c r="AE56" i="5"/>
  <c r="S56" i="5"/>
  <c r="G56" i="5"/>
  <c r="AK55" i="5"/>
  <c r="M55" i="5"/>
  <c r="AQ54" i="5"/>
  <c r="AE54" i="5"/>
  <c r="S54" i="5"/>
  <c r="G54" i="5"/>
  <c r="AK39" i="5"/>
  <c r="Y53" i="5"/>
  <c r="Y39" i="5"/>
  <c r="M53" i="5"/>
  <c r="M39" i="5"/>
  <c r="AQ39" i="5"/>
  <c r="AQ52" i="5"/>
  <c r="AE39" i="5"/>
  <c r="AE52" i="5"/>
  <c r="S39" i="5"/>
  <c r="S52" i="5"/>
  <c r="G39" i="5"/>
  <c r="D72" i="5"/>
  <c r="H65" i="5"/>
  <c r="D62" i="5"/>
  <c r="F60" i="5"/>
  <c r="F77" i="5"/>
  <c r="B72" i="5"/>
  <c r="H71" i="5"/>
  <c r="K69" i="5"/>
  <c r="AC68" i="5"/>
  <c r="AI65" i="5"/>
  <c r="K65" i="5"/>
  <c r="G52" i="5"/>
  <c r="AH39" i="5"/>
  <c r="F53" i="5"/>
  <c r="AO64" i="5"/>
  <c r="AC64" i="5"/>
  <c r="Q64" i="5"/>
  <c r="E64" i="5"/>
  <c r="AI63" i="5"/>
  <c r="W63" i="5"/>
  <c r="K63" i="5"/>
  <c r="AO62" i="5"/>
  <c r="AC62" i="5"/>
  <c r="Q62" i="5"/>
  <c r="E62" i="5"/>
  <c r="AI61" i="5"/>
  <c r="W61" i="5"/>
  <c r="K61" i="5"/>
  <c r="AO60" i="5"/>
  <c r="AC60" i="5"/>
  <c r="Q60" i="5"/>
  <c r="E60" i="5"/>
  <c r="AI59" i="5"/>
  <c r="W59" i="5"/>
  <c r="K59" i="5"/>
  <c r="AO58" i="5"/>
  <c r="AC58" i="5"/>
  <c r="Q58" i="5"/>
  <c r="E58" i="5"/>
  <c r="AI57" i="5"/>
  <c r="W57" i="5"/>
  <c r="K57" i="5"/>
  <c r="AO56" i="5"/>
  <c r="AC56" i="5"/>
  <c r="Q56" i="5"/>
  <c r="E56" i="5"/>
  <c r="AI55" i="5"/>
  <c r="W55" i="5"/>
  <c r="K55" i="5"/>
  <c r="AO54" i="5"/>
  <c r="AC54" i="5"/>
  <c r="Q54" i="5"/>
  <c r="E54" i="5"/>
  <c r="AI53" i="5"/>
  <c r="W53" i="5"/>
  <c r="K53" i="5"/>
  <c r="AO52" i="5"/>
  <c r="AC52" i="5"/>
  <c r="Q52" i="5"/>
  <c r="E52" i="5"/>
  <c r="AO39" i="5"/>
  <c r="K39" i="5"/>
  <c r="S4" i="5"/>
  <c r="AL39" i="5"/>
  <c r="Z39" i="5"/>
  <c r="N39" i="5"/>
  <c r="B39" i="5"/>
  <c r="H70" i="5"/>
  <c r="H66" i="5"/>
  <c r="H62" i="5"/>
  <c r="B57" i="5"/>
  <c r="W39" i="5"/>
  <c r="F62" i="5"/>
  <c r="B59" i="5"/>
  <c r="AI39" i="5"/>
  <c r="A49" i="19"/>
  <c r="A79" i="19"/>
  <c r="F45" i="19"/>
  <c r="A147" i="5" l="1"/>
  <c r="A204" i="5"/>
  <c r="A233" i="5"/>
  <c r="A175" i="5"/>
  <c r="F81" i="20"/>
  <c r="I59" i="20"/>
  <c r="F258" i="5"/>
  <c r="C57" i="11"/>
  <c r="G83" i="5"/>
  <c r="A108" i="19"/>
  <c r="A194" i="19"/>
  <c r="A136" i="19"/>
  <c r="A165" i="19"/>
  <c r="F285" i="5"/>
  <c r="E288" i="5"/>
  <c r="F219" i="19"/>
  <c r="E223" i="19"/>
  <c r="G79" i="5"/>
  <c r="AE79" i="5"/>
  <c r="E82" i="20"/>
  <c r="H79" i="5"/>
  <c r="M79" i="5"/>
  <c r="I79" i="5"/>
  <c r="S79" i="5"/>
  <c r="O79" i="5"/>
  <c r="W79" i="5"/>
  <c r="AQ79" i="5"/>
  <c r="U79" i="5"/>
  <c r="A109" i="19"/>
  <c r="A50" i="19"/>
  <c r="A80" i="19"/>
  <c r="A137" i="19"/>
  <c r="A195" i="19"/>
  <c r="A166" i="19"/>
  <c r="AK79" i="5"/>
  <c r="F79" i="5"/>
  <c r="AO79" i="5"/>
  <c r="AI79" i="5"/>
  <c r="E79" i="5"/>
  <c r="AM79" i="5"/>
  <c r="C79" i="5"/>
  <c r="Y79" i="5"/>
  <c r="Q79" i="5"/>
  <c r="G45" i="19"/>
  <c r="K10" i="5"/>
  <c r="B79" i="5"/>
  <c r="D79" i="5"/>
  <c r="K79" i="5"/>
  <c r="G261" i="5"/>
  <c r="AC79" i="5"/>
  <c r="AG79" i="5"/>
  <c r="AA79" i="5"/>
  <c r="A119" i="5"/>
  <c r="A89" i="5"/>
  <c r="A176" i="5"/>
  <c r="A234" i="5"/>
  <c r="A205" i="5"/>
  <c r="A148" i="5"/>
  <c r="H21" i="20" l="1"/>
  <c r="J21" i="20" s="1"/>
  <c r="F82" i="20"/>
  <c r="H20" i="20"/>
  <c r="J20" i="20" s="1"/>
  <c r="H35" i="20"/>
  <c r="J35" i="20" s="1"/>
  <c r="H14" i="20"/>
  <c r="J14" i="20" s="1"/>
  <c r="F288" i="5"/>
  <c r="E318" i="5"/>
  <c r="F223" i="19"/>
  <c r="E269" i="19"/>
  <c r="H83" i="5"/>
  <c r="J53" i="5"/>
  <c r="J65" i="5"/>
  <c r="J63" i="5"/>
  <c r="J61" i="5"/>
  <c r="J59" i="5"/>
  <c r="J57" i="5"/>
  <c r="J71" i="5"/>
  <c r="J77" i="5"/>
  <c r="J69" i="5"/>
  <c r="J67" i="5"/>
  <c r="J73" i="5"/>
  <c r="J75" i="5"/>
  <c r="J55" i="5"/>
  <c r="J56" i="5"/>
  <c r="J78" i="5"/>
  <c r="J74" i="5"/>
  <c r="J70" i="5"/>
  <c r="J66" i="5"/>
  <c r="J62" i="5"/>
  <c r="J58" i="5"/>
  <c r="J72" i="5"/>
  <c r="J68" i="5"/>
  <c r="J64" i="5"/>
  <c r="J60" i="5"/>
  <c r="J76" i="5"/>
  <c r="J54" i="5"/>
  <c r="A51" i="19"/>
  <c r="A81" i="19"/>
  <c r="A138" i="19"/>
  <c r="A167" i="19"/>
  <c r="A110" i="19"/>
  <c r="A196" i="19"/>
  <c r="A120" i="5"/>
  <c r="A90" i="5"/>
  <c r="A177" i="5"/>
  <c r="A149" i="5"/>
  <c r="A206" i="5"/>
  <c r="A235" i="5"/>
  <c r="H45" i="19"/>
  <c r="M10" i="5"/>
  <c r="H261" i="5"/>
  <c r="G288" i="5" l="1"/>
  <c r="F318" i="5"/>
  <c r="G223" i="19"/>
  <c r="F269" i="19"/>
  <c r="I83" i="5"/>
  <c r="I45" i="19"/>
  <c r="O10" i="5"/>
  <c r="L71" i="5"/>
  <c r="L73" i="5"/>
  <c r="L75" i="5"/>
  <c r="L77" i="5"/>
  <c r="L54" i="5"/>
  <c r="L64" i="5"/>
  <c r="L65" i="5"/>
  <c r="L63" i="5"/>
  <c r="L62" i="5"/>
  <c r="L60" i="5"/>
  <c r="L58" i="5"/>
  <c r="L57" i="5"/>
  <c r="L56" i="5"/>
  <c r="L59" i="5"/>
  <c r="L74" i="5"/>
  <c r="L78" i="5"/>
  <c r="L72" i="5"/>
  <c r="L68" i="5"/>
  <c r="L66" i="5"/>
  <c r="L70" i="5"/>
  <c r="L76" i="5"/>
  <c r="L69" i="5"/>
  <c r="L67" i="5"/>
  <c r="L61" i="5"/>
  <c r="L53" i="5"/>
  <c r="L55" i="5"/>
  <c r="A82" i="19"/>
  <c r="A52" i="19"/>
  <c r="A111" i="19"/>
  <c r="A139" i="19"/>
  <c r="A197" i="19"/>
  <c r="A168" i="19"/>
  <c r="I261" i="5"/>
  <c r="A121" i="5"/>
  <c r="A91" i="5"/>
  <c r="A178" i="5"/>
  <c r="A150" i="5"/>
  <c r="A207" i="5"/>
  <c r="A236" i="5"/>
  <c r="J79" i="5"/>
  <c r="H288" i="5" l="1"/>
  <c r="G318" i="5"/>
  <c r="G269" i="19"/>
  <c r="H223" i="19"/>
  <c r="J83" i="5"/>
  <c r="L79" i="5"/>
  <c r="N68" i="5"/>
  <c r="N56" i="5"/>
  <c r="N71" i="5"/>
  <c r="N73" i="5"/>
  <c r="N75" i="5"/>
  <c r="N77" i="5"/>
  <c r="N54" i="5"/>
  <c r="N53" i="5"/>
  <c r="N62" i="5"/>
  <c r="N60" i="5"/>
  <c r="N59" i="5"/>
  <c r="N63" i="5"/>
  <c r="N64" i="5"/>
  <c r="N67" i="5"/>
  <c r="N66" i="5"/>
  <c r="N70" i="5"/>
  <c r="N76" i="5"/>
  <c r="N65" i="5"/>
  <c r="N58" i="5"/>
  <c r="N74" i="5"/>
  <c r="N61" i="5"/>
  <c r="N78" i="5"/>
  <c r="N69" i="5"/>
  <c r="N72" i="5"/>
  <c r="N55" i="5"/>
  <c r="N57" i="5"/>
  <c r="J45" i="19"/>
  <c r="Q10" i="5"/>
  <c r="J261" i="5"/>
  <c r="A53" i="19"/>
  <c r="A140" i="19"/>
  <c r="A83" i="19"/>
  <c r="A112" i="19"/>
  <c r="A169" i="19"/>
  <c r="A198" i="19"/>
  <c r="A122" i="5"/>
  <c r="A92" i="5"/>
  <c r="A151" i="5"/>
  <c r="A208" i="5"/>
  <c r="A179" i="5"/>
  <c r="A237" i="5"/>
  <c r="I288" i="5" l="1"/>
  <c r="H318" i="5"/>
  <c r="H269" i="19"/>
  <c r="I223" i="19"/>
  <c r="K83" i="5"/>
  <c r="N79" i="5"/>
  <c r="K45" i="19"/>
  <c r="S10" i="5"/>
  <c r="A123" i="5"/>
  <c r="A93" i="5"/>
  <c r="A180" i="5"/>
  <c r="A152" i="5"/>
  <c r="A209" i="5"/>
  <c r="A238" i="5"/>
  <c r="K261" i="5"/>
  <c r="P58" i="5"/>
  <c r="P56" i="5"/>
  <c r="P54" i="5"/>
  <c r="P62" i="5"/>
  <c r="P66" i="5"/>
  <c r="P64" i="5"/>
  <c r="P70" i="5"/>
  <c r="P76" i="5"/>
  <c r="P78" i="5"/>
  <c r="P72" i="5"/>
  <c r="P60" i="5"/>
  <c r="P74" i="5"/>
  <c r="P67" i="5"/>
  <c r="P63" i="5"/>
  <c r="P53" i="5"/>
  <c r="P68" i="5"/>
  <c r="P59" i="5"/>
  <c r="P55" i="5"/>
  <c r="P77" i="5"/>
  <c r="P73" i="5"/>
  <c r="P69" i="5"/>
  <c r="P65" i="5"/>
  <c r="P61" i="5"/>
  <c r="P57" i="5"/>
  <c r="P75" i="5"/>
  <c r="P71" i="5"/>
  <c r="A54" i="19"/>
  <c r="A84" i="19"/>
  <c r="A113" i="19"/>
  <c r="A141" i="19"/>
  <c r="A199" i="19"/>
  <c r="A170" i="19"/>
  <c r="J288" i="5" l="1"/>
  <c r="I318" i="5"/>
  <c r="I269" i="19"/>
  <c r="J223" i="19"/>
  <c r="L83" i="5"/>
  <c r="R70" i="5"/>
  <c r="R72" i="5"/>
  <c r="R74" i="5"/>
  <c r="R76" i="5"/>
  <c r="R78" i="5"/>
  <c r="R59" i="5"/>
  <c r="R67" i="5"/>
  <c r="R57" i="5"/>
  <c r="R56" i="5"/>
  <c r="R68" i="5"/>
  <c r="R55" i="5"/>
  <c r="R54" i="5"/>
  <c r="R53" i="5"/>
  <c r="R63" i="5"/>
  <c r="R62" i="5"/>
  <c r="R64" i="5"/>
  <c r="R73" i="5"/>
  <c r="R66" i="5"/>
  <c r="R71" i="5"/>
  <c r="R61" i="5"/>
  <c r="R77" i="5"/>
  <c r="R75" i="5"/>
  <c r="R69" i="5"/>
  <c r="R65" i="5"/>
  <c r="R58" i="5"/>
  <c r="R60" i="5"/>
  <c r="L261" i="5"/>
  <c r="L45" i="19"/>
  <c r="U10" i="5"/>
  <c r="A85" i="19"/>
  <c r="A114" i="19"/>
  <c r="A55" i="19"/>
  <c r="A142" i="19"/>
  <c r="A171" i="19"/>
  <c r="A200" i="19"/>
  <c r="A124" i="5"/>
  <c r="A94" i="5"/>
  <c r="A181" i="5"/>
  <c r="A153" i="5"/>
  <c r="A210" i="5"/>
  <c r="A239" i="5"/>
  <c r="P79" i="5"/>
  <c r="J318" i="5" l="1"/>
  <c r="K288" i="5"/>
  <c r="J269" i="19"/>
  <c r="K223" i="19"/>
  <c r="M83" i="5"/>
  <c r="M261" i="5"/>
  <c r="R79" i="5"/>
  <c r="A95" i="5"/>
  <c r="A125" i="5"/>
  <c r="A154" i="5"/>
  <c r="A182" i="5"/>
  <c r="A211" i="5"/>
  <c r="A240" i="5"/>
  <c r="M45" i="19"/>
  <c r="W10" i="5"/>
  <c r="A86" i="19"/>
  <c r="A56" i="19"/>
  <c r="A143" i="19"/>
  <c r="A172" i="19"/>
  <c r="A201" i="19"/>
  <c r="A115" i="19"/>
  <c r="T62" i="5"/>
  <c r="T61" i="5"/>
  <c r="T66" i="5"/>
  <c r="T70" i="5"/>
  <c r="T72" i="5"/>
  <c r="T74" i="5"/>
  <c r="T76" i="5"/>
  <c r="T78" i="5"/>
  <c r="T59" i="5"/>
  <c r="T58" i="5"/>
  <c r="T57" i="5"/>
  <c r="T56" i="5"/>
  <c r="T55" i="5"/>
  <c r="T64" i="5"/>
  <c r="T65" i="5"/>
  <c r="T54" i="5"/>
  <c r="T68" i="5"/>
  <c r="T69" i="5"/>
  <c r="T75" i="5"/>
  <c r="T77" i="5"/>
  <c r="T63" i="5"/>
  <c r="T67" i="5"/>
  <c r="T73" i="5"/>
  <c r="T71" i="5"/>
  <c r="T53" i="5"/>
  <c r="T60" i="5"/>
  <c r="K318" i="5" l="1"/>
  <c r="L288" i="5"/>
  <c r="K269" i="19"/>
  <c r="L223" i="19"/>
  <c r="N83" i="5"/>
  <c r="V65" i="5"/>
  <c r="V63" i="5"/>
  <c r="V61" i="5"/>
  <c r="V59" i="5"/>
  <c r="V57" i="5"/>
  <c r="V55" i="5"/>
  <c r="V69" i="5"/>
  <c r="V75" i="5"/>
  <c r="V67" i="5"/>
  <c r="V77" i="5"/>
  <c r="V71" i="5"/>
  <c r="V73" i="5"/>
  <c r="V53" i="5"/>
  <c r="V78" i="5"/>
  <c r="V74" i="5"/>
  <c r="V70" i="5"/>
  <c r="V72" i="5"/>
  <c r="V66" i="5"/>
  <c r="V62" i="5"/>
  <c r="V64" i="5"/>
  <c r="V58" i="5"/>
  <c r="V76" i="5"/>
  <c r="V54" i="5"/>
  <c r="V68" i="5"/>
  <c r="V60" i="5"/>
  <c r="V56" i="5"/>
  <c r="A87" i="19"/>
  <c r="A57" i="19"/>
  <c r="A116" i="19"/>
  <c r="A144" i="19"/>
  <c r="A173" i="19"/>
  <c r="A202" i="19"/>
  <c r="A126" i="5"/>
  <c r="A155" i="5"/>
  <c r="A183" i="5"/>
  <c r="A96" i="5"/>
  <c r="A212" i="5"/>
  <c r="A241" i="5"/>
  <c r="N45" i="19"/>
  <c r="Y10" i="5"/>
  <c r="N261" i="5"/>
  <c r="T79" i="5"/>
  <c r="L318" i="5" l="1"/>
  <c r="M288" i="5"/>
  <c r="L269" i="19"/>
  <c r="M223" i="19"/>
  <c r="O83" i="5"/>
  <c r="A58" i="19"/>
  <c r="A145" i="19"/>
  <c r="A88" i="19"/>
  <c r="A117" i="19"/>
  <c r="A174" i="19"/>
  <c r="A203" i="19"/>
  <c r="X69" i="5"/>
  <c r="X71" i="5"/>
  <c r="X73" i="5"/>
  <c r="X75" i="5"/>
  <c r="X77" i="5"/>
  <c r="X64" i="5"/>
  <c r="X62" i="5"/>
  <c r="X61" i="5"/>
  <c r="X66" i="5"/>
  <c r="X60" i="5"/>
  <c r="X58" i="5"/>
  <c r="X56" i="5"/>
  <c r="X68" i="5"/>
  <c r="X55" i="5"/>
  <c r="X54" i="5"/>
  <c r="X59" i="5"/>
  <c r="X72" i="5"/>
  <c r="X78" i="5"/>
  <c r="X67" i="5"/>
  <c r="X70" i="5"/>
  <c r="X76" i="5"/>
  <c r="X57" i="5"/>
  <c r="X74" i="5"/>
  <c r="X65" i="5"/>
  <c r="X63" i="5"/>
  <c r="X53" i="5"/>
  <c r="A127" i="5"/>
  <c r="A97" i="5"/>
  <c r="A184" i="5"/>
  <c r="A156" i="5"/>
  <c r="A213" i="5"/>
  <c r="A242" i="5"/>
  <c r="O45" i="19"/>
  <c r="AA10" i="5"/>
  <c r="V79" i="5"/>
  <c r="O261" i="5"/>
  <c r="M318" i="5" l="1"/>
  <c r="N288" i="5"/>
  <c r="M269" i="19"/>
  <c r="N223" i="19"/>
  <c r="P83" i="5"/>
  <c r="P45" i="19"/>
  <c r="AC10" i="5"/>
  <c r="X79" i="5"/>
  <c r="A59" i="19"/>
  <c r="A146" i="19"/>
  <c r="A118" i="19"/>
  <c r="A89" i="19"/>
  <c r="A175" i="19"/>
  <c r="A204" i="19"/>
  <c r="A128" i="5"/>
  <c r="A157" i="5"/>
  <c r="A243" i="5"/>
  <c r="A185" i="5"/>
  <c r="A214" i="5"/>
  <c r="A98" i="5"/>
  <c r="Z54" i="5"/>
  <c r="Z71" i="5"/>
  <c r="Z73" i="5"/>
  <c r="Z75" i="5"/>
  <c r="Z77" i="5"/>
  <c r="Z64" i="5"/>
  <c r="Z63" i="5"/>
  <c r="Z65" i="5"/>
  <c r="Z62" i="5"/>
  <c r="Z60" i="5"/>
  <c r="Z58" i="5"/>
  <c r="Z67" i="5"/>
  <c r="Z57" i="5"/>
  <c r="Z74" i="5"/>
  <c r="Z56" i="5"/>
  <c r="Z59" i="5"/>
  <c r="Z68" i="5"/>
  <c r="Z72" i="5"/>
  <c r="Z78" i="5"/>
  <c r="Z66" i="5"/>
  <c r="Z61" i="5"/>
  <c r="Z70" i="5"/>
  <c r="Z76" i="5"/>
  <c r="Z53" i="5"/>
  <c r="Z55" i="5"/>
  <c r="Z69" i="5"/>
  <c r="P261" i="5"/>
  <c r="N318" i="5" l="1"/>
  <c r="O288" i="5"/>
  <c r="N269" i="19"/>
  <c r="O223" i="19"/>
  <c r="Q83" i="5"/>
  <c r="A90" i="19"/>
  <c r="A60" i="19"/>
  <c r="A147" i="19"/>
  <c r="A176" i="19"/>
  <c r="A119" i="19"/>
  <c r="A205" i="19"/>
  <c r="AB56" i="5"/>
  <c r="AB68" i="5"/>
  <c r="AB54" i="5"/>
  <c r="AB62" i="5"/>
  <c r="AB60" i="5"/>
  <c r="AB74" i="5"/>
  <c r="AB64" i="5"/>
  <c r="AB78" i="5"/>
  <c r="AB66" i="5"/>
  <c r="AB70" i="5"/>
  <c r="AB76" i="5"/>
  <c r="AB58" i="5"/>
  <c r="AB72" i="5"/>
  <c r="AB59" i="5"/>
  <c r="AB57" i="5"/>
  <c r="AB55" i="5"/>
  <c r="AB77" i="5"/>
  <c r="AB73" i="5"/>
  <c r="AB69" i="5"/>
  <c r="AB65" i="5"/>
  <c r="AB61" i="5"/>
  <c r="AB75" i="5"/>
  <c r="AB71" i="5"/>
  <c r="AB53" i="5"/>
  <c r="AB67" i="5"/>
  <c r="AB63" i="5"/>
  <c r="Q45" i="19"/>
  <c r="AE10" i="5"/>
  <c r="Z79" i="5"/>
  <c r="A129" i="5"/>
  <c r="A99" i="5"/>
  <c r="A158" i="5"/>
  <c r="A244" i="5"/>
  <c r="A186" i="5"/>
  <c r="A215" i="5"/>
  <c r="Q261" i="5"/>
  <c r="O318" i="5" l="1"/>
  <c r="P288" i="5"/>
  <c r="O269" i="19"/>
  <c r="P223" i="19"/>
  <c r="R83" i="5"/>
  <c r="AB79" i="5"/>
  <c r="A130" i="5"/>
  <c r="A100" i="5"/>
  <c r="A159" i="5"/>
  <c r="A187" i="5"/>
  <c r="A245" i="5"/>
  <c r="A216" i="5"/>
  <c r="R45" i="19"/>
  <c r="AG10" i="5"/>
  <c r="R261" i="5"/>
  <c r="A61" i="19"/>
  <c r="A91" i="19"/>
  <c r="A120" i="19"/>
  <c r="A177" i="19"/>
  <c r="A148" i="19"/>
  <c r="A206" i="19"/>
  <c r="AD67" i="5"/>
  <c r="AD70" i="5"/>
  <c r="AD72" i="5"/>
  <c r="AD74" i="5"/>
  <c r="AD76" i="5"/>
  <c r="AD78" i="5"/>
  <c r="AD57" i="5"/>
  <c r="AD55" i="5"/>
  <c r="AD54" i="5"/>
  <c r="AD53" i="5"/>
  <c r="AD63" i="5"/>
  <c r="AD61" i="5"/>
  <c r="AD60" i="5"/>
  <c r="AD71" i="5"/>
  <c r="AD59" i="5"/>
  <c r="AD62" i="5"/>
  <c r="AD69" i="5"/>
  <c r="AD75" i="5"/>
  <c r="AD77" i="5"/>
  <c r="AD66" i="5"/>
  <c r="AD65" i="5"/>
  <c r="AD68" i="5"/>
  <c r="AD73" i="5"/>
  <c r="AD64" i="5"/>
  <c r="AD58" i="5"/>
  <c r="AD56" i="5"/>
  <c r="P318" i="5" l="1"/>
  <c r="Q288" i="5"/>
  <c r="P269" i="19"/>
  <c r="Q223" i="19"/>
  <c r="S83" i="5"/>
  <c r="AD79" i="5"/>
  <c r="S261" i="5"/>
  <c r="A131" i="5"/>
  <c r="A101" i="5"/>
  <c r="A188" i="5"/>
  <c r="A160" i="5"/>
  <c r="A217" i="5"/>
  <c r="A246" i="5"/>
  <c r="AF66" i="5"/>
  <c r="AF59" i="5"/>
  <c r="AF70" i="5"/>
  <c r="AF72" i="5"/>
  <c r="AF74" i="5"/>
  <c r="AF76" i="5"/>
  <c r="AF78" i="5"/>
  <c r="AF57" i="5"/>
  <c r="AF56" i="5"/>
  <c r="AF55" i="5"/>
  <c r="AF54" i="5"/>
  <c r="AF53" i="5"/>
  <c r="AF63" i="5"/>
  <c r="AF65" i="5"/>
  <c r="AF62" i="5"/>
  <c r="AF73" i="5"/>
  <c r="AF71" i="5"/>
  <c r="AF68" i="5"/>
  <c r="AF69" i="5"/>
  <c r="AF75" i="5"/>
  <c r="AF61" i="5"/>
  <c r="AF77" i="5"/>
  <c r="AF64" i="5"/>
  <c r="AF67" i="5"/>
  <c r="AF60" i="5"/>
  <c r="AF58" i="5"/>
  <c r="S45" i="19"/>
  <c r="AI10" i="5"/>
  <c r="A92" i="19"/>
  <c r="A62" i="19"/>
  <c r="A121" i="19"/>
  <c r="A178" i="19"/>
  <c r="A149" i="19"/>
  <c r="A207" i="19"/>
  <c r="Q318" i="5" l="1"/>
  <c r="R288" i="5"/>
  <c r="Q269" i="19"/>
  <c r="R223" i="19"/>
  <c r="T83" i="5"/>
  <c r="A132" i="5"/>
  <c r="A102" i="5"/>
  <c r="A218" i="5"/>
  <c r="A161" i="5"/>
  <c r="A247" i="5"/>
  <c r="A189" i="5"/>
  <c r="A63" i="19"/>
  <c r="A93" i="19"/>
  <c r="A122" i="19"/>
  <c r="A150" i="19"/>
  <c r="A179" i="19"/>
  <c r="A208" i="19"/>
  <c r="T45" i="19"/>
  <c r="AK10" i="5"/>
  <c r="AF79" i="5"/>
  <c r="AH61" i="5"/>
  <c r="AH59" i="5"/>
  <c r="AH67" i="5"/>
  <c r="AH57" i="5"/>
  <c r="AH55" i="5"/>
  <c r="AH77" i="5"/>
  <c r="AH65" i="5"/>
  <c r="AH73" i="5"/>
  <c r="AH69" i="5"/>
  <c r="AH75" i="5"/>
  <c r="AH71" i="5"/>
  <c r="AH78" i="5"/>
  <c r="AH63" i="5"/>
  <c r="AH74" i="5"/>
  <c r="AH70" i="5"/>
  <c r="AH66" i="5"/>
  <c r="AH62" i="5"/>
  <c r="AH64" i="5"/>
  <c r="AH58" i="5"/>
  <c r="AH53" i="5"/>
  <c r="AH54" i="5"/>
  <c r="AH76" i="5"/>
  <c r="AH72" i="5"/>
  <c r="AH68" i="5"/>
  <c r="AH56" i="5"/>
  <c r="AH60" i="5"/>
  <c r="T261" i="5"/>
  <c r="R318" i="5" l="1"/>
  <c r="S288" i="5"/>
  <c r="R269" i="19"/>
  <c r="S223" i="19"/>
  <c r="U83" i="5"/>
  <c r="U45" i="19"/>
  <c r="AM10" i="5"/>
  <c r="AJ63" i="5"/>
  <c r="AJ69" i="5"/>
  <c r="AJ71" i="5"/>
  <c r="AJ73" i="5"/>
  <c r="AJ75" i="5"/>
  <c r="AJ77" i="5"/>
  <c r="AJ62" i="5"/>
  <c r="AJ65" i="5"/>
  <c r="AJ60" i="5"/>
  <c r="AJ59" i="5"/>
  <c r="AJ58" i="5"/>
  <c r="AJ56" i="5"/>
  <c r="AJ54" i="5"/>
  <c r="AJ53" i="5"/>
  <c r="AJ57" i="5"/>
  <c r="AJ66" i="5"/>
  <c r="AJ78" i="5"/>
  <c r="AJ70" i="5"/>
  <c r="AJ76" i="5"/>
  <c r="AJ74" i="5"/>
  <c r="AJ55" i="5"/>
  <c r="AJ64" i="5"/>
  <c r="AJ68" i="5"/>
  <c r="AJ67" i="5"/>
  <c r="AJ72" i="5"/>
  <c r="AJ61" i="5"/>
  <c r="A94" i="19"/>
  <c r="A64" i="19"/>
  <c r="A123" i="19"/>
  <c r="A151" i="19"/>
  <c r="A209" i="19"/>
  <c r="A180" i="19"/>
  <c r="A103" i="5"/>
  <c r="A190" i="5"/>
  <c r="A162" i="5"/>
  <c r="A219" i="5"/>
  <c r="A133" i="5"/>
  <c r="A248" i="5"/>
  <c r="AH79" i="5"/>
  <c r="U261" i="5"/>
  <c r="S318" i="5" l="1"/>
  <c r="T288" i="5"/>
  <c r="S269" i="19"/>
  <c r="T223" i="19"/>
  <c r="V83" i="5"/>
  <c r="A65" i="19"/>
  <c r="A95" i="19"/>
  <c r="A124" i="19"/>
  <c r="A152" i="19"/>
  <c r="A181" i="19"/>
  <c r="A210" i="19"/>
  <c r="V45" i="19"/>
  <c r="AO10" i="5"/>
  <c r="A163" i="5"/>
  <c r="A220" i="5"/>
  <c r="A134" i="5"/>
  <c r="A191" i="5"/>
  <c r="A104" i="5"/>
  <c r="A249" i="5"/>
  <c r="AL64" i="5"/>
  <c r="AL71" i="5"/>
  <c r="AL73" i="5"/>
  <c r="AL75" i="5"/>
  <c r="AL77" i="5"/>
  <c r="AL62" i="5"/>
  <c r="AL61" i="5"/>
  <c r="AL60" i="5"/>
  <c r="AL58" i="5"/>
  <c r="AL56" i="5"/>
  <c r="AL55" i="5"/>
  <c r="AL57" i="5"/>
  <c r="AL66" i="5"/>
  <c r="AL67" i="5"/>
  <c r="AL72" i="5"/>
  <c r="AL65" i="5"/>
  <c r="AL78" i="5"/>
  <c r="AL54" i="5"/>
  <c r="AL70" i="5"/>
  <c r="AL76" i="5"/>
  <c r="AL74" i="5"/>
  <c r="AL68" i="5"/>
  <c r="AL59" i="5"/>
  <c r="AL63" i="5"/>
  <c r="AL53" i="5"/>
  <c r="AL69" i="5"/>
  <c r="AJ79" i="5"/>
  <c r="V261" i="5"/>
  <c r="T318" i="5" l="1"/>
  <c r="U288" i="5"/>
  <c r="T269" i="19"/>
  <c r="U223" i="19"/>
  <c r="W83" i="5"/>
  <c r="A105" i="5"/>
  <c r="A164" i="5"/>
  <c r="A221" i="5"/>
  <c r="A135" i="5"/>
  <c r="A192" i="5"/>
  <c r="A250" i="5"/>
  <c r="AL79" i="5"/>
  <c r="AN68" i="5"/>
  <c r="AN54" i="5"/>
  <c r="AN64" i="5"/>
  <c r="AN62" i="5"/>
  <c r="AN60" i="5"/>
  <c r="AN58" i="5"/>
  <c r="AN72" i="5"/>
  <c r="AN66" i="5"/>
  <c r="AN56" i="5"/>
  <c r="AN78" i="5"/>
  <c r="AN76" i="5"/>
  <c r="AN74" i="5"/>
  <c r="AN70" i="5"/>
  <c r="AN53" i="5"/>
  <c r="AN55" i="5"/>
  <c r="AN77" i="5"/>
  <c r="AN73" i="5"/>
  <c r="AN69" i="5"/>
  <c r="AN65" i="5"/>
  <c r="AN61" i="5"/>
  <c r="AN57" i="5"/>
  <c r="AN75" i="5"/>
  <c r="AN71" i="5"/>
  <c r="AN67" i="5"/>
  <c r="AN63" i="5"/>
  <c r="AN59" i="5"/>
  <c r="W45" i="19"/>
  <c r="AQ10" i="5"/>
  <c r="E8" i="19"/>
  <c r="A66" i="19"/>
  <c r="A96" i="19"/>
  <c r="A125" i="19"/>
  <c r="A153" i="19"/>
  <c r="A182" i="19"/>
  <c r="A211" i="19"/>
  <c r="U318" i="5" l="1"/>
  <c r="V288" i="5"/>
  <c r="V318" i="5" s="1"/>
  <c r="U269" i="19"/>
  <c r="V223" i="19"/>
  <c r="V269" i="19" s="1"/>
  <c r="A126" i="19"/>
  <c r="A67" i="19"/>
  <c r="A154" i="19"/>
  <c r="A212" i="19"/>
  <c r="A97" i="19"/>
  <c r="A183" i="19"/>
  <c r="AN79" i="5"/>
  <c r="AP70" i="5"/>
  <c r="AP72" i="5"/>
  <c r="AP74" i="5"/>
  <c r="AP76" i="5"/>
  <c r="AP78" i="5"/>
  <c r="AP55" i="5"/>
  <c r="AP53" i="5"/>
  <c r="AP64" i="5"/>
  <c r="AP61" i="5"/>
  <c r="AP59" i="5"/>
  <c r="AP66" i="5"/>
  <c r="AP58" i="5"/>
  <c r="AP57" i="5"/>
  <c r="AP67" i="5"/>
  <c r="AP69" i="5"/>
  <c r="AP75" i="5"/>
  <c r="AP60" i="5"/>
  <c r="AP65" i="5"/>
  <c r="AP63" i="5"/>
  <c r="AP73" i="5"/>
  <c r="AP77" i="5"/>
  <c r="AP62" i="5"/>
  <c r="AP71" i="5"/>
  <c r="AP56" i="5"/>
  <c r="AP68" i="5"/>
  <c r="AP54" i="5"/>
  <c r="E7" i="5"/>
  <c r="A106" i="5"/>
  <c r="A165" i="5"/>
  <c r="A222" i="5"/>
  <c r="A136" i="5"/>
  <c r="A193" i="5"/>
  <c r="A251" i="5"/>
  <c r="AP79" i="5" l="1"/>
  <c r="A107" i="5"/>
  <c r="A166" i="5"/>
  <c r="A137" i="5"/>
  <c r="A194" i="5"/>
  <c r="A252" i="5"/>
  <c r="A223" i="5"/>
  <c r="A98" i="19"/>
  <c r="A127" i="19"/>
  <c r="A68" i="19"/>
  <c r="A155" i="19"/>
  <c r="A213" i="19"/>
  <c r="A184" i="19"/>
  <c r="A69" i="19" l="1"/>
  <c r="A99" i="19"/>
  <c r="A156" i="19"/>
  <c r="A185" i="19"/>
  <c r="A128" i="19"/>
  <c r="A214" i="19"/>
  <c r="A167" i="5"/>
  <c r="A108" i="5"/>
  <c r="A195" i="5"/>
  <c r="A224" i="5"/>
  <c r="A138" i="5"/>
  <c r="A253" i="5"/>
  <c r="A109" i="5" l="1"/>
  <c r="B108" i="5" s="1"/>
  <c r="A100" i="19"/>
  <c r="A129" i="19"/>
  <c r="A157" i="19"/>
  <c r="A186" i="19"/>
  <c r="A215" i="19"/>
  <c r="A168" i="5"/>
  <c r="A225" i="5"/>
  <c r="A139" i="5"/>
  <c r="A196" i="5"/>
  <c r="A254" i="5"/>
  <c r="A70" i="19"/>
  <c r="C108" i="5"/>
  <c r="B69" i="19" l="1"/>
  <c r="B100" i="19"/>
  <c r="B157" i="19"/>
  <c r="B129" i="19"/>
  <c r="B215" i="19"/>
  <c r="B186" i="19"/>
  <c r="A169" i="5"/>
  <c r="A140" i="5"/>
  <c r="A197" i="5"/>
  <c r="A226" i="5"/>
  <c r="A255" i="5"/>
  <c r="A101" i="19"/>
  <c r="A158" i="19"/>
  <c r="A187" i="19"/>
  <c r="A130" i="19"/>
  <c r="A216" i="19"/>
  <c r="B46" i="19"/>
  <c r="B70" i="19"/>
  <c r="B47" i="19"/>
  <c r="B48" i="19"/>
  <c r="B49" i="19"/>
  <c r="B50" i="19"/>
  <c r="B51" i="19"/>
  <c r="B52" i="19"/>
  <c r="B53" i="19"/>
  <c r="B54" i="19"/>
  <c r="B55" i="19"/>
  <c r="B56" i="19"/>
  <c r="B57" i="19"/>
  <c r="B58" i="19"/>
  <c r="B59" i="19"/>
  <c r="B60" i="19"/>
  <c r="B61" i="19"/>
  <c r="B62" i="19"/>
  <c r="B63" i="19"/>
  <c r="B64" i="19"/>
  <c r="B65" i="19"/>
  <c r="B66" i="19"/>
  <c r="B67" i="19"/>
  <c r="B68" i="19"/>
  <c r="B85" i="5"/>
  <c r="B86" i="5"/>
  <c r="B109" i="5"/>
  <c r="B87" i="5"/>
  <c r="B88" i="5"/>
  <c r="B89" i="5"/>
  <c r="B90" i="5"/>
  <c r="B91" i="5"/>
  <c r="B92" i="5"/>
  <c r="B93" i="5"/>
  <c r="B94" i="5"/>
  <c r="B95" i="5"/>
  <c r="B96" i="5"/>
  <c r="B97" i="5"/>
  <c r="B98" i="5"/>
  <c r="B99" i="5"/>
  <c r="B100" i="5"/>
  <c r="B101" i="5"/>
  <c r="B102" i="5"/>
  <c r="B103" i="5"/>
  <c r="B104" i="5"/>
  <c r="B105" i="5"/>
  <c r="B106" i="5"/>
  <c r="B107" i="5"/>
  <c r="B139" i="5"/>
  <c r="X139" i="5" s="1"/>
  <c r="B168" i="5"/>
  <c r="B196" i="5"/>
  <c r="B225" i="5"/>
  <c r="B254" i="5"/>
  <c r="B96" i="19" l="1"/>
  <c r="B125" i="19"/>
  <c r="B153" i="19"/>
  <c r="B182" i="19"/>
  <c r="B211" i="19"/>
  <c r="B133" i="5"/>
  <c r="X133" i="5" s="1"/>
  <c r="B190" i="5"/>
  <c r="B219" i="5"/>
  <c r="B248" i="5"/>
  <c r="B162" i="5"/>
  <c r="B83" i="19"/>
  <c r="B112" i="19"/>
  <c r="B140" i="19"/>
  <c r="B169" i="19"/>
  <c r="B198" i="19"/>
  <c r="B132" i="5"/>
  <c r="X132" i="5" s="1"/>
  <c r="B189" i="5"/>
  <c r="B218" i="5"/>
  <c r="B161" i="5"/>
  <c r="B247" i="5"/>
  <c r="B113" i="19"/>
  <c r="B84" i="19"/>
  <c r="B141" i="19"/>
  <c r="B170" i="19"/>
  <c r="B199" i="19"/>
  <c r="B120" i="19"/>
  <c r="B91" i="19"/>
  <c r="B148" i="19"/>
  <c r="B177" i="19"/>
  <c r="B206" i="19"/>
  <c r="B122" i="5"/>
  <c r="X122" i="5" s="1"/>
  <c r="B179" i="5"/>
  <c r="B151" i="5"/>
  <c r="B208" i="5"/>
  <c r="B237" i="5"/>
  <c r="B110" i="19"/>
  <c r="B81" i="19"/>
  <c r="B138" i="19"/>
  <c r="B196" i="19"/>
  <c r="B167" i="19"/>
  <c r="B131" i="5"/>
  <c r="X131" i="5" s="1"/>
  <c r="B160" i="5"/>
  <c r="B188" i="5"/>
  <c r="B217" i="5"/>
  <c r="B246" i="5"/>
  <c r="B119" i="5"/>
  <c r="X119" i="5" s="1"/>
  <c r="B148" i="5"/>
  <c r="B176" i="5"/>
  <c r="B234" i="5"/>
  <c r="B205" i="5"/>
  <c r="B118" i="5"/>
  <c r="X118" i="5" s="1"/>
  <c r="B147" i="5"/>
  <c r="B233" i="5"/>
  <c r="B175" i="5"/>
  <c r="B204" i="5"/>
  <c r="B140" i="5"/>
  <c r="X140" i="5" s="1"/>
  <c r="B169" i="5"/>
  <c r="B226" i="5"/>
  <c r="B197" i="5"/>
  <c r="B255" i="5"/>
  <c r="B77" i="19"/>
  <c r="B163" i="19"/>
  <c r="B106" i="19"/>
  <c r="B134" i="19"/>
  <c r="B192" i="19"/>
  <c r="B121" i="5"/>
  <c r="X121" i="5" s="1"/>
  <c r="B178" i="5"/>
  <c r="B207" i="5"/>
  <c r="B150" i="5"/>
  <c r="B236" i="5"/>
  <c r="B92" i="19"/>
  <c r="B178" i="19"/>
  <c r="B121" i="19"/>
  <c r="B149" i="19"/>
  <c r="B207" i="19"/>
  <c r="B130" i="5"/>
  <c r="X130" i="5" s="1"/>
  <c r="B159" i="5"/>
  <c r="B187" i="5"/>
  <c r="B245" i="5"/>
  <c r="B216" i="5"/>
  <c r="B79" i="19"/>
  <c r="B108" i="19"/>
  <c r="B165" i="19"/>
  <c r="B136" i="19"/>
  <c r="B194" i="19"/>
  <c r="B129" i="5"/>
  <c r="X129" i="5" s="1"/>
  <c r="B158" i="5"/>
  <c r="B244" i="5"/>
  <c r="B186" i="5"/>
  <c r="B215" i="5"/>
  <c r="B78" i="19"/>
  <c r="B107" i="19"/>
  <c r="B164" i="19"/>
  <c r="B135" i="19"/>
  <c r="B193" i="19"/>
  <c r="B117" i="5"/>
  <c r="X117" i="5" s="1"/>
  <c r="B174" i="5"/>
  <c r="B146" i="5"/>
  <c r="B232" i="5"/>
  <c r="B203" i="5"/>
  <c r="B138" i="5"/>
  <c r="X138" i="5" s="1"/>
  <c r="B167" i="5"/>
  <c r="B195" i="5"/>
  <c r="B224" i="5"/>
  <c r="B253" i="5"/>
  <c r="B99" i="19"/>
  <c r="B214" i="19"/>
  <c r="B156" i="19"/>
  <c r="B185" i="19"/>
  <c r="B128" i="19"/>
  <c r="B87" i="19"/>
  <c r="B116" i="19"/>
  <c r="B144" i="19"/>
  <c r="B173" i="19"/>
  <c r="B202" i="19"/>
  <c r="B123" i="5"/>
  <c r="X123" i="5" s="1"/>
  <c r="B152" i="5"/>
  <c r="B209" i="5"/>
  <c r="B180" i="5"/>
  <c r="B238" i="5"/>
  <c r="B95" i="19"/>
  <c r="B124" i="19"/>
  <c r="B152" i="19"/>
  <c r="B210" i="19"/>
  <c r="B181" i="19"/>
  <c r="B94" i="19"/>
  <c r="B123" i="19"/>
  <c r="B151" i="19"/>
  <c r="B180" i="19"/>
  <c r="B209" i="19"/>
  <c r="B122" i="19"/>
  <c r="B150" i="19"/>
  <c r="B93" i="19"/>
  <c r="B179" i="19"/>
  <c r="B208" i="19"/>
  <c r="B147" i="19"/>
  <c r="B90" i="19"/>
  <c r="B176" i="19"/>
  <c r="B119" i="19"/>
  <c r="B205" i="19"/>
  <c r="B128" i="5"/>
  <c r="X128" i="5" s="1"/>
  <c r="B157" i="5"/>
  <c r="B214" i="5"/>
  <c r="B185" i="5"/>
  <c r="B243" i="5"/>
  <c r="B101" i="19"/>
  <c r="B158" i="19"/>
  <c r="B187" i="19"/>
  <c r="B130" i="19"/>
  <c r="B216" i="19"/>
  <c r="B156" i="5"/>
  <c r="B127" i="5"/>
  <c r="X127" i="5" s="1"/>
  <c r="B184" i="5"/>
  <c r="B213" i="5"/>
  <c r="B242" i="5"/>
  <c r="B88" i="19"/>
  <c r="B117" i="19"/>
  <c r="B174" i="19"/>
  <c r="B145" i="19"/>
  <c r="B203" i="19"/>
  <c r="B155" i="5"/>
  <c r="B126" i="5"/>
  <c r="X126" i="5" s="1"/>
  <c r="B183" i="5"/>
  <c r="B241" i="5"/>
  <c r="B212" i="5"/>
  <c r="B137" i="5"/>
  <c r="X137" i="5" s="1"/>
  <c r="B166" i="5"/>
  <c r="B223" i="5"/>
  <c r="B194" i="5"/>
  <c r="B252" i="5"/>
  <c r="B125" i="5"/>
  <c r="X125" i="5" s="1"/>
  <c r="B182" i="5"/>
  <c r="B154" i="5"/>
  <c r="B211" i="5"/>
  <c r="B240" i="5"/>
  <c r="B127" i="19"/>
  <c r="B98" i="19"/>
  <c r="B155" i="19"/>
  <c r="B184" i="19"/>
  <c r="B213" i="19"/>
  <c r="B86" i="19"/>
  <c r="B143" i="19"/>
  <c r="B201" i="19"/>
  <c r="B172" i="19"/>
  <c r="B115" i="19"/>
  <c r="B135" i="5"/>
  <c r="X135" i="5" s="1"/>
  <c r="B164" i="5"/>
  <c r="B221" i="5"/>
  <c r="B192" i="5"/>
  <c r="B250" i="5"/>
  <c r="B134" i="5"/>
  <c r="X134" i="5" s="1"/>
  <c r="B163" i="5"/>
  <c r="B220" i="5"/>
  <c r="B191" i="5"/>
  <c r="B249" i="5"/>
  <c r="B82" i="19"/>
  <c r="B111" i="19"/>
  <c r="B139" i="19"/>
  <c r="B168" i="19"/>
  <c r="B197" i="19"/>
  <c r="B120" i="5"/>
  <c r="X120" i="5" s="1"/>
  <c r="B177" i="5"/>
  <c r="B235" i="5"/>
  <c r="B149" i="5"/>
  <c r="B206" i="5"/>
  <c r="B80" i="19"/>
  <c r="B137" i="19"/>
  <c r="B166" i="19"/>
  <c r="B109" i="19"/>
  <c r="B195" i="19"/>
  <c r="B146" i="19"/>
  <c r="B118" i="19"/>
  <c r="B175" i="19"/>
  <c r="B89" i="19"/>
  <c r="B204" i="19"/>
  <c r="B116" i="5"/>
  <c r="X116" i="5" s="1"/>
  <c r="B145" i="5"/>
  <c r="B173" i="5"/>
  <c r="B231" i="5"/>
  <c r="B202" i="5"/>
  <c r="B136" i="5"/>
  <c r="X136" i="5" s="1"/>
  <c r="B165" i="5"/>
  <c r="B222" i="5"/>
  <c r="B193" i="5"/>
  <c r="B251" i="5"/>
  <c r="B124" i="5"/>
  <c r="X124" i="5" s="1"/>
  <c r="B181" i="5"/>
  <c r="B153" i="5"/>
  <c r="B210" i="5"/>
  <c r="B239" i="5"/>
  <c r="B97" i="19"/>
  <c r="B126" i="19"/>
  <c r="B154" i="19"/>
  <c r="B212" i="19"/>
  <c r="B183" i="19"/>
  <c r="B85" i="19"/>
  <c r="B114" i="19"/>
  <c r="B142" i="19"/>
  <c r="B200" i="19"/>
  <c r="B171" i="19"/>
  <c r="E41" i="22" l="1"/>
  <c r="K51" i="19" l="1"/>
  <c r="J82" i="19" s="1"/>
  <c r="C50" i="19"/>
  <c r="C81" i="19" s="1"/>
  <c r="W62" i="19"/>
  <c r="T69" i="19"/>
  <c r="S100" i="19" s="1"/>
  <c r="O60" i="19"/>
  <c r="N91" i="19" s="1"/>
  <c r="G61" i="19"/>
  <c r="E61" i="19"/>
  <c r="D92" i="19" s="1"/>
  <c r="P63" i="19"/>
  <c r="O94" i="19" s="1"/>
  <c r="L49" i="19"/>
  <c r="E67" i="19"/>
  <c r="D98" i="19" s="1"/>
  <c r="D68" i="19"/>
  <c r="R56" i="19"/>
  <c r="R87" i="19" s="1"/>
  <c r="R52" i="19"/>
  <c r="Q83" i="19" s="1"/>
  <c r="D67" i="19"/>
  <c r="C98" i="19" s="1"/>
  <c r="S52" i="19"/>
  <c r="S64" i="19"/>
  <c r="R95" i="19" s="1"/>
  <c r="W53" i="19"/>
  <c r="T58" i="19"/>
  <c r="M53" i="19"/>
  <c r="I51" i="19"/>
  <c r="J46" i="19"/>
  <c r="I77" i="19" s="1"/>
  <c r="J55" i="19"/>
  <c r="I86" i="19" s="1"/>
  <c r="K48" i="19"/>
  <c r="S65" i="19"/>
  <c r="N49" i="19"/>
  <c r="F62" i="19"/>
  <c r="K46" i="19"/>
  <c r="Q55" i="19"/>
  <c r="H67" i="19"/>
  <c r="V63" i="19"/>
  <c r="V48" i="19"/>
  <c r="J50" i="19"/>
  <c r="I81" i="19" s="1"/>
  <c r="U68" i="19"/>
  <c r="J57" i="19"/>
  <c r="W48" i="19"/>
  <c r="L63" i="19"/>
  <c r="J59" i="19"/>
  <c r="Q54" i="19"/>
  <c r="C54" i="19"/>
  <c r="D51" i="19"/>
  <c r="C82" i="19" s="1"/>
  <c r="T48" i="19"/>
  <c r="D65" i="19"/>
  <c r="K52" i="19"/>
  <c r="J47" i="19"/>
  <c r="Q56" i="19"/>
  <c r="P87" i="19" s="1"/>
  <c r="H48" i="19"/>
  <c r="V47" i="19"/>
  <c r="Q70" i="19"/>
  <c r="O52" i="19"/>
  <c r="N83" i="19" s="1"/>
  <c r="C56" i="19"/>
  <c r="R70" i="19"/>
  <c r="K65" i="19"/>
  <c r="J96" i="19" s="1"/>
  <c r="E65" i="19"/>
  <c r="P54" i="19"/>
  <c r="O85" i="19" s="1"/>
  <c r="O70" i="19"/>
  <c r="N101" i="19" s="1"/>
  <c r="N52" i="19"/>
  <c r="D64" i="19"/>
  <c r="U61" i="19"/>
  <c r="D53" i="19"/>
  <c r="C84" i="19" s="1"/>
  <c r="Q48" i="19"/>
  <c r="F61" i="19"/>
  <c r="E92" i="19" s="1"/>
  <c r="R49" i="19"/>
  <c r="H64" i="19"/>
  <c r="C49" i="19"/>
  <c r="U59" i="19"/>
  <c r="C68" i="19"/>
  <c r="D66" i="19"/>
  <c r="K54" i="19"/>
  <c r="J85" i="19" s="1"/>
  <c r="D60" i="19"/>
  <c r="D91" i="19" s="1"/>
  <c r="C57" i="19"/>
  <c r="C88" i="19" s="1"/>
  <c r="V65" i="19"/>
  <c r="P60" i="19"/>
  <c r="O91" i="19" s="1"/>
  <c r="E63" i="19"/>
  <c r="D94" i="19" s="1"/>
  <c r="M46" i="19"/>
  <c r="L77" i="19" s="1"/>
  <c r="L66" i="19"/>
  <c r="C51" i="19"/>
  <c r="D54" i="19"/>
  <c r="C85" i="19" s="1"/>
  <c r="P67" i="19"/>
  <c r="J64" i="19"/>
  <c r="O54" i="19"/>
  <c r="N85" i="19" s="1"/>
  <c r="I46" i="19"/>
  <c r="H77" i="19" s="1"/>
  <c r="L65" i="19"/>
  <c r="K61" i="19"/>
  <c r="J92" i="19" s="1"/>
  <c r="N66" i="19"/>
  <c r="M49" i="19"/>
  <c r="L80" i="19" s="1"/>
  <c r="T59" i="19"/>
  <c r="S90" i="19" s="1"/>
  <c r="Q63" i="19"/>
  <c r="W67" i="19"/>
  <c r="Q68" i="19"/>
  <c r="M62" i="19"/>
  <c r="S49" i="19"/>
  <c r="O67" i="19"/>
  <c r="J48" i="19"/>
  <c r="V61" i="19"/>
  <c r="P68" i="19"/>
  <c r="H69" i="19"/>
  <c r="R54" i="19"/>
  <c r="V46" i="19"/>
  <c r="I63" i="19"/>
  <c r="H68" i="19"/>
  <c r="G55" i="19"/>
  <c r="S56" i="19"/>
  <c r="W54" i="19"/>
  <c r="I59" i="19"/>
  <c r="P65" i="19"/>
  <c r="C70" i="19"/>
  <c r="P58" i="19"/>
  <c r="U66" i="19"/>
  <c r="T56" i="19"/>
  <c r="S87" i="19" s="1"/>
  <c r="O48" i="19"/>
  <c r="N58" i="19"/>
  <c r="M60" i="19"/>
  <c r="L91" i="19" s="1"/>
  <c r="N48" i="19"/>
  <c r="M69" i="19"/>
  <c r="M47" i="19"/>
  <c r="C58" i="19"/>
  <c r="H61" i="19"/>
  <c r="U48" i="19"/>
  <c r="S60" i="19"/>
  <c r="S47" i="19"/>
  <c r="M57" i="19"/>
  <c r="E68" i="19"/>
  <c r="P61" i="19"/>
  <c r="T52" i="19"/>
  <c r="C64" i="19"/>
  <c r="G69" i="19"/>
  <c r="P57" i="19"/>
  <c r="L58" i="19"/>
  <c r="M66" i="19"/>
  <c r="P64" i="19"/>
  <c r="T49" i="19"/>
  <c r="E57" i="19"/>
  <c r="D88" i="19" s="1"/>
  <c r="J53" i="19"/>
  <c r="H70" i="19"/>
  <c r="D46" i="19"/>
  <c r="U58" i="19"/>
  <c r="T89" i="19" s="1"/>
  <c r="J62" i="19"/>
  <c r="Q47" i="19"/>
  <c r="P78" i="19" s="1"/>
  <c r="S69" i="19"/>
  <c r="L56" i="19"/>
  <c r="W50" i="19"/>
  <c r="E56" i="19"/>
  <c r="H65" i="19"/>
  <c r="E55" i="19"/>
  <c r="G62" i="19"/>
  <c r="I68" i="19"/>
  <c r="S51" i="19"/>
  <c r="K57" i="19"/>
  <c r="V57" i="19"/>
  <c r="R47" i="19"/>
  <c r="Q52" i="19"/>
  <c r="P52" i="19"/>
  <c r="M63" i="19"/>
  <c r="P50" i="19"/>
  <c r="V56" i="19"/>
  <c r="D50" i="19"/>
  <c r="U70" i="19"/>
  <c r="I48" i="19"/>
  <c r="V66" i="19"/>
  <c r="R63" i="19"/>
  <c r="G58" i="19"/>
  <c r="K67" i="19"/>
  <c r="T53" i="19"/>
  <c r="K53" i="19"/>
  <c r="U46" i="19"/>
  <c r="P48" i="19"/>
  <c r="R55" i="19"/>
  <c r="L62" i="19"/>
  <c r="M54" i="19"/>
  <c r="W47" i="19"/>
  <c r="G67" i="19"/>
  <c r="N62" i="19"/>
  <c r="L59" i="19"/>
  <c r="K55" i="19"/>
  <c r="K58" i="19"/>
  <c r="J66" i="19"/>
  <c r="F57" i="19"/>
  <c r="U50" i="19"/>
  <c r="I70" i="19"/>
  <c r="V51" i="19"/>
  <c r="Q57" i="19"/>
  <c r="P88" i="19" s="1"/>
  <c r="Q59" i="19"/>
  <c r="P90" i="19" s="1"/>
  <c r="D63" i="19"/>
  <c r="N46" i="19"/>
  <c r="M77" i="19" s="1"/>
  <c r="L48" i="19"/>
  <c r="K79" i="19" s="1"/>
  <c r="S62" i="19"/>
  <c r="V68" i="19"/>
  <c r="J65" i="19"/>
  <c r="I96" i="19" s="1"/>
  <c r="H50" i="19"/>
  <c r="N63" i="19"/>
  <c r="K68" i="19"/>
  <c r="J99" i="19" s="1"/>
  <c r="K47" i="19"/>
  <c r="L51" i="19"/>
  <c r="R65" i="19"/>
  <c r="F54" i="19"/>
  <c r="O61" i="19"/>
  <c r="N70" i="19"/>
  <c r="M101" i="19" s="1"/>
  <c r="V67" i="19"/>
  <c r="T50" i="19"/>
  <c r="H63" i="19"/>
  <c r="R53" i="19"/>
  <c r="Q84" i="19" s="1"/>
  <c r="H60" i="19"/>
  <c r="D59" i="19"/>
  <c r="M61" i="19"/>
  <c r="L92" i="19" s="1"/>
  <c r="I53" i="19"/>
  <c r="W70" i="19"/>
  <c r="V101" i="19" s="1"/>
  <c r="D56" i="19"/>
  <c r="V59" i="19"/>
  <c r="P56" i="19"/>
  <c r="O87" i="19" s="1"/>
  <c r="D52" i="19"/>
  <c r="J58" i="19"/>
  <c r="T47" i="19"/>
  <c r="I64" i="19"/>
  <c r="I95" i="19" s="1"/>
  <c r="C63" i="19"/>
  <c r="C94" i="19" s="1"/>
  <c r="D48" i="19"/>
  <c r="C79" i="19" s="1"/>
  <c r="K63" i="19"/>
  <c r="F70" i="19"/>
  <c r="T65" i="19"/>
  <c r="S96" i="19" s="1"/>
  <c r="G48" i="19"/>
  <c r="D49" i="19"/>
  <c r="D80" i="19" s="1"/>
  <c r="K62" i="19"/>
  <c r="J93" i="19" s="1"/>
  <c r="G53" i="19"/>
  <c r="E47" i="19"/>
  <c r="V69" i="19"/>
  <c r="U100" i="19" s="1"/>
  <c r="R64" i="19"/>
  <c r="Q95" i="19" s="1"/>
  <c r="P62" i="19"/>
  <c r="O93" i="19" s="1"/>
  <c r="O63" i="19"/>
  <c r="N94" i="19" s="1"/>
  <c r="G64" i="19"/>
  <c r="U51" i="19"/>
  <c r="K69" i="19"/>
  <c r="E54" i="19"/>
  <c r="W69" i="19"/>
  <c r="G60" i="19"/>
  <c r="L61" i="19"/>
  <c r="U56" i="19"/>
  <c r="E53" i="19"/>
  <c r="D84" i="19" s="1"/>
  <c r="U53" i="19"/>
  <c r="F69" i="19"/>
  <c r="T67" i="19"/>
  <c r="S98" i="19" s="1"/>
  <c r="G63" i="19"/>
  <c r="F94" i="19" s="1"/>
  <c r="L46" i="19"/>
  <c r="C55" i="19"/>
  <c r="K70" i="19"/>
  <c r="G51" i="19"/>
  <c r="W56" i="19"/>
  <c r="V50" i="19"/>
  <c r="L54" i="19"/>
  <c r="N61" i="19"/>
  <c r="T68" i="19"/>
  <c r="E50" i="19"/>
  <c r="D81" i="19" s="1"/>
  <c r="U57" i="19"/>
  <c r="S66" i="19"/>
  <c r="C47" i="19"/>
  <c r="C78" i="19" s="1"/>
  <c r="S55" i="19"/>
  <c r="R86" i="19" s="1"/>
  <c r="W63" i="19"/>
  <c r="W60" i="19"/>
  <c r="J63" i="19"/>
  <c r="I47" i="19"/>
  <c r="Q46" i="19"/>
  <c r="E64" i="19"/>
  <c r="W66" i="19"/>
  <c r="U47" i="19"/>
  <c r="O66" i="19"/>
  <c r="L50" i="19"/>
  <c r="F46" i="19"/>
  <c r="O53" i="19"/>
  <c r="C65" i="19"/>
  <c r="C96" i="19" s="1"/>
  <c r="L52" i="19"/>
  <c r="K83" i="19" s="1"/>
  <c r="K49" i="19"/>
  <c r="I55" i="19"/>
  <c r="E70" i="19"/>
  <c r="P46" i="19"/>
  <c r="I50" i="19"/>
  <c r="P59" i="19"/>
  <c r="J54" i="19"/>
  <c r="M68" i="19"/>
  <c r="O51" i="19"/>
  <c r="D55" i="19"/>
  <c r="C86" i="19" s="1"/>
  <c r="R51" i="19"/>
  <c r="R82" i="19" s="1"/>
  <c r="T61" i="19"/>
  <c r="H53" i="19"/>
  <c r="O49" i="19"/>
  <c r="N80" i="19" s="1"/>
  <c r="R62" i="19"/>
  <c r="K56" i="19"/>
  <c r="J87" i="19" s="1"/>
  <c r="T66" i="19"/>
  <c r="J52" i="19"/>
  <c r="M55" i="19"/>
  <c r="N60" i="19"/>
  <c r="D57" i="19"/>
  <c r="V64" i="19"/>
  <c r="M59" i="19"/>
  <c r="E51" i="19"/>
  <c r="R66" i="19"/>
  <c r="W58" i="19"/>
  <c r="V89" i="19" s="1"/>
  <c r="W59" i="19"/>
  <c r="M64" i="19"/>
  <c r="E46" i="19"/>
  <c r="U54" i="19"/>
  <c r="I61" i="19"/>
  <c r="H52" i="19"/>
  <c r="G83" i="19" s="1"/>
  <c r="D69" i="19"/>
  <c r="F51" i="19"/>
  <c r="K64" i="19"/>
  <c r="N47" i="19"/>
  <c r="H46" i="19"/>
  <c r="K41" i="22" a="1"/>
  <c r="Q66" i="19"/>
  <c r="P47" i="19"/>
  <c r="R61" i="19"/>
  <c r="K66" i="19"/>
  <c r="Q50" i="19"/>
  <c r="M67" i="19"/>
  <c r="F52" i="19"/>
  <c r="E83" i="19" s="1"/>
  <c r="I62" i="19"/>
  <c r="S59" i="19"/>
  <c r="V60" i="19"/>
  <c r="U91" i="19" s="1"/>
  <c r="V54" i="19"/>
  <c r="J60" i="19"/>
  <c r="G50" i="19"/>
  <c r="W49" i="19"/>
  <c r="H54" i="19"/>
  <c r="G85" i="19" s="1"/>
  <c r="I67" i="19"/>
  <c r="H56" i="19"/>
  <c r="Q65" i="19"/>
  <c r="T63" i="19"/>
  <c r="S94" i="19" s="1"/>
  <c r="I54" i="19"/>
  <c r="R69" i="19"/>
  <c r="Q100" i="19" s="1"/>
  <c r="M70" i="19"/>
  <c r="F64" i="19"/>
  <c r="H51" i="19"/>
  <c r="V52" i="19"/>
  <c r="W83" i="19" s="1"/>
  <c r="F49" i="19"/>
  <c r="L68" i="19"/>
  <c r="T70" i="19"/>
  <c r="W101" i="19" s="1"/>
  <c r="F60" i="19"/>
  <c r="T64" i="19"/>
  <c r="R50" i="19"/>
  <c r="N55" i="19"/>
  <c r="T54" i="19"/>
  <c r="L57" i="19"/>
  <c r="S61" i="19"/>
  <c r="I49" i="19"/>
  <c r="H47" i="19"/>
  <c r="G78" i="19" s="1"/>
  <c r="R58" i="19"/>
  <c r="Q67" i="19"/>
  <c r="J69" i="19"/>
  <c r="I100" i="19" s="1"/>
  <c r="E59" i="19"/>
  <c r="O65" i="19"/>
  <c r="I66" i="19"/>
  <c r="S67" i="19"/>
  <c r="R57" i="19"/>
  <c r="E60" i="19"/>
  <c r="U67" i="19"/>
  <c r="V55" i="19"/>
  <c r="I58" i="19"/>
  <c r="P51" i="19"/>
  <c r="K59" i="19"/>
  <c r="I57" i="19"/>
  <c r="H88" i="19" s="1"/>
  <c r="F59" i="19"/>
  <c r="E90" i="19" s="1"/>
  <c r="D62" i="19"/>
  <c r="F66" i="19"/>
  <c r="U60" i="19"/>
  <c r="G91" i="19" s="1"/>
  <c r="R68" i="19"/>
  <c r="Q99" i="19" s="1"/>
  <c r="P55" i="19"/>
  <c r="M48" i="19"/>
  <c r="M79" i="19" s="1"/>
  <c r="J70" i="19"/>
  <c r="O50" i="19"/>
  <c r="Q60" i="19"/>
  <c r="H55" i="19"/>
  <c r="H86" i="19" s="1"/>
  <c r="G57" i="19"/>
  <c r="F56" i="19"/>
  <c r="E87" i="19" s="1"/>
  <c r="E62" i="19"/>
  <c r="G56" i="19"/>
  <c r="C61" i="19"/>
  <c r="G68" i="19"/>
  <c r="N56" i="19"/>
  <c r="M87" i="19" s="1"/>
  <c r="C53" i="19"/>
  <c r="U65" i="19"/>
  <c r="O68" i="19"/>
  <c r="L53" i="19"/>
  <c r="Q49" i="19"/>
  <c r="O62" i="19"/>
  <c r="N93" i="19" s="1"/>
  <c r="S58" i="19"/>
  <c r="F48" i="19"/>
  <c r="E79" i="19" s="1"/>
  <c r="C52" i="19"/>
  <c r="W46" i="19"/>
  <c r="V53" i="19"/>
  <c r="W61" i="19"/>
  <c r="K50" i="19"/>
  <c r="J81" i="19" s="1"/>
  <c r="D47" i="19"/>
  <c r="F50" i="19"/>
  <c r="U55" i="19"/>
  <c r="H58" i="19"/>
  <c r="E48" i="19"/>
  <c r="O58" i="19"/>
  <c r="L60" i="19"/>
  <c r="K91" i="19" s="1"/>
  <c r="E49" i="19"/>
  <c r="G59" i="19"/>
  <c r="N59" i="19"/>
  <c r="Q53" i="19"/>
  <c r="J61" i="19"/>
  <c r="F47" i="19"/>
  <c r="E78" i="19" s="1"/>
  <c r="H66" i="19"/>
  <c r="G97" i="19" s="1"/>
  <c r="V62" i="19"/>
  <c r="N65" i="19"/>
  <c r="U63" i="19"/>
  <c r="W68" i="19"/>
  <c r="I56" i="19"/>
  <c r="H87" i="19" s="1"/>
  <c r="G70" i="19"/>
  <c r="Q61" i="19"/>
  <c r="J51" i="19"/>
  <c r="I82" i="19" s="1"/>
  <c r="M58" i="19"/>
  <c r="I52" i="19"/>
  <c r="H83" i="19" s="1"/>
  <c r="U62" i="19"/>
  <c r="W64" i="19"/>
  <c r="V95" i="19" s="1"/>
  <c r="J49" i="19"/>
  <c r="M52" i="19"/>
  <c r="L83" i="19" s="1"/>
  <c r="S63" i="19"/>
  <c r="F68" i="19"/>
  <c r="H62" i="19"/>
  <c r="P53" i="19"/>
  <c r="L47" i="19"/>
  <c r="L78" i="19" s="1"/>
  <c r="L55" i="19"/>
  <c r="R59" i="19"/>
  <c r="U69" i="19"/>
  <c r="O47" i="19"/>
  <c r="N78" i="19" s="1"/>
  <c r="W51" i="19"/>
  <c r="T46" i="19"/>
  <c r="S77" i="19" s="1"/>
  <c r="Q64" i="19"/>
  <c r="G52" i="19"/>
  <c r="F83" i="19" s="1"/>
  <c r="O64" i="19"/>
  <c r="O57" i="19"/>
  <c r="N88" i="19" s="1"/>
  <c r="D58" i="19"/>
  <c r="C60" i="19"/>
  <c r="L64" i="19"/>
  <c r="C66" i="19"/>
  <c r="C97" i="19" s="1"/>
  <c r="M51" i="19"/>
  <c r="L82" i="19" s="1"/>
  <c r="P49" i="19"/>
  <c r="G46" i="19"/>
  <c r="O59" i="19"/>
  <c r="N90" i="19" s="1"/>
  <c r="W55" i="19"/>
  <c r="V86" i="19" s="1"/>
  <c r="P70" i="19"/>
  <c r="O69" i="19"/>
  <c r="E69" i="19"/>
  <c r="L67" i="19"/>
  <c r="N50" i="19"/>
  <c r="F67" i="19"/>
  <c r="E98" i="19" s="1"/>
  <c r="U52" i="19"/>
  <c r="R67" i="19"/>
  <c r="Q98" i="19" s="1"/>
  <c r="N57" i="19"/>
  <c r="S48" i="19"/>
  <c r="U49" i="19"/>
  <c r="E66" i="19"/>
  <c r="D97" i="19" s="1"/>
  <c r="M50" i="19"/>
  <c r="V49" i="19"/>
  <c r="U64" i="19"/>
  <c r="O56" i="19"/>
  <c r="N69" i="19"/>
  <c r="I69" i="19"/>
  <c r="J68" i="19"/>
  <c r="G54" i="19"/>
  <c r="C62" i="19"/>
  <c r="J56" i="19"/>
  <c r="N54" i="19"/>
  <c r="E58" i="19"/>
  <c r="D89" i="19" s="1"/>
  <c r="W52" i="19"/>
  <c r="P66" i="19"/>
  <c r="P97" i="19" s="1"/>
  <c r="T60" i="19"/>
  <c r="T91" i="19" s="1"/>
  <c r="H49" i="19"/>
  <c r="G80" i="19" s="1"/>
  <c r="E52" i="19"/>
  <c r="H59" i="19"/>
  <c r="G90" i="19" s="1"/>
  <c r="Q62" i="19"/>
  <c r="C69" i="19"/>
  <c r="C100" i="19" s="1"/>
  <c r="G49" i="19"/>
  <c r="R48" i="19"/>
  <c r="Q79" i="19" s="1"/>
  <c r="C59" i="19"/>
  <c r="G66" i="19"/>
  <c r="F53" i="19"/>
  <c r="I60" i="19"/>
  <c r="G47" i="19"/>
  <c r="N68" i="19"/>
  <c r="M99" i="19" s="1"/>
  <c r="T55" i="19"/>
  <c r="Q69" i="19"/>
  <c r="R60" i="19"/>
  <c r="R91" i="19" s="1"/>
  <c r="S54" i="19"/>
  <c r="H57" i="19"/>
  <c r="M65" i="19"/>
  <c r="S57" i="19"/>
  <c r="R88" i="19" s="1"/>
  <c r="J67" i="19"/>
  <c r="S68" i="19"/>
  <c r="S99" i="19" s="1"/>
  <c r="N51" i="19"/>
  <c r="V70" i="19"/>
  <c r="I65" i="19"/>
  <c r="T57" i="19"/>
  <c r="S88" i="19" s="1"/>
  <c r="C46" i="19"/>
  <c r="O46" i="19"/>
  <c r="N77" i="19" s="1"/>
  <c r="P83" i="19"/>
  <c r="N53" i="19"/>
  <c r="F55" i="19"/>
  <c r="E86" i="19" s="1"/>
  <c r="O55" i="19"/>
  <c r="L69" i="19"/>
  <c r="F63" i="19"/>
  <c r="E94" i="19" s="1"/>
  <c r="T83" i="19"/>
  <c r="P69" i="19"/>
  <c r="P100" i="19" s="1"/>
  <c r="W57" i="19"/>
  <c r="V88" i="19" s="1"/>
  <c r="N64" i="19"/>
  <c r="L70" i="19"/>
  <c r="L101" i="19" s="1"/>
  <c r="E88" i="19"/>
  <c r="V58" i="19"/>
  <c r="D61" i="19"/>
  <c r="C67" i="19"/>
  <c r="M86" i="19"/>
  <c r="F58" i="19"/>
  <c r="E89" i="19" s="1"/>
  <c r="W65" i="19"/>
  <c r="T51" i="19"/>
  <c r="V99" i="19"/>
  <c r="D86" i="19"/>
  <c r="Q51" i="19"/>
  <c r="C48" i="19"/>
  <c r="V85" i="19"/>
  <c r="N67" i="19"/>
  <c r="G65" i="19"/>
  <c r="K78" i="19"/>
  <c r="T62" i="19"/>
  <c r="F65" i="19"/>
  <c r="E96" i="19" s="1"/>
  <c r="N79" i="19"/>
  <c r="J100" i="19"/>
  <c r="Q58" i="19"/>
  <c r="S50" i="19"/>
  <c r="R81" i="19" s="1"/>
  <c r="M56" i="19"/>
  <c r="S53" i="19"/>
  <c r="R46" i="19"/>
  <c r="S46" i="19"/>
  <c r="D70" i="19"/>
  <c r="K60" i="19"/>
  <c r="S70" i="19"/>
  <c r="K101" i="19" s="1"/>
  <c r="R92" i="19"/>
  <c r="Q92" i="19"/>
  <c r="P92" i="19"/>
  <c r="I83" i="19"/>
  <c r="R93" i="19"/>
  <c r="L93" i="19"/>
  <c r="K93" i="19"/>
  <c r="W95" i="19"/>
  <c r="J80" i="19"/>
  <c r="M83" i="19"/>
  <c r="R94" i="19"/>
  <c r="P84" i="19"/>
  <c r="J90" i="19"/>
  <c r="K90" i="19"/>
  <c r="D90" i="19"/>
  <c r="R100" i="19"/>
  <c r="G100" i="19"/>
  <c r="T100" i="19"/>
  <c r="M78" i="19"/>
  <c r="J78" i="19"/>
  <c r="H82" i="19"/>
  <c r="K82" i="19"/>
  <c r="D82" i="19"/>
  <c r="W82" i="19"/>
  <c r="U77" i="19"/>
  <c r="T77" i="19"/>
  <c r="N95" i="19"/>
  <c r="O88" i="19"/>
  <c r="L95" i="19"/>
  <c r="O90" i="19"/>
  <c r="W86" i="19"/>
  <c r="O101" i="19"/>
  <c r="D100" i="19"/>
  <c r="O83" i="19"/>
  <c r="C83" i="19"/>
  <c r="L98" i="19"/>
  <c r="T98" i="19"/>
  <c r="F79" i="19"/>
  <c r="D79" i="19"/>
  <c r="J79" i="19"/>
  <c r="L79" i="19"/>
  <c r="P79" i="19"/>
  <c r="U79" i="19"/>
  <c r="O80" i="19"/>
  <c r="K80" i="19"/>
  <c r="M80" i="19"/>
  <c r="E97" i="19"/>
  <c r="U80" i="19"/>
  <c r="S95" i="19"/>
  <c r="T95" i="19"/>
  <c r="C95" i="19"/>
  <c r="Q87" i="19"/>
  <c r="K87" i="19"/>
  <c r="C87" i="19"/>
  <c r="N87" i="19"/>
  <c r="H100" i="19"/>
  <c r="I87" i="19"/>
  <c r="M85" i="19"/>
  <c r="V83" i="19"/>
  <c r="S97" i="19"/>
  <c r="U97" i="19"/>
  <c r="O97" i="19"/>
  <c r="C91" i="19"/>
  <c r="S91" i="19"/>
  <c r="H80" i="19"/>
  <c r="D83" i="19"/>
  <c r="H90" i="19"/>
  <c r="R97" i="19"/>
  <c r="E84" i="19"/>
  <c r="I91" i="19"/>
  <c r="O78" i="19"/>
  <c r="F78" i="19"/>
  <c r="N99" i="19"/>
  <c r="J86" i="19"/>
  <c r="S86" i="19"/>
  <c r="N100" i="19"/>
  <c r="V91" i="19"/>
  <c r="P91" i="19"/>
  <c r="Q91" i="19"/>
  <c r="H85" i="19"/>
  <c r="R85" i="19"/>
  <c r="G88" i="19"/>
  <c r="K99" i="19"/>
  <c r="P99" i="19"/>
  <c r="N82" i="19"/>
  <c r="M82" i="19"/>
  <c r="E101" i="19"/>
  <c r="Q101" i="19"/>
  <c r="U101" i="19"/>
  <c r="H96" i="19"/>
  <c r="L97" i="19"/>
  <c r="F85" i="19"/>
  <c r="F90" i="19"/>
  <c r="D78" i="19"/>
  <c r="C90" i="19"/>
  <c r="C77" i="19"/>
  <c r="O77" i="19"/>
  <c r="F86" i="19"/>
  <c r="K100" i="19"/>
  <c r="L100" i="19"/>
  <c r="J94" i="19"/>
  <c r="G94" i="19"/>
  <c r="M100" i="19"/>
  <c r="O100" i="19"/>
  <c r="J88" i="19"/>
  <c r="I88" i="19"/>
  <c r="W88" i="19"/>
  <c r="Q88" i="19"/>
  <c r="J95" i="19"/>
  <c r="M95" i="19"/>
  <c r="S89" i="19"/>
  <c r="R89" i="19"/>
  <c r="K89" i="19"/>
  <c r="K92" i="19"/>
  <c r="C92" i="19"/>
  <c r="F89" i="19"/>
  <c r="K96" i="19"/>
  <c r="W96" i="19"/>
  <c r="V96" i="19"/>
  <c r="C94" i="5"/>
  <c r="P41" i="22" a="1"/>
  <c r="C86" i="5"/>
  <c r="C103" i="5"/>
  <c r="C104" i="5"/>
  <c r="C105" i="5"/>
  <c r="C95" i="5"/>
  <c r="C96" i="5"/>
  <c r="Q41" i="22" a="1"/>
  <c r="C99" i="5"/>
  <c r="C106" i="5"/>
  <c r="C91" i="5"/>
  <c r="C89" i="5"/>
  <c r="C101" i="5"/>
  <c r="C97" i="5"/>
  <c r="C107" i="5"/>
  <c r="C92" i="5"/>
  <c r="C88" i="5"/>
  <c r="C93" i="5"/>
  <c r="C90" i="5"/>
  <c r="C85" i="5"/>
  <c r="C100" i="5"/>
  <c r="C109" i="5"/>
  <c r="C87" i="5"/>
  <c r="C98" i="5"/>
  <c r="C102" i="5"/>
  <c r="V93" i="19" l="1"/>
  <c r="W93" i="19"/>
  <c r="G92" i="19"/>
  <c r="F92" i="19"/>
  <c r="C99" i="19"/>
  <c r="D99" i="19"/>
  <c r="S83" i="19"/>
  <c r="U83" i="19"/>
  <c r="J83" i="19"/>
  <c r="R83" i="19"/>
  <c r="V84" i="19"/>
  <c r="W84" i="19"/>
  <c r="L84" i="19"/>
  <c r="M84" i="19"/>
  <c r="K77" i="19"/>
  <c r="J77" i="19"/>
  <c r="P86" i="19"/>
  <c r="Q86" i="19"/>
  <c r="W94" i="19"/>
  <c r="V94" i="19"/>
  <c r="U94" i="19"/>
  <c r="T79" i="19"/>
  <c r="I79" i="19"/>
  <c r="O79" i="19"/>
  <c r="V79" i="19"/>
  <c r="W79" i="19"/>
  <c r="K94" i="19"/>
  <c r="L94" i="19"/>
  <c r="W85" i="19"/>
  <c r="S85" i="19"/>
  <c r="U85" i="19"/>
  <c r="Q85" i="19"/>
  <c r="P85" i="19"/>
  <c r="I85" i="19"/>
  <c r="T85" i="19"/>
  <c r="G79" i="19"/>
  <c r="H79" i="19"/>
  <c r="D101" i="19"/>
  <c r="C101" i="19"/>
  <c r="J101" i="19"/>
  <c r="G101" i="19"/>
  <c r="I101" i="19"/>
  <c r="R101" i="19"/>
  <c r="F101" i="19"/>
  <c r="P101" i="19"/>
  <c r="H101" i="19"/>
  <c r="S101" i="19"/>
  <c r="T101" i="19"/>
  <c r="S92" i="19"/>
  <c r="T92" i="19"/>
  <c r="U92" i="19"/>
  <c r="O92" i="19"/>
  <c r="H92" i="19"/>
  <c r="I92" i="19"/>
  <c r="H95" i="19"/>
  <c r="G95" i="19"/>
  <c r="M90" i="19"/>
  <c r="I90" i="19"/>
  <c r="L90" i="19"/>
  <c r="T90" i="19"/>
  <c r="P98" i="19"/>
  <c r="O98" i="19"/>
  <c r="P94" i="19"/>
  <c r="Q94" i="19"/>
  <c r="O82" i="19"/>
  <c r="U82" i="19"/>
  <c r="V82" i="19"/>
  <c r="E82" i="19"/>
  <c r="H99" i="19"/>
  <c r="T99" i="19"/>
  <c r="R99" i="19"/>
  <c r="L99" i="19"/>
  <c r="I99" i="19"/>
  <c r="O99" i="19"/>
  <c r="E99" i="19"/>
  <c r="U99" i="19"/>
  <c r="W99" i="19"/>
  <c r="R96" i="19"/>
  <c r="Q96" i="19"/>
  <c r="U98" i="19"/>
  <c r="F98" i="19"/>
  <c r="H98" i="19"/>
  <c r="V98" i="19"/>
  <c r="G98" i="19"/>
  <c r="R98" i="19"/>
  <c r="K98" i="19"/>
  <c r="W98" i="19"/>
  <c r="Q81" i="19"/>
  <c r="H81" i="19"/>
  <c r="T81" i="19"/>
  <c r="V81" i="19"/>
  <c r="P81" i="19"/>
  <c r="M81" i="19"/>
  <c r="U81" i="19"/>
  <c r="S81" i="19"/>
  <c r="G81" i="19"/>
  <c r="W81" i="19"/>
  <c r="H84" i="19"/>
  <c r="I84" i="19"/>
  <c r="U90" i="19"/>
  <c r="V90" i="19"/>
  <c r="W90" i="19"/>
  <c r="J89" i="19"/>
  <c r="I89" i="19"/>
  <c r="F84" i="19"/>
  <c r="G84" i="19"/>
  <c r="E85" i="19"/>
  <c r="D85" i="19"/>
  <c r="V100" i="19"/>
  <c r="W100" i="19"/>
  <c r="U84" i="19"/>
  <c r="T84" i="19"/>
  <c r="J84" i="19"/>
  <c r="K84" i="19"/>
  <c r="N84" i="19" a="1"/>
  <c r="O84" i="19"/>
  <c r="G82" i="19"/>
  <c r="F82" i="19"/>
  <c r="L87" i="19"/>
  <c r="W87" i="19"/>
  <c r="T87" i="19"/>
  <c r="D87" i="19"/>
  <c r="U87" i="19"/>
  <c r="V87" i="19"/>
  <c r="K85" i="19"/>
  <c r="L85" i="19"/>
  <c r="N92" i="19"/>
  <c r="M92" i="19"/>
  <c r="M88" i="19"/>
  <c r="T88" i="19"/>
  <c r="K88" i="19"/>
  <c r="K224" i="19" s="1"/>
  <c r="L88" i="19"/>
  <c r="F88" i="19"/>
  <c r="U88" i="19"/>
  <c r="J91" i="19"/>
  <c r="F91" i="19"/>
  <c r="H91" i="19"/>
  <c r="W91" i="19"/>
  <c r="M91" i="19"/>
  <c r="E91" i="19"/>
  <c r="H78" i="19"/>
  <c r="I78" i="19"/>
  <c r="Q77" i="19"/>
  <c r="P77" i="19"/>
  <c r="H97" i="19"/>
  <c r="F97" i="19"/>
  <c r="K97" i="19"/>
  <c r="J97" i="19"/>
  <c r="Q97" i="19"/>
  <c r="V97" i="19"/>
  <c r="W97" i="19"/>
  <c r="N97" i="19"/>
  <c r="T97" i="19"/>
  <c r="I97" i="19"/>
  <c r="M97" i="19"/>
  <c r="T78" i="19"/>
  <c r="U78" i="19"/>
  <c r="V78" i="19"/>
  <c r="W78" i="19"/>
  <c r="R78" i="19"/>
  <c r="S78" i="19"/>
  <c r="Q78" i="19"/>
  <c r="L81" i="19"/>
  <c r="K81" i="19"/>
  <c r="F77" i="19"/>
  <c r="E77" i="19"/>
  <c r="N81" i="19"/>
  <c r="O81" i="19"/>
  <c r="F87" i="19"/>
  <c r="G87" i="19"/>
  <c r="G99" i="19"/>
  <c r="F99" i="19"/>
  <c r="P96" i="19"/>
  <c r="T96" i="19"/>
  <c r="F96" i="19"/>
  <c r="U96" i="19"/>
  <c r="O96" i="19"/>
  <c r="G96" i="19"/>
  <c r="D96" i="19"/>
  <c r="P80" i="19"/>
  <c r="Q80" i="19"/>
  <c r="W77" i="19"/>
  <c r="G77" i="19"/>
  <c r="V77" i="19"/>
  <c r="D77" i="19"/>
  <c r="R77" i="19"/>
  <c r="V92" i="19"/>
  <c r="W92" i="19"/>
  <c r="F81" i="19"/>
  <c r="E81" i="19"/>
  <c r="U86" i="19"/>
  <c r="T86" i="19"/>
  <c r="K86" i="19"/>
  <c r="L86" i="19"/>
  <c r="O89" i="19"/>
  <c r="N89" i="19"/>
  <c r="M93" i="19"/>
  <c r="D93" i="19"/>
  <c r="E93" i="19"/>
  <c r="I93" i="19"/>
  <c r="F93" i="19"/>
  <c r="C93" i="19"/>
  <c r="U93" i="19"/>
  <c r="I94" i="19"/>
  <c r="H94" i="19"/>
  <c r="M94" i="19"/>
  <c r="T94" i="19"/>
  <c r="G93" i="19"/>
  <c r="H93" i="19"/>
  <c r="Q90" i="19"/>
  <c r="R90" i="19"/>
  <c r="E100" i="19"/>
  <c r="F100" i="19"/>
  <c r="R79" i="19"/>
  <c r="S79" i="19"/>
  <c r="I80" i="19"/>
  <c r="T80" i="19"/>
  <c r="S80" i="19"/>
  <c r="V80" i="19"/>
  <c r="F80" i="19"/>
  <c r="Y49" i="19" a="1"/>
  <c r="E80" i="19"/>
  <c r="W80" i="19"/>
  <c r="R80" i="19"/>
  <c r="E95" i="19"/>
  <c r="F95" i="19"/>
  <c r="P95" i="19"/>
  <c r="D95" i="19"/>
  <c r="K95" i="19"/>
  <c r="O95" i="19"/>
  <c r="U95" i="19"/>
  <c r="P93" i="19"/>
  <c r="Q93" i="19"/>
  <c r="M96" i="19"/>
  <c r="L96" i="19"/>
  <c r="I98" i="19"/>
  <c r="J98" i="19"/>
  <c r="N86" i="19"/>
  <c r="O86" i="19"/>
  <c r="U89" i="19"/>
  <c r="Q89" i="19"/>
  <c r="W89" i="19"/>
  <c r="P89" i="19"/>
  <c r="M89" i="19"/>
  <c r="H89" i="19"/>
  <c r="C89" i="19"/>
  <c r="G89" i="19"/>
  <c r="L89" i="19"/>
  <c r="S82" i="19"/>
  <c r="T82" i="19"/>
  <c r="Q82" i="19"/>
  <c r="P82" i="19"/>
  <c r="M98" i="19"/>
  <c r="N98" i="19"/>
  <c r="S93" i="19"/>
  <c r="T93" i="19"/>
  <c r="S84" i="19"/>
  <c r="R84" i="19"/>
  <c r="M136" i="19"/>
  <c r="M108" i="19"/>
  <c r="M164" i="19"/>
  <c r="M166" i="19" s="1"/>
  <c r="M192" i="19"/>
  <c r="M193" i="19" s="1"/>
  <c r="M194" i="19" s="1"/>
  <c r="M195" i="19" s="1"/>
  <c r="M165" i="19"/>
  <c r="M135" i="19"/>
  <c r="M137" i="19" s="1"/>
  <c r="M107" i="19"/>
  <c r="M109" i="19" s="1"/>
  <c r="O192" i="19"/>
  <c r="O193" i="19" s="1"/>
  <c r="O164" i="19"/>
  <c r="N107" i="19"/>
  <c r="N109" i="19" s="1"/>
  <c r="N136" i="19"/>
  <c r="N108" i="19"/>
  <c r="N192" i="19"/>
  <c r="N193" i="19" s="1"/>
  <c r="N194" i="19" s="1"/>
  <c r="N195" i="19" s="1"/>
  <c r="N165" i="19"/>
  <c r="N164" i="19"/>
  <c r="N166" i="19" s="1"/>
  <c r="N135" i="19"/>
  <c r="N137" i="19" s="1"/>
  <c r="C107" i="19"/>
  <c r="C192" i="19"/>
  <c r="C193" i="19" s="1"/>
  <c r="C194" i="19" s="1"/>
  <c r="C164" i="19"/>
  <c r="C136" i="19"/>
  <c r="C108" i="19"/>
  <c r="C135" i="19"/>
  <c r="C165" i="19"/>
  <c r="S192" i="19"/>
  <c r="T192" i="19"/>
  <c r="U192" i="19"/>
  <c r="L192" i="19"/>
  <c r="L193" i="19" s="1"/>
  <c r="L194" i="19" s="1"/>
  <c r="L195" i="19" s="1"/>
  <c r="L107" i="19"/>
  <c r="L109" i="19" s="1"/>
  <c r="L136" i="19"/>
  <c r="L135" i="19"/>
  <c r="L137" i="19" s="1"/>
  <c r="L164" i="19"/>
  <c r="L166" i="19" s="1"/>
  <c r="L108" i="19"/>
  <c r="L165" i="19"/>
  <c r="I192" i="19"/>
  <c r="H192" i="19"/>
  <c r="Q224" i="19"/>
  <c r="U224" i="19"/>
  <c r="P224" i="19"/>
  <c r="D224" i="19"/>
  <c r="L224" i="19"/>
  <c r="H224" i="19"/>
  <c r="N224" i="19"/>
  <c r="C80" i="19"/>
  <c r="V224" i="19"/>
  <c r="J224" i="19"/>
  <c r="F224" i="19"/>
  <c r="R224" i="19"/>
  <c r="T224" i="19"/>
  <c r="G224" i="19"/>
  <c r="I224" i="19"/>
  <c r="G86" i="19"/>
  <c r="S224" i="19"/>
  <c r="M224" i="19"/>
  <c r="E224" i="19"/>
  <c r="W224" i="19"/>
  <c r="O224" i="19"/>
  <c r="N96" i="19"/>
  <c r="C224" i="19"/>
  <c r="M196" i="19" l="1"/>
  <c r="M197" i="19" s="1"/>
  <c r="M198" i="19" s="1"/>
  <c r="M199" i="19" s="1"/>
  <c r="M200" i="19" s="1"/>
  <c r="M201" i="19" s="1"/>
  <c r="M202" i="19" s="1"/>
  <c r="M203" i="19" s="1"/>
  <c r="M204" i="19" s="1"/>
  <c r="M228" i="19" s="1"/>
  <c r="M168" i="19"/>
  <c r="M170" i="19" s="1"/>
  <c r="M172" i="19" s="1"/>
  <c r="M174" i="19" s="1"/>
  <c r="M176" i="19" s="1"/>
  <c r="M178" i="19" s="1"/>
  <c r="M180" i="19" s="1"/>
  <c r="M182" i="19" s="1"/>
  <c r="M184" i="19" s="1"/>
  <c r="M186" i="19" s="1"/>
  <c r="N138" i="19"/>
  <c r="N140" i="19" s="1"/>
  <c r="N168" i="19"/>
  <c r="N170" i="19" s="1"/>
  <c r="N172" i="19" s="1"/>
  <c r="N174" i="19" s="1"/>
  <c r="N176" i="19" s="1"/>
  <c r="N178" i="19" s="1"/>
  <c r="N180" i="19" s="1"/>
  <c r="L138" i="19"/>
  <c r="L140" i="19" s="1"/>
  <c r="L142" i="19" s="1"/>
  <c r="L144" i="19" s="1"/>
  <c r="L146" i="19" s="1"/>
  <c r="L226" i="19" s="1"/>
  <c r="L168" i="19"/>
  <c r="L170" i="19" s="1"/>
  <c r="L172" i="19" s="1"/>
  <c r="L174" i="19" s="1"/>
  <c r="L176" i="19" s="1"/>
  <c r="L178" i="19" s="1"/>
  <c r="L180" i="19" s="1"/>
  <c r="L182" i="19" s="1"/>
  <c r="L184" i="19" s="1"/>
  <c r="L186" i="19" s="1"/>
  <c r="M110" i="19"/>
  <c r="M112" i="19" s="1"/>
  <c r="M114" i="19" s="1"/>
  <c r="M116" i="19" s="1"/>
  <c r="M118" i="19" s="1"/>
  <c r="M225" i="19" s="1"/>
  <c r="M139" i="19"/>
  <c r="M141" i="19" s="1"/>
  <c r="M143" i="19" s="1"/>
  <c r="M145" i="19" s="1"/>
  <c r="M147" i="19" s="1"/>
  <c r="M149" i="19" s="1"/>
  <c r="M151" i="19" s="1"/>
  <c r="M153" i="19" s="1"/>
  <c r="M155" i="19" s="1"/>
  <c r="M157" i="19" s="1"/>
  <c r="N110" i="19"/>
  <c r="N112" i="19" s="1"/>
  <c r="N196" i="19"/>
  <c r="N197" i="19" s="1"/>
  <c r="N198" i="19" s="1"/>
  <c r="M138" i="19"/>
  <c r="M140" i="19" s="1"/>
  <c r="M142" i="19" s="1"/>
  <c r="M144" i="19" s="1"/>
  <c r="M146" i="19" s="1"/>
  <c r="M226" i="19" s="1"/>
  <c r="M167" i="19"/>
  <c r="M169" i="19" s="1"/>
  <c r="M171" i="19" s="1"/>
  <c r="M173" i="19" s="1"/>
  <c r="M175" i="19" s="1"/>
  <c r="M227" i="19" s="1"/>
  <c r="M111" i="19"/>
  <c r="M113" i="19" s="1"/>
  <c r="M115" i="19" s="1"/>
  <c r="M117" i="19" s="1"/>
  <c r="M119" i="19" s="1"/>
  <c r="M121" i="19" s="1"/>
  <c r="M123" i="19" s="1"/>
  <c r="M125" i="19" s="1"/>
  <c r="M127" i="19" s="1"/>
  <c r="M129" i="19" s="1"/>
  <c r="N111" i="19"/>
  <c r="N167" i="19"/>
  <c r="N169" i="19" s="1"/>
  <c r="N171" i="19" s="1"/>
  <c r="N173" i="19" s="1"/>
  <c r="N175" i="19" s="1"/>
  <c r="N227" i="19" s="1"/>
  <c r="N139" i="19"/>
  <c r="N141" i="19" s="1"/>
  <c r="N143" i="19" s="1"/>
  <c r="N145" i="19" s="1"/>
  <c r="N147" i="19" s="1"/>
  <c r="N149" i="19" s="1"/>
  <c r="N151" i="19" s="1"/>
  <c r="S193" i="19"/>
  <c r="S194" i="19" s="1"/>
  <c r="S195" i="19" s="1"/>
  <c r="S196" i="19" s="1"/>
  <c r="S197" i="19" s="1"/>
  <c r="S198" i="19" s="1"/>
  <c r="S199" i="19" s="1"/>
  <c r="S200" i="19" s="1"/>
  <c r="S201" i="19" s="1"/>
  <c r="S202" i="19" s="1"/>
  <c r="S203" i="19" s="1"/>
  <c r="S204" i="19" s="1"/>
  <c r="S228" i="19" s="1"/>
  <c r="L139" i="19"/>
  <c r="L141" i="19" s="1"/>
  <c r="L143" i="19" s="1"/>
  <c r="L145" i="19" s="1"/>
  <c r="L147" i="19" s="1"/>
  <c r="L149" i="19" s="1"/>
  <c r="L151" i="19" s="1"/>
  <c r="L153" i="19" s="1"/>
  <c r="L155" i="19" s="1"/>
  <c r="L157" i="19" s="1"/>
  <c r="L110" i="19"/>
  <c r="L112" i="19" s="1"/>
  <c r="L114" i="19" s="1"/>
  <c r="L116" i="19" s="1"/>
  <c r="L118" i="19" s="1"/>
  <c r="L225" i="19" s="1"/>
  <c r="L167" i="19"/>
  <c r="L169" i="19" s="1"/>
  <c r="L171" i="19" s="1"/>
  <c r="L173" i="19" s="1"/>
  <c r="L175" i="19" s="1"/>
  <c r="L227" i="19" s="1"/>
  <c r="I193" i="19"/>
  <c r="I194" i="19" s="1"/>
  <c r="I195" i="19" s="1"/>
  <c r="I196" i="19" s="1"/>
  <c r="I197" i="19" s="1"/>
  <c r="I198" i="19" s="1"/>
  <c r="I199" i="19" s="1"/>
  <c r="I200" i="19" s="1"/>
  <c r="I201" i="19" s="1"/>
  <c r="I202" i="19" s="1"/>
  <c r="I203" i="19" s="1"/>
  <c r="I204" i="19" s="1"/>
  <c r="I228" i="19" s="1"/>
  <c r="O166" i="19"/>
  <c r="O168" i="19" s="1"/>
  <c r="O170" i="19" s="1"/>
  <c r="O172" i="19" s="1"/>
  <c r="O174" i="19" s="1"/>
  <c r="O176" i="19" s="1"/>
  <c r="O178" i="19" s="1"/>
  <c r="O180" i="19" s="1"/>
  <c r="O182" i="19" s="1"/>
  <c r="O184" i="19" s="1"/>
  <c r="O186" i="19" s="1"/>
  <c r="O194" i="19"/>
  <c r="O195" i="19" s="1"/>
  <c r="O196" i="19" s="1"/>
  <c r="O197" i="19" s="1"/>
  <c r="O198" i="19" s="1"/>
  <c r="O199" i="19" s="1"/>
  <c r="O200" i="19" s="1"/>
  <c r="O201" i="19" s="1"/>
  <c r="O202" i="19" s="1"/>
  <c r="O203" i="19" s="1"/>
  <c r="O204" i="19" s="1"/>
  <c r="O228" i="19" s="1"/>
  <c r="T193" i="19"/>
  <c r="T194" i="19" s="1"/>
  <c r="T195" i="19" s="1"/>
  <c r="T196" i="19" s="1"/>
  <c r="T197" i="19" s="1"/>
  <c r="T198" i="19" s="1"/>
  <c r="T199" i="19" s="1"/>
  <c r="T200" i="19" s="1"/>
  <c r="T201" i="19" s="1"/>
  <c r="T202" i="19" s="1"/>
  <c r="T203" i="19" s="1"/>
  <c r="T204" i="19" s="1"/>
  <c r="T228" i="19" s="1"/>
  <c r="U193" i="19"/>
  <c r="U194" i="19" s="1"/>
  <c r="U195" i="19" s="1"/>
  <c r="U196" i="19" s="1"/>
  <c r="U197" i="19" s="1"/>
  <c r="U198" i="19" s="1"/>
  <c r="U199" i="19" s="1"/>
  <c r="U200" i="19" s="1"/>
  <c r="U201" i="19" s="1"/>
  <c r="U202" i="19" s="1"/>
  <c r="U203" i="19" s="1"/>
  <c r="U204" i="19" s="1"/>
  <c r="U228" i="19" s="1"/>
  <c r="L196" i="19"/>
  <c r="L197" i="19" s="1"/>
  <c r="L198" i="19" s="1"/>
  <c r="L199" i="19" s="1"/>
  <c r="L200" i="19" s="1"/>
  <c r="L201" i="19" s="1"/>
  <c r="L202" i="19" s="1"/>
  <c r="L203" i="19" s="1"/>
  <c r="L204" i="19" s="1"/>
  <c r="L228" i="19" s="1"/>
  <c r="L111" i="19"/>
  <c r="L113" i="19" s="1"/>
  <c r="L115" i="19" s="1"/>
  <c r="L117" i="19" s="1"/>
  <c r="L119" i="19" s="1"/>
  <c r="L121" i="19" s="1"/>
  <c r="L123" i="19" s="1"/>
  <c r="L125" i="19" s="1"/>
  <c r="L127" i="19" s="1"/>
  <c r="L129" i="19" s="1"/>
  <c r="H193" i="19"/>
  <c r="H194" i="19" s="1"/>
  <c r="H195" i="19" s="1"/>
  <c r="H196" i="19" s="1"/>
  <c r="H197" i="19" s="1"/>
  <c r="H198" i="19" s="1"/>
  <c r="H199" i="19" s="1"/>
  <c r="H200" i="19" s="1"/>
  <c r="H201" i="19" s="1"/>
  <c r="H202" i="19" s="1"/>
  <c r="H203" i="19" s="1"/>
  <c r="H204" i="19" s="1"/>
  <c r="H228" i="19" s="1"/>
  <c r="K192" i="19"/>
  <c r="K193" i="19" s="1"/>
  <c r="K194" i="19" s="1"/>
  <c r="K195" i="19" s="1"/>
  <c r="K196" i="19" s="1"/>
  <c r="K197" i="19" s="1"/>
  <c r="K198" i="19" s="1"/>
  <c r="K199" i="19" s="1"/>
  <c r="K200" i="19" s="1"/>
  <c r="K201" i="19" s="1"/>
  <c r="K202" i="19" s="1"/>
  <c r="K203" i="19" s="1"/>
  <c r="K204" i="19" s="1"/>
  <c r="K228" i="19" s="1"/>
  <c r="K107" i="19"/>
  <c r="K109" i="19" s="1"/>
  <c r="K111" i="19" s="1"/>
  <c r="K113" i="19" s="1"/>
  <c r="K115" i="19" s="1"/>
  <c r="K117" i="19" s="1"/>
  <c r="K119" i="19" s="1"/>
  <c r="K121" i="19" s="1"/>
  <c r="K123" i="19" s="1"/>
  <c r="K125" i="19" s="1"/>
  <c r="K127" i="19" s="1"/>
  <c r="K129" i="19" s="1"/>
  <c r="K164" i="19"/>
  <c r="K166" i="19" s="1"/>
  <c r="K168" i="19" s="1"/>
  <c r="K170" i="19" s="1"/>
  <c r="K172" i="19" s="1"/>
  <c r="K174" i="19" s="1"/>
  <c r="K176" i="19" s="1"/>
  <c r="K178" i="19" s="1"/>
  <c r="K180" i="19" s="1"/>
  <c r="K182" i="19" s="1"/>
  <c r="K184" i="19" s="1"/>
  <c r="K186" i="19" s="1"/>
  <c r="K165" i="19"/>
  <c r="K167" i="19" s="1"/>
  <c r="K169" i="19" s="1"/>
  <c r="K171" i="19" s="1"/>
  <c r="K173" i="19" s="1"/>
  <c r="K175" i="19" s="1"/>
  <c r="K227" i="19" s="1"/>
  <c r="K108" i="19"/>
  <c r="K110" i="19" s="1"/>
  <c r="K112" i="19" s="1"/>
  <c r="K114" i="19" s="1"/>
  <c r="K116" i="19" s="1"/>
  <c r="K118" i="19" s="1"/>
  <c r="K225" i="19" s="1"/>
  <c r="K136" i="19"/>
  <c r="K138" i="19" s="1"/>
  <c r="K140" i="19" s="1"/>
  <c r="K142" i="19" s="1"/>
  <c r="K144" i="19" s="1"/>
  <c r="K146" i="19" s="1"/>
  <c r="K226" i="19" s="1"/>
  <c r="K135" i="19"/>
  <c r="K137" i="19" s="1"/>
  <c r="K139" i="19" s="1"/>
  <c r="K141" i="19" s="1"/>
  <c r="K143" i="19" s="1"/>
  <c r="K145" i="19" s="1"/>
  <c r="K147" i="19" s="1"/>
  <c r="K149" i="19" s="1"/>
  <c r="K151" i="19" s="1"/>
  <c r="K153" i="19" s="1"/>
  <c r="K155" i="19" s="1"/>
  <c r="K157" i="19" s="1"/>
  <c r="J107" i="19"/>
  <c r="J109" i="19" s="1"/>
  <c r="J111" i="19" s="1"/>
  <c r="J113" i="19" s="1"/>
  <c r="J115" i="19" s="1"/>
  <c r="J117" i="19" s="1"/>
  <c r="J119" i="19" s="1"/>
  <c r="J121" i="19" s="1"/>
  <c r="J123" i="19" s="1"/>
  <c r="J125" i="19" s="1"/>
  <c r="J127" i="19" s="1"/>
  <c r="J129" i="19" s="1"/>
  <c r="J108" i="19"/>
  <c r="J110" i="19" s="1"/>
  <c r="J112" i="19" s="1"/>
  <c r="J114" i="19" s="1"/>
  <c r="J116" i="19" s="1"/>
  <c r="J118" i="19" s="1"/>
  <c r="J225" i="19" s="1"/>
  <c r="J136" i="19"/>
  <c r="J138" i="19" s="1"/>
  <c r="J140" i="19" s="1"/>
  <c r="J142" i="19" s="1"/>
  <c r="J144" i="19" s="1"/>
  <c r="J146" i="19" s="1"/>
  <c r="J226" i="19" s="1"/>
  <c r="J135" i="19"/>
  <c r="J137" i="19" s="1"/>
  <c r="J139" i="19" s="1"/>
  <c r="J141" i="19" s="1"/>
  <c r="J143" i="19" s="1"/>
  <c r="J145" i="19" s="1"/>
  <c r="J147" i="19" s="1"/>
  <c r="J149" i="19" s="1"/>
  <c r="J151" i="19" s="1"/>
  <c r="J153" i="19" s="1"/>
  <c r="J155" i="19" s="1"/>
  <c r="J157" i="19" s="1"/>
  <c r="J164" i="19"/>
  <c r="J166" i="19" s="1"/>
  <c r="J168" i="19" s="1"/>
  <c r="J170" i="19" s="1"/>
  <c r="J172" i="19" s="1"/>
  <c r="J174" i="19" s="1"/>
  <c r="J176" i="19" s="1"/>
  <c r="J178" i="19" s="1"/>
  <c r="J180" i="19" s="1"/>
  <c r="J182" i="19" s="1"/>
  <c r="J184" i="19" s="1"/>
  <c r="J186" i="19" s="1"/>
  <c r="J192" i="19"/>
  <c r="J193" i="19" s="1"/>
  <c r="J194" i="19" s="1"/>
  <c r="J195" i="19" s="1"/>
  <c r="J196" i="19" s="1"/>
  <c r="J197" i="19" s="1"/>
  <c r="J198" i="19" s="1"/>
  <c r="J199" i="19" s="1"/>
  <c r="J200" i="19" s="1"/>
  <c r="J201" i="19" s="1"/>
  <c r="J202" i="19" s="1"/>
  <c r="J203" i="19" s="1"/>
  <c r="J204" i="19" s="1"/>
  <c r="J228" i="19" s="1"/>
  <c r="J165" i="19"/>
  <c r="J167" i="19" s="1"/>
  <c r="J169" i="19" s="1"/>
  <c r="J171" i="19" s="1"/>
  <c r="J173" i="19" s="1"/>
  <c r="J175" i="19" s="1"/>
  <c r="J227" i="19" s="1"/>
  <c r="O108" i="19"/>
  <c r="O110" i="19" s="1"/>
  <c r="O112" i="19" s="1"/>
  <c r="O114" i="19" s="1"/>
  <c r="O116" i="19" s="1"/>
  <c r="O118" i="19" s="1"/>
  <c r="O225" i="19" s="1"/>
  <c r="O107" i="19"/>
  <c r="O109" i="19" s="1"/>
  <c r="O111" i="19" s="1"/>
  <c r="O113" i="19" s="1"/>
  <c r="O115" i="19" s="1"/>
  <c r="O117" i="19" s="1"/>
  <c r="O119" i="19" s="1"/>
  <c r="O121" i="19" s="1"/>
  <c r="O123" i="19" s="1"/>
  <c r="O125" i="19" s="1"/>
  <c r="O127" i="19" s="1"/>
  <c r="O129" i="19" s="1"/>
  <c r="O165" i="19"/>
  <c r="O167" i="19" s="1"/>
  <c r="O169" i="19" s="1"/>
  <c r="O171" i="19" s="1"/>
  <c r="O173" i="19" s="1"/>
  <c r="O175" i="19" s="1"/>
  <c r="O227" i="19" s="1"/>
  <c r="O136" i="19"/>
  <c r="O138" i="19" s="1"/>
  <c r="O140" i="19" s="1"/>
  <c r="O142" i="19" s="1"/>
  <c r="O144" i="19" s="1"/>
  <c r="O146" i="19" s="1"/>
  <c r="O226" i="19" s="1"/>
  <c r="O135" i="19"/>
  <c r="O137" i="19" s="1"/>
  <c r="O139" i="19" s="1"/>
  <c r="O141" i="19" s="1"/>
  <c r="O143" i="19" s="1"/>
  <c r="O145" i="19" s="1"/>
  <c r="O147" i="19" s="1"/>
  <c r="O149" i="19" s="1"/>
  <c r="O151" i="19" s="1"/>
  <c r="O153" i="19" s="1"/>
  <c r="O155" i="19" s="1"/>
  <c r="O157" i="19" s="1"/>
  <c r="H164" i="19"/>
  <c r="H166" i="19" s="1"/>
  <c r="H168" i="19" s="1"/>
  <c r="H170" i="19" s="1"/>
  <c r="H172" i="19" s="1"/>
  <c r="H174" i="19" s="1"/>
  <c r="H176" i="19" s="1"/>
  <c r="H178" i="19" s="1"/>
  <c r="H180" i="19" s="1"/>
  <c r="H182" i="19" s="1"/>
  <c r="H184" i="19" s="1"/>
  <c r="H186" i="19" s="1"/>
  <c r="H136" i="19"/>
  <c r="H138" i="19" s="1"/>
  <c r="H140" i="19" s="1"/>
  <c r="H142" i="19" s="1"/>
  <c r="H144" i="19" s="1"/>
  <c r="H146" i="19" s="1"/>
  <c r="H226" i="19" s="1"/>
  <c r="H108" i="19"/>
  <c r="H110" i="19" s="1"/>
  <c r="H112" i="19" s="1"/>
  <c r="H114" i="19" s="1"/>
  <c r="H116" i="19" s="1"/>
  <c r="H118" i="19" s="1"/>
  <c r="H225" i="19" s="1"/>
  <c r="H165" i="19"/>
  <c r="H167" i="19" s="1"/>
  <c r="H169" i="19" s="1"/>
  <c r="H171" i="19" s="1"/>
  <c r="H173" i="19" s="1"/>
  <c r="H175" i="19" s="1"/>
  <c r="H227" i="19" s="1"/>
  <c r="H107" i="19"/>
  <c r="H109" i="19" s="1"/>
  <c r="H111" i="19" s="1"/>
  <c r="H113" i="19" s="1"/>
  <c r="H115" i="19" s="1"/>
  <c r="H117" i="19" s="1"/>
  <c r="H119" i="19" s="1"/>
  <c r="H121" i="19" s="1"/>
  <c r="H123" i="19" s="1"/>
  <c r="H125" i="19" s="1"/>
  <c r="H127" i="19" s="1"/>
  <c r="H129" i="19" s="1"/>
  <c r="H135" i="19"/>
  <c r="H137" i="19" s="1"/>
  <c r="H139" i="19" s="1"/>
  <c r="H141" i="19" s="1"/>
  <c r="H143" i="19" s="1"/>
  <c r="H145" i="19" s="1"/>
  <c r="H147" i="19" s="1"/>
  <c r="H149" i="19" s="1"/>
  <c r="H151" i="19" s="1"/>
  <c r="H153" i="19" s="1"/>
  <c r="H155" i="19" s="1"/>
  <c r="H157" i="19" s="1"/>
  <c r="I136" i="19"/>
  <c r="I138" i="19" s="1"/>
  <c r="I140" i="19" s="1"/>
  <c r="I142" i="19" s="1"/>
  <c r="I144" i="19" s="1"/>
  <c r="I146" i="19" s="1"/>
  <c r="I226" i="19" s="1"/>
  <c r="I164" i="19"/>
  <c r="I166" i="19" s="1"/>
  <c r="I168" i="19" s="1"/>
  <c r="I170" i="19" s="1"/>
  <c r="I172" i="19" s="1"/>
  <c r="I174" i="19" s="1"/>
  <c r="I176" i="19" s="1"/>
  <c r="I178" i="19" s="1"/>
  <c r="I180" i="19" s="1"/>
  <c r="I182" i="19" s="1"/>
  <c r="I184" i="19" s="1"/>
  <c r="I186" i="19" s="1"/>
  <c r="I107" i="19"/>
  <c r="I109" i="19" s="1"/>
  <c r="I111" i="19" s="1"/>
  <c r="I113" i="19" s="1"/>
  <c r="I115" i="19" s="1"/>
  <c r="I117" i="19" s="1"/>
  <c r="I119" i="19" s="1"/>
  <c r="I121" i="19" s="1"/>
  <c r="I123" i="19" s="1"/>
  <c r="I125" i="19" s="1"/>
  <c r="I127" i="19" s="1"/>
  <c r="I129" i="19" s="1"/>
  <c r="I165" i="19"/>
  <c r="I167" i="19" s="1"/>
  <c r="I169" i="19" s="1"/>
  <c r="I171" i="19" s="1"/>
  <c r="I173" i="19" s="1"/>
  <c r="I175" i="19" s="1"/>
  <c r="I227" i="19" s="1"/>
  <c r="I135" i="19"/>
  <c r="I137" i="19" s="1"/>
  <c r="I139" i="19" s="1"/>
  <c r="I141" i="19" s="1"/>
  <c r="I143" i="19" s="1"/>
  <c r="I145" i="19" s="1"/>
  <c r="I147" i="19" s="1"/>
  <c r="I149" i="19" s="1"/>
  <c r="I151" i="19" s="1"/>
  <c r="I153" i="19" s="1"/>
  <c r="I155" i="19" s="1"/>
  <c r="I157" i="19" s="1"/>
  <c r="I108" i="19"/>
  <c r="I110" i="19" s="1"/>
  <c r="I112" i="19" s="1"/>
  <c r="I114" i="19" s="1"/>
  <c r="I116" i="19" s="1"/>
  <c r="I118" i="19" s="1"/>
  <c r="I225" i="19" s="1"/>
  <c r="K41" i="19" s="1"/>
  <c r="Q164" i="19"/>
  <c r="Q166" i="19" s="1"/>
  <c r="Q168" i="19" s="1"/>
  <c r="Q170" i="19" s="1"/>
  <c r="Q172" i="19" s="1"/>
  <c r="Q174" i="19" s="1"/>
  <c r="Q176" i="19" s="1"/>
  <c r="Q178" i="19" s="1"/>
  <c r="Q180" i="19" s="1"/>
  <c r="Q182" i="19" s="1"/>
  <c r="Q184" i="19" s="1"/>
  <c r="Q186" i="19" s="1"/>
  <c r="Q107" i="19"/>
  <c r="Q109" i="19" s="1"/>
  <c r="Q111" i="19" s="1"/>
  <c r="Q113" i="19" s="1"/>
  <c r="Q115" i="19" s="1"/>
  <c r="Q117" i="19" s="1"/>
  <c r="Q119" i="19" s="1"/>
  <c r="Q121" i="19" s="1"/>
  <c r="Q123" i="19" s="1"/>
  <c r="Q125" i="19" s="1"/>
  <c r="Q127" i="19" s="1"/>
  <c r="Q129" i="19" s="1"/>
  <c r="Q135" i="19"/>
  <c r="Q137" i="19" s="1"/>
  <c r="Q139" i="19" s="1"/>
  <c r="Q141" i="19" s="1"/>
  <c r="Q143" i="19" s="1"/>
  <c r="Q145" i="19" s="1"/>
  <c r="Q147" i="19" s="1"/>
  <c r="Q149" i="19" s="1"/>
  <c r="Q151" i="19" s="1"/>
  <c r="Q153" i="19" s="1"/>
  <c r="Q155" i="19" s="1"/>
  <c r="Q157" i="19" s="1"/>
  <c r="Q192" i="19"/>
  <c r="Q193" i="19" s="1"/>
  <c r="Q194" i="19" s="1"/>
  <c r="Q195" i="19" s="1"/>
  <c r="Q196" i="19" s="1"/>
  <c r="Q197" i="19" s="1"/>
  <c r="Q198" i="19" s="1"/>
  <c r="Q199" i="19" s="1"/>
  <c r="Q200" i="19" s="1"/>
  <c r="Q201" i="19" s="1"/>
  <c r="Q202" i="19" s="1"/>
  <c r="Q203" i="19" s="1"/>
  <c r="Q204" i="19" s="1"/>
  <c r="Q228" i="19" s="1"/>
  <c r="Q108" i="19"/>
  <c r="Q110" i="19" s="1"/>
  <c r="Q112" i="19" s="1"/>
  <c r="Q114" i="19" s="1"/>
  <c r="Q116" i="19" s="1"/>
  <c r="Q118" i="19" s="1"/>
  <c r="Q225" i="19" s="1"/>
  <c r="Q165" i="19"/>
  <c r="Q167" i="19" s="1"/>
  <c r="Q169" i="19" s="1"/>
  <c r="Q171" i="19" s="1"/>
  <c r="Q173" i="19" s="1"/>
  <c r="Q175" i="19" s="1"/>
  <c r="Q227" i="19" s="1"/>
  <c r="Q136" i="19"/>
  <c r="Q138" i="19" s="1"/>
  <c r="Q140" i="19" s="1"/>
  <c r="Q142" i="19" s="1"/>
  <c r="Q144" i="19" s="1"/>
  <c r="Q146" i="19" s="1"/>
  <c r="Q226" i="19" s="1"/>
  <c r="P192" i="19"/>
  <c r="P193" i="19" s="1"/>
  <c r="P194" i="19" s="1"/>
  <c r="P195" i="19" s="1"/>
  <c r="P196" i="19" s="1"/>
  <c r="P197" i="19" s="1"/>
  <c r="P198" i="19" s="1"/>
  <c r="P199" i="19" s="1"/>
  <c r="P200" i="19" s="1"/>
  <c r="P201" i="19" s="1"/>
  <c r="P202" i="19" s="1"/>
  <c r="P203" i="19" s="1"/>
  <c r="P204" i="19" s="1"/>
  <c r="P228" i="19" s="1"/>
  <c r="P108" i="19"/>
  <c r="P110" i="19" s="1"/>
  <c r="P112" i="19" s="1"/>
  <c r="P114" i="19" s="1"/>
  <c r="P116" i="19" s="1"/>
  <c r="P118" i="19" s="1"/>
  <c r="P225" i="19" s="1"/>
  <c r="P136" i="19"/>
  <c r="P138" i="19" s="1"/>
  <c r="P140" i="19" s="1"/>
  <c r="P142" i="19" s="1"/>
  <c r="P144" i="19" s="1"/>
  <c r="P146" i="19" s="1"/>
  <c r="P226" i="19" s="1"/>
  <c r="P164" i="19"/>
  <c r="P166" i="19" s="1"/>
  <c r="P168" i="19" s="1"/>
  <c r="P170" i="19" s="1"/>
  <c r="P172" i="19" s="1"/>
  <c r="P174" i="19" s="1"/>
  <c r="P176" i="19" s="1"/>
  <c r="P178" i="19" s="1"/>
  <c r="P180" i="19" s="1"/>
  <c r="P182" i="19" s="1"/>
  <c r="P184" i="19" s="1"/>
  <c r="P186" i="19" s="1"/>
  <c r="P135" i="19"/>
  <c r="P137" i="19" s="1"/>
  <c r="P139" i="19" s="1"/>
  <c r="P141" i="19" s="1"/>
  <c r="P143" i="19" s="1"/>
  <c r="P145" i="19" s="1"/>
  <c r="P147" i="19" s="1"/>
  <c r="P149" i="19" s="1"/>
  <c r="P151" i="19" s="1"/>
  <c r="P153" i="19" s="1"/>
  <c r="P155" i="19" s="1"/>
  <c r="P157" i="19" s="1"/>
  <c r="P107" i="19"/>
  <c r="P109" i="19" s="1"/>
  <c r="P111" i="19" s="1"/>
  <c r="P113" i="19" s="1"/>
  <c r="P115" i="19" s="1"/>
  <c r="P117" i="19" s="1"/>
  <c r="P119" i="19" s="1"/>
  <c r="P121" i="19" s="1"/>
  <c r="P123" i="19" s="1"/>
  <c r="P125" i="19" s="1"/>
  <c r="P127" i="19" s="1"/>
  <c r="P129" i="19" s="1"/>
  <c r="P165" i="19"/>
  <c r="P167" i="19" s="1"/>
  <c r="P169" i="19" s="1"/>
  <c r="P171" i="19" s="1"/>
  <c r="P173" i="19" s="1"/>
  <c r="P175" i="19" s="1"/>
  <c r="P227" i="19" s="1"/>
  <c r="T135" i="19"/>
  <c r="T137" i="19" s="1"/>
  <c r="T139" i="19" s="1"/>
  <c r="T141" i="19" s="1"/>
  <c r="T143" i="19" s="1"/>
  <c r="T145" i="19" s="1"/>
  <c r="T147" i="19" s="1"/>
  <c r="T149" i="19" s="1"/>
  <c r="T151" i="19" s="1"/>
  <c r="T153" i="19" s="1"/>
  <c r="T155" i="19" s="1"/>
  <c r="T157" i="19" s="1"/>
  <c r="T136" i="19"/>
  <c r="T138" i="19" s="1"/>
  <c r="T140" i="19" s="1"/>
  <c r="T142" i="19" s="1"/>
  <c r="T144" i="19" s="1"/>
  <c r="T146" i="19" s="1"/>
  <c r="T226" i="19" s="1"/>
  <c r="T164" i="19"/>
  <c r="T166" i="19" s="1"/>
  <c r="T168" i="19" s="1"/>
  <c r="T170" i="19" s="1"/>
  <c r="T172" i="19" s="1"/>
  <c r="T174" i="19" s="1"/>
  <c r="T176" i="19" s="1"/>
  <c r="T178" i="19" s="1"/>
  <c r="T180" i="19" s="1"/>
  <c r="T182" i="19" s="1"/>
  <c r="T184" i="19" s="1"/>
  <c r="T186" i="19" s="1"/>
  <c r="T165" i="19"/>
  <c r="T167" i="19" s="1"/>
  <c r="T169" i="19" s="1"/>
  <c r="T171" i="19" s="1"/>
  <c r="T173" i="19" s="1"/>
  <c r="T175" i="19" s="1"/>
  <c r="T227" i="19" s="1"/>
  <c r="T107" i="19"/>
  <c r="T109" i="19" s="1"/>
  <c r="T111" i="19" s="1"/>
  <c r="T113" i="19" s="1"/>
  <c r="T115" i="19" s="1"/>
  <c r="T117" i="19" s="1"/>
  <c r="T119" i="19" s="1"/>
  <c r="T121" i="19" s="1"/>
  <c r="T123" i="19" s="1"/>
  <c r="T125" i="19" s="1"/>
  <c r="T127" i="19" s="1"/>
  <c r="T129" i="19" s="1"/>
  <c r="T108" i="19"/>
  <c r="T110" i="19" s="1"/>
  <c r="T112" i="19" s="1"/>
  <c r="T114" i="19" s="1"/>
  <c r="T116" i="19" s="1"/>
  <c r="T118" i="19" s="1"/>
  <c r="T225" i="19" s="1"/>
  <c r="U164" i="19"/>
  <c r="U166" i="19" s="1"/>
  <c r="U168" i="19" s="1"/>
  <c r="U170" i="19" s="1"/>
  <c r="U172" i="19" s="1"/>
  <c r="U174" i="19" s="1"/>
  <c r="U176" i="19" s="1"/>
  <c r="U178" i="19" s="1"/>
  <c r="U180" i="19" s="1"/>
  <c r="U182" i="19" s="1"/>
  <c r="U184" i="19" s="1"/>
  <c r="U186" i="19" s="1"/>
  <c r="U107" i="19"/>
  <c r="U109" i="19" s="1"/>
  <c r="U111" i="19" s="1"/>
  <c r="U113" i="19" s="1"/>
  <c r="U115" i="19" s="1"/>
  <c r="U117" i="19" s="1"/>
  <c r="U119" i="19" s="1"/>
  <c r="U121" i="19" s="1"/>
  <c r="U123" i="19" s="1"/>
  <c r="U125" i="19" s="1"/>
  <c r="U127" i="19" s="1"/>
  <c r="U129" i="19" s="1"/>
  <c r="U165" i="19"/>
  <c r="U167" i="19" s="1"/>
  <c r="U169" i="19" s="1"/>
  <c r="U171" i="19" s="1"/>
  <c r="U173" i="19" s="1"/>
  <c r="U175" i="19" s="1"/>
  <c r="U227" i="19" s="1"/>
  <c r="U135" i="19"/>
  <c r="U137" i="19" s="1"/>
  <c r="U139" i="19" s="1"/>
  <c r="U141" i="19" s="1"/>
  <c r="U143" i="19" s="1"/>
  <c r="U145" i="19" s="1"/>
  <c r="U147" i="19" s="1"/>
  <c r="U149" i="19" s="1"/>
  <c r="U151" i="19" s="1"/>
  <c r="U153" i="19" s="1"/>
  <c r="U155" i="19" s="1"/>
  <c r="U157" i="19" s="1"/>
  <c r="U108" i="19"/>
  <c r="U110" i="19" s="1"/>
  <c r="U112" i="19" s="1"/>
  <c r="U114" i="19" s="1"/>
  <c r="U116" i="19" s="1"/>
  <c r="U118" i="19" s="1"/>
  <c r="U225" i="19" s="1"/>
  <c r="U136" i="19"/>
  <c r="U138" i="19" s="1"/>
  <c r="U140" i="19" s="1"/>
  <c r="U142" i="19" s="1"/>
  <c r="U144" i="19" s="1"/>
  <c r="U146" i="19" s="1"/>
  <c r="U226" i="19" s="1"/>
  <c r="S135" i="19"/>
  <c r="S137" i="19" s="1"/>
  <c r="S139" i="19" s="1"/>
  <c r="S141" i="19" s="1"/>
  <c r="S143" i="19" s="1"/>
  <c r="S145" i="19" s="1"/>
  <c r="S147" i="19" s="1"/>
  <c r="S149" i="19" s="1"/>
  <c r="S151" i="19" s="1"/>
  <c r="S153" i="19" s="1"/>
  <c r="S155" i="19" s="1"/>
  <c r="S157" i="19" s="1"/>
  <c r="S136" i="19"/>
  <c r="S138" i="19" s="1"/>
  <c r="S140" i="19" s="1"/>
  <c r="S142" i="19" s="1"/>
  <c r="S144" i="19" s="1"/>
  <c r="S146" i="19" s="1"/>
  <c r="S226" i="19" s="1"/>
  <c r="S107" i="19"/>
  <c r="S109" i="19" s="1"/>
  <c r="S111" i="19" s="1"/>
  <c r="S113" i="19" s="1"/>
  <c r="S115" i="19" s="1"/>
  <c r="S117" i="19" s="1"/>
  <c r="S119" i="19" s="1"/>
  <c r="S121" i="19" s="1"/>
  <c r="S123" i="19" s="1"/>
  <c r="S125" i="19" s="1"/>
  <c r="S127" i="19" s="1"/>
  <c r="S129" i="19" s="1"/>
  <c r="S165" i="19"/>
  <c r="S167" i="19" s="1"/>
  <c r="S169" i="19" s="1"/>
  <c r="S171" i="19" s="1"/>
  <c r="S173" i="19" s="1"/>
  <c r="S175" i="19" s="1"/>
  <c r="S227" i="19" s="1"/>
  <c r="S164" i="19"/>
  <c r="S166" i="19" s="1"/>
  <c r="S168" i="19" s="1"/>
  <c r="S170" i="19" s="1"/>
  <c r="S172" i="19" s="1"/>
  <c r="S174" i="19" s="1"/>
  <c r="S176" i="19" s="1"/>
  <c r="S178" i="19" s="1"/>
  <c r="S180" i="19" s="1"/>
  <c r="S182" i="19" s="1"/>
  <c r="S184" i="19" s="1"/>
  <c r="S186" i="19" s="1"/>
  <c r="S108" i="19"/>
  <c r="S110" i="19" s="1"/>
  <c r="S112" i="19" s="1"/>
  <c r="S114" i="19" s="1"/>
  <c r="S116" i="19" s="1"/>
  <c r="S118" i="19" s="1"/>
  <c r="S225" i="19" s="1"/>
  <c r="F135" i="19"/>
  <c r="F137" i="19" s="1"/>
  <c r="F139" i="19" s="1"/>
  <c r="F141" i="19" s="1"/>
  <c r="F143" i="19" s="1"/>
  <c r="F145" i="19" s="1"/>
  <c r="F147" i="19" s="1"/>
  <c r="F149" i="19" s="1"/>
  <c r="F151" i="19" s="1"/>
  <c r="F153" i="19" s="1"/>
  <c r="F155" i="19" s="1"/>
  <c r="F157" i="19" s="1"/>
  <c r="F136" i="19"/>
  <c r="F138" i="19" s="1"/>
  <c r="F140" i="19" s="1"/>
  <c r="F142" i="19" s="1"/>
  <c r="F144" i="19" s="1"/>
  <c r="F146" i="19" s="1"/>
  <c r="F226" i="19" s="1"/>
  <c r="F107" i="19"/>
  <c r="F109" i="19" s="1"/>
  <c r="F111" i="19" s="1"/>
  <c r="F113" i="19" s="1"/>
  <c r="F115" i="19" s="1"/>
  <c r="F117" i="19" s="1"/>
  <c r="F119" i="19" s="1"/>
  <c r="F121" i="19" s="1"/>
  <c r="F123" i="19" s="1"/>
  <c r="F125" i="19" s="1"/>
  <c r="F127" i="19" s="1"/>
  <c r="F129" i="19" s="1"/>
  <c r="F108" i="19"/>
  <c r="F110" i="19" s="1"/>
  <c r="F112" i="19" s="1"/>
  <c r="F114" i="19" s="1"/>
  <c r="F116" i="19" s="1"/>
  <c r="F118" i="19" s="1"/>
  <c r="F225" i="19" s="1"/>
  <c r="F192" i="19"/>
  <c r="F193" i="19" s="1"/>
  <c r="F194" i="19" s="1"/>
  <c r="F195" i="19" s="1"/>
  <c r="F196" i="19" s="1"/>
  <c r="F197" i="19" s="1"/>
  <c r="F198" i="19" s="1"/>
  <c r="F199" i="19" s="1"/>
  <c r="F200" i="19" s="1"/>
  <c r="F201" i="19" s="1"/>
  <c r="F202" i="19" s="1"/>
  <c r="F203" i="19" s="1"/>
  <c r="F204" i="19" s="1"/>
  <c r="F228" i="19" s="1"/>
  <c r="F165" i="19"/>
  <c r="F167" i="19" s="1"/>
  <c r="F169" i="19" s="1"/>
  <c r="F171" i="19" s="1"/>
  <c r="F173" i="19" s="1"/>
  <c r="F175" i="19" s="1"/>
  <c r="F227" i="19" s="1"/>
  <c r="F164" i="19"/>
  <c r="F166" i="19" s="1"/>
  <c r="F168" i="19" s="1"/>
  <c r="F170" i="19" s="1"/>
  <c r="F172" i="19" s="1"/>
  <c r="F174" i="19" s="1"/>
  <c r="F176" i="19" s="1"/>
  <c r="F178" i="19" s="1"/>
  <c r="F180" i="19" s="1"/>
  <c r="F182" i="19" s="1"/>
  <c r="F184" i="19" s="1"/>
  <c r="F186" i="19" s="1"/>
  <c r="E107" i="19"/>
  <c r="E109" i="19" s="1"/>
  <c r="E111" i="19" s="1"/>
  <c r="E113" i="19" s="1"/>
  <c r="E115" i="19" s="1"/>
  <c r="E117" i="19" s="1"/>
  <c r="E119" i="19" s="1"/>
  <c r="E121" i="19" s="1"/>
  <c r="E123" i="19" s="1"/>
  <c r="E125" i="19" s="1"/>
  <c r="E127" i="19" s="1"/>
  <c r="E129" i="19" s="1"/>
  <c r="E192" i="19"/>
  <c r="E193" i="19" s="1"/>
  <c r="E194" i="19" s="1"/>
  <c r="E195" i="19" s="1"/>
  <c r="E196" i="19" s="1"/>
  <c r="E197" i="19" s="1"/>
  <c r="E198" i="19" s="1"/>
  <c r="E199" i="19" s="1"/>
  <c r="E200" i="19" s="1"/>
  <c r="E201" i="19" s="1"/>
  <c r="E202" i="19" s="1"/>
  <c r="E203" i="19" s="1"/>
  <c r="E204" i="19" s="1"/>
  <c r="E228" i="19" s="1"/>
  <c r="E165" i="19"/>
  <c r="E167" i="19" s="1"/>
  <c r="E169" i="19" s="1"/>
  <c r="E171" i="19" s="1"/>
  <c r="E173" i="19" s="1"/>
  <c r="E175" i="19" s="1"/>
  <c r="E227" i="19" s="1"/>
  <c r="E164" i="19"/>
  <c r="E166" i="19" s="1"/>
  <c r="E168" i="19" s="1"/>
  <c r="E170" i="19" s="1"/>
  <c r="E172" i="19" s="1"/>
  <c r="E174" i="19" s="1"/>
  <c r="E176" i="19" s="1"/>
  <c r="E178" i="19" s="1"/>
  <c r="E180" i="19" s="1"/>
  <c r="E182" i="19" s="1"/>
  <c r="E184" i="19" s="1"/>
  <c r="E186" i="19" s="1"/>
  <c r="E136" i="19"/>
  <c r="E138" i="19" s="1"/>
  <c r="E140" i="19" s="1"/>
  <c r="E142" i="19" s="1"/>
  <c r="E144" i="19" s="1"/>
  <c r="E146" i="19" s="1"/>
  <c r="E226" i="19" s="1"/>
  <c r="E108" i="19"/>
  <c r="E110" i="19" s="1"/>
  <c r="E112" i="19" s="1"/>
  <c r="E114" i="19" s="1"/>
  <c r="E116" i="19" s="1"/>
  <c r="E118" i="19" s="1"/>
  <c r="E225" i="19" s="1"/>
  <c r="E135" i="19"/>
  <c r="E137" i="19" s="1"/>
  <c r="E139" i="19" s="1"/>
  <c r="E141" i="19" s="1"/>
  <c r="E143" i="19" s="1"/>
  <c r="E145" i="19" s="1"/>
  <c r="E147" i="19" s="1"/>
  <c r="E149" i="19" s="1"/>
  <c r="E151" i="19" s="1"/>
  <c r="E153" i="19" s="1"/>
  <c r="E155" i="19" s="1"/>
  <c r="E157" i="19" s="1"/>
  <c r="W108" i="19"/>
  <c r="W110" i="19" s="1"/>
  <c r="W112" i="19" s="1"/>
  <c r="W114" i="19" s="1"/>
  <c r="W116" i="19" s="1"/>
  <c r="W118" i="19" s="1"/>
  <c r="W225" i="19" s="1"/>
  <c r="W107" i="19"/>
  <c r="W109" i="19" s="1"/>
  <c r="W111" i="19" s="1"/>
  <c r="W113" i="19" s="1"/>
  <c r="W115" i="19" s="1"/>
  <c r="W117" i="19" s="1"/>
  <c r="W119" i="19" s="1"/>
  <c r="W121" i="19" s="1"/>
  <c r="W123" i="19" s="1"/>
  <c r="W125" i="19" s="1"/>
  <c r="W127" i="19" s="1"/>
  <c r="W129" i="19" s="1"/>
  <c r="W136" i="19"/>
  <c r="W138" i="19" s="1"/>
  <c r="W140" i="19" s="1"/>
  <c r="W142" i="19" s="1"/>
  <c r="W144" i="19" s="1"/>
  <c r="W146" i="19" s="1"/>
  <c r="W226" i="19" s="1"/>
  <c r="W135" i="19"/>
  <c r="W137" i="19" s="1"/>
  <c r="W139" i="19" s="1"/>
  <c r="W141" i="19" s="1"/>
  <c r="W143" i="19" s="1"/>
  <c r="W145" i="19" s="1"/>
  <c r="W147" i="19" s="1"/>
  <c r="W149" i="19" s="1"/>
  <c r="W151" i="19" s="1"/>
  <c r="W153" i="19" s="1"/>
  <c r="W155" i="19" s="1"/>
  <c r="W157" i="19" s="1"/>
  <c r="W164" i="19"/>
  <c r="W166" i="19" s="1"/>
  <c r="W168" i="19" s="1"/>
  <c r="W170" i="19" s="1"/>
  <c r="W172" i="19" s="1"/>
  <c r="W174" i="19" s="1"/>
  <c r="W176" i="19" s="1"/>
  <c r="W178" i="19" s="1"/>
  <c r="W180" i="19" s="1"/>
  <c r="W182" i="19" s="1"/>
  <c r="W184" i="19" s="1"/>
  <c r="W186" i="19" s="1"/>
  <c r="W165" i="19"/>
  <c r="W167" i="19" s="1"/>
  <c r="W169" i="19" s="1"/>
  <c r="W171" i="19" s="1"/>
  <c r="W173" i="19" s="1"/>
  <c r="W175" i="19" s="1"/>
  <c r="W227" i="19" s="1"/>
  <c r="W192" i="19"/>
  <c r="W193" i="19" s="1"/>
  <c r="W194" i="19" s="1"/>
  <c r="W195" i="19" s="1"/>
  <c r="W196" i="19" s="1"/>
  <c r="W197" i="19" s="1"/>
  <c r="W198" i="19" s="1"/>
  <c r="W199" i="19" s="1"/>
  <c r="W200" i="19" s="1"/>
  <c r="W201" i="19" s="1"/>
  <c r="W202" i="19" s="1"/>
  <c r="W203" i="19" s="1"/>
  <c r="W204" i="19" s="1"/>
  <c r="W228" i="19" s="1"/>
  <c r="G164" i="19"/>
  <c r="G166" i="19" s="1"/>
  <c r="G168" i="19" s="1"/>
  <c r="G170" i="19" s="1"/>
  <c r="G165" i="19"/>
  <c r="G167" i="19" s="1"/>
  <c r="G169" i="19" s="1"/>
  <c r="G171" i="19" s="1"/>
  <c r="G108" i="19"/>
  <c r="G110" i="19" s="1"/>
  <c r="G112" i="19" s="1"/>
  <c r="G114" i="19" s="1"/>
  <c r="G192" i="19"/>
  <c r="G193" i="19" s="1"/>
  <c r="G194" i="19" s="1"/>
  <c r="G195" i="19" s="1"/>
  <c r="G196" i="19" s="1"/>
  <c r="G197" i="19" s="1"/>
  <c r="G198" i="19" s="1"/>
  <c r="G199" i="19" s="1"/>
  <c r="G200" i="19" s="1"/>
  <c r="G136" i="19"/>
  <c r="G138" i="19" s="1"/>
  <c r="G140" i="19" s="1"/>
  <c r="G142" i="19" s="1"/>
  <c r="G107" i="19"/>
  <c r="G109" i="19" s="1"/>
  <c r="G111" i="19" s="1"/>
  <c r="G113" i="19" s="1"/>
  <c r="G135" i="19"/>
  <c r="G137" i="19" s="1"/>
  <c r="G139" i="19" s="1"/>
  <c r="G141" i="19" s="1"/>
  <c r="V135" i="19"/>
  <c r="V137" i="19" s="1"/>
  <c r="V139" i="19" s="1"/>
  <c r="V141" i="19" s="1"/>
  <c r="V143" i="19" s="1"/>
  <c r="V145" i="19" s="1"/>
  <c r="V147" i="19" s="1"/>
  <c r="V149" i="19" s="1"/>
  <c r="V151" i="19" s="1"/>
  <c r="V153" i="19" s="1"/>
  <c r="V155" i="19" s="1"/>
  <c r="V157" i="19" s="1"/>
  <c r="V164" i="19"/>
  <c r="V166" i="19" s="1"/>
  <c r="V168" i="19" s="1"/>
  <c r="V170" i="19" s="1"/>
  <c r="V172" i="19" s="1"/>
  <c r="V174" i="19" s="1"/>
  <c r="V176" i="19" s="1"/>
  <c r="V178" i="19" s="1"/>
  <c r="V180" i="19" s="1"/>
  <c r="V182" i="19" s="1"/>
  <c r="V184" i="19" s="1"/>
  <c r="V186" i="19" s="1"/>
  <c r="V108" i="19"/>
  <c r="V110" i="19" s="1"/>
  <c r="V112" i="19" s="1"/>
  <c r="V114" i="19" s="1"/>
  <c r="V116" i="19" s="1"/>
  <c r="V118" i="19" s="1"/>
  <c r="V225" i="19" s="1"/>
  <c r="V192" i="19"/>
  <c r="V193" i="19" s="1"/>
  <c r="V194" i="19" s="1"/>
  <c r="V195" i="19" s="1"/>
  <c r="V196" i="19" s="1"/>
  <c r="V197" i="19" s="1"/>
  <c r="V198" i="19" s="1"/>
  <c r="V199" i="19" s="1"/>
  <c r="V200" i="19" s="1"/>
  <c r="V201" i="19" s="1"/>
  <c r="V202" i="19" s="1"/>
  <c r="V203" i="19" s="1"/>
  <c r="V204" i="19" s="1"/>
  <c r="V228" i="19" s="1"/>
  <c r="V165" i="19"/>
  <c r="V167" i="19" s="1"/>
  <c r="V169" i="19" s="1"/>
  <c r="V171" i="19" s="1"/>
  <c r="V173" i="19" s="1"/>
  <c r="V175" i="19" s="1"/>
  <c r="V227" i="19" s="1"/>
  <c r="V107" i="19"/>
  <c r="V109" i="19" s="1"/>
  <c r="V111" i="19" s="1"/>
  <c r="V113" i="19" s="1"/>
  <c r="V115" i="19" s="1"/>
  <c r="V117" i="19" s="1"/>
  <c r="V119" i="19" s="1"/>
  <c r="V121" i="19" s="1"/>
  <c r="V123" i="19" s="1"/>
  <c r="V125" i="19" s="1"/>
  <c r="V127" i="19" s="1"/>
  <c r="V129" i="19" s="1"/>
  <c r="V136" i="19"/>
  <c r="V138" i="19" s="1"/>
  <c r="V140" i="19" s="1"/>
  <c r="V142" i="19" s="1"/>
  <c r="V144" i="19" s="1"/>
  <c r="V146" i="19" s="1"/>
  <c r="V226" i="19" s="1"/>
  <c r="D192" i="19"/>
  <c r="D193" i="19" s="1"/>
  <c r="D194" i="19" s="1"/>
  <c r="D195" i="19" s="1"/>
  <c r="D196" i="19" s="1"/>
  <c r="D197" i="19" s="1"/>
  <c r="D198" i="19" s="1"/>
  <c r="D199" i="19" s="1"/>
  <c r="D200" i="19" s="1"/>
  <c r="D201" i="19" s="1"/>
  <c r="D202" i="19" s="1"/>
  <c r="D203" i="19" s="1"/>
  <c r="D204" i="19" s="1"/>
  <c r="D228" i="19" s="1"/>
  <c r="D107" i="19"/>
  <c r="D109" i="19" s="1"/>
  <c r="D111" i="19" s="1"/>
  <c r="D113" i="19" s="1"/>
  <c r="D115" i="19" s="1"/>
  <c r="D117" i="19" s="1"/>
  <c r="D119" i="19" s="1"/>
  <c r="D121" i="19" s="1"/>
  <c r="D123" i="19" s="1"/>
  <c r="D125" i="19" s="1"/>
  <c r="D127" i="19" s="1"/>
  <c r="D129" i="19" s="1"/>
  <c r="D165" i="19"/>
  <c r="D167" i="19" s="1"/>
  <c r="D169" i="19" s="1"/>
  <c r="D171" i="19" s="1"/>
  <c r="D173" i="19" s="1"/>
  <c r="D175" i="19" s="1"/>
  <c r="D227" i="19" s="1"/>
  <c r="D135" i="19"/>
  <c r="D137" i="19" s="1"/>
  <c r="D139" i="19" s="1"/>
  <c r="D141" i="19" s="1"/>
  <c r="D143" i="19" s="1"/>
  <c r="D145" i="19" s="1"/>
  <c r="D147" i="19" s="1"/>
  <c r="D149" i="19" s="1"/>
  <c r="D151" i="19" s="1"/>
  <c r="D153" i="19" s="1"/>
  <c r="D155" i="19" s="1"/>
  <c r="D157" i="19" s="1"/>
  <c r="D136" i="19"/>
  <c r="D138" i="19" s="1"/>
  <c r="D140" i="19" s="1"/>
  <c r="D142" i="19" s="1"/>
  <c r="D144" i="19" s="1"/>
  <c r="D146" i="19" s="1"/>
  <c r="D226" i="19" s="1"/>
  <c r="D164" i="19"/>
  <c r="D166" i="19" s="1"/>
  <c r="D168" i="19" s="1"/>
  <c r="D170" i="19" s="1"/>
  <c r="D172" i="19" s="1"/>
  <c r="D174" i="19" s="1"/>
  <c r="D176" i="19" s="1"/>
  <c r="D178" i="19" s="1"/>
  <c r="D180" i="19" s="1"/>
  <c r="D182" i="19" s="1"/>
  <c r="D184" i="19" s="1"/>
  <c r="D186" i="19" s="1"/>
  <c r="D108" i="19"/>
  <c r="D110" i="19" s="1"/>
  <c r="D112" i="19" s="1"/>
  <c r="D114" i="19" s="1"/>
  <c r="D116" i="19" s="1"/>
  <c r="D118" i="19" s="1"/>
  <c r="D225" i="19" s="1"/>
  <c r="R135" i="19"/>
  <c r="R137" i="19" s="1"/>
  <c r="R139" i="19" s="1"/>
  <c r="R141" i="19" s="1"/>
  <c r="R143" i="19" s="1"/>
  <c r="R145" i="19" s="1"/>
  <c r="R147" i="19" s="1"/>
  <c r="R149" i="19" s="1"/>
  <c r="R151" i="19" s="1"/>
  <c r="R153" i="19" s="1"/>
  <c r="R155" i="19" s="1"/>
  <c r="R157" i="19" s="1"/>
  <c r="R165" i="19"/>
  <c r="R167" i="19" s="1"/>
  <c r="R169" i="19" s="1"/>
  <c r="R171" i="19" s="1"/>
  <c r="R173" i="19" s="1"/>
  <c r="R175" i="19" s="1"/>
  <c r="R227" i="19" s="1"/>
  <c r="R136" i="19"/>
  <c r="R138" i="19" s="1"/>
  <c r="R140" i="19" s="1"/>
  <c r="R142" i="19" s="1"/>
  <c r="R144" i="19" s="1"/>
  <c r="R146" i="19" s="1"/>
  <c r="R226" i="19" s="1"/>
  <c r="R108" i="19"/>
  <c r="R110" i="19" s="1"/>
  <c r="R112" i="19" s="1"/>
  <c r="R114" i="19" s="1"/>
  <c r="R116" i="19" s="1"/>
  <c r="R118" i="19" s="1"/>
  <c r="R225" i="19" s="1"/>
  <c r="R107" i="19"/>
  <c r="R109" i="19" s="1"/>
  <c r="R111" i="19" s="1"/>
  <c r="R113" i="19" s="1"/>
  <c r="R115" i="19" s="1"/>
  <c r="R117" i="19" s="1"/>
  <c r="R119" i="19" s="1"/>
  <c r="R121" i="19" s="1"/>
  <c r="R123" i="19" s="1"/>
  <c r="R125" i="19" s="1"/>
  <c r="R127" i="19" s="1"/>
  <c r="R129" i="19" s="1"/>
  <c r="R192" i="19"/>
  <c r="R193" i="19" s="1"/>
  <c r="R194" i="19" s="1"/>
  <c r="R195" i="19" s="1"/>
  <c r="R196" i="19" s="1"/>
  <c r="R197" i="19" s="1"/>
  <c r="R198" i="19" s="1"/>
  <c r="R199" i="19" s="1"/>
  <c r="R200" i="19" s="1"/>
  <c r="R201" i="19" s="1"/>
  <c r="R202" i="19" s="1"/>
  <c r="R203" i="19" s="1"/>
  <c r="R204" i="19" s="1"/>
  <c r="R228" i="19" s="1"/>
  <c r="R164" i="19"/>
  <c r="R166" i="19" s="1"/>
  <c r="R168" i="19" s="1"/>
  <c r="R170" i="19" s="1"/>
  <c r="R172" i="19" s="1"/>
  <c r="R174" i="19" s="1"/>
  <c r="R176" i="19" s="1"/>
  <c r="R178" i="19" s="1"/>
  <c r="R180" i="19" s="1"/>
  <c r="R182" i="19" s="1"/>
  <c r="R184" i="19" s="1"/>
  <c r="R186" i="19" s="1"/>
  <c r="B56" i="11"/>
  <c r="B4" i="22" s="1"/>
  <c r="C237" i="19"/>
  <c r="C239" i="19"/>
  <c r="H205" i="19"/>
  <c r="H206" i="19" s="1"/>
  <c r="H207" i="19" s="1"/>
  <c r="H208" i="19" s="1"/>
  <c r="H209" i="19" s="1"/>
  <c r="H210" i="19" s="1"/>
  <c r="H211" i="19" s="1"/>
  <c r="H212" i="19" s="1"/>
  <c r="H213" i="19" s="1"/>
  <c r="H214" i="19" s="1"/>
  <c r="H215" i="19" s="1"/>
  <c r="H216" i="19" s="1"/>
  <c r="C138" i="19"/>
  <c r="C140" i="19" s="1"/>
  <c r="C142" i="19" s="1"/>
  <c r="C144" i="19" s="1"/>
  <c r="C146" i="19" s="1"/>
  <c r="O120" i="19"/>
  <c r="O122" i="19" s="1"/>
  <c r="O124" i="19" s="1"/>
  <c r="O126" i="19" s="1"/>
  <c r="O128" i="19" s="1"/>
  <c r="O130" i="19" s="1"/>
  <c r="E205" i="19"/>
  <c r="E206" i="19" s="1"/>
  <c r="E207" i="19" s="1"/>
  <c r="E208" i="19" s="1"/>
  <c r="E209" i="19" s="1"/>
  <c r="E210" i="19" s="1"/>
  <c r="E211" i="19" s="1"/>
  <c r="E212" i="19" s="1"/>
  <c r="E213" i="19" s="1"/>
  <c r="E214" i="19" s="1"/>
  <c r="E215" i="19" s="1"/>
  <c r="E216" i="19" s="1"/>
  <c r="O205" i="19"/>
  <c r="O206" i="19" s="1"/>
  <c r="O207" i="19" s="1"/>
  <c r="O208" i="19" s="1"/>
  <c r="O209" i="19" s="1"/>
  <c r="O210" i="19" s="1"/>
  <c r="O211" i="19" s="1"/>
  <c r="O212" i="19" s="1"/>
  <c r="O213" i="19" s="1"/>
  <c r="O214" i="19" s="1"/>
  <c r="O215" i="19" s="1"/>
  <c r="O216" i="19" s="1"/>
  <c r="G115" i="19"/>
  <c r="G117" i="19" s="1"/>
  <c r="G119" i="19" s="1"/>
  <c r="G121" i="19" s="1"/>
  <c r="G123" i="19" s="1"/>
  <c r="G125" i="19" s="1"/>
  <c r="G127" i="19" s="1"/>
  <c r="G129" i="19" s="1"/>
  <c r="L205" i="19"/>
  <c r="L206" i="19" s="1"/>
  <c r="L207" i="19" s="1"/>
  <c r="L208" i="19" s="1"/>
  <c r="L209" i="19" s="1"/>
  <c r="L210" i="19" s="1"/>
  <c r="L211" i="19" s="1"/>
  <c r="L212" i="19" s="1"/>
  <c r="L213" i="19" s="1"/>
  <c r="L214" i="19" s="1"/>
  <c r="L215" i="19" s="1"/>
  <c r="L216" i="19" s="1"/>
  <c r="T205" i="19"/>
  <c r="T206" i="19" s="1"/>
  <c r="T207" i="19" s="1"/>
  <c r="T208" i="19" s="1"/>
  <c r="T209" i="19" s="1"/>
  <c r="T210" i="19" s="1"/>
  <c r="T211" i="19" s="1"/>
  <c r="T212" i="19" s="1"/>
  <c r="T213" i="19" s="1"/>
  <c r="T214" i="19" s="1"/>
  <c r="T215" i="19" s="1"/>
  <c r="T216" i="19" s="1"/>
  <c r="G144" i="19"/>
  <c r="G146" i="19" s="1"/>
  <c r="K177" i="19"/>
  <c r="K179" i="19" s="1"/>
  <c r="K181" i="19" s="1"/>
  <c r="K183" i="19" s="1"/>
  <c r="K185" i="19" s="1"/>
  <c r="K187" i="19" s="1"/>
  <c r="V120" i="19"/>
  <c r="V122" i="19" s="1"/>
  <c r="V124" i="19" s="1"/>
  <c r="V126" i="19" s="1"/>
  <c r="V128" i="19" s="1"/>
  <c r="V130" i="19" s="1"/>
  <c r="D120" i="19"/>
  <c r="D122" i="19" s="1"/>
  <c r="D124" i="19" s="1"/>
  <c r="D126" i="19" s="1"/>
  <c r="D128" i="19" s="1"/>
  <c r="D130" i="19" s="1"/>
  <c r="E148" i="19"/>
  <c r="E150" i="19" s="1"/>
  <c r="E152" i="19" s="1"/>
  <c r="E154" i="19" s="1"/>
  <c r="E156" i="19" s="1"/>
  <c r="E158" i="19" s="1"/>
  <c r="J177" i="19"/>
  <c r="J179" i="19" s="1"/>
  <c r="J181" i="19" s="1"/>
  <c r="J183" i="19" s="1"/>
  <c r="J185" i="19" s="1"/>
  <c r="J187" i="19" s="1"/>
  <c r="N153" i="19"/>
  <c r="N155" i="19" s="1"/>
  <c r="N157" i="19" s="1"/>
  <c r="O148" i="19"/>
  <c r="O150" i="19" s="1"/>
  <c r="O152" i="19" s="1"/>
  <c r="O154" i="19" s="1"/>
  <c r="O156" i="19" s="1"/>
  <c r="O158" i="19" s="1"/>
  <c r="G116" i="19"/>
  <c r="G118" i="19" s="1"/>
  <c r="O177" i="19"/>
  <c r="O179" i="19" s="1"/>
  <c r="O181" i="19" s="1"/>
  <c r="O183" i="19" s="1"/>
  <c r="O185" i="19" s="1"/>
  <c r="O187" i="19" s="1"/>
  <c r="D205" i="19"/>
  <c r="D206" i="19" s="1"/>
  <c r="D207" i="19" s="1"/>
  <c r="D208" i="19" s="1"/>
  <c r="D209" i="19" s="1"/>
  <c r="D210" i="19" s="1"/>
  <c r="D211" i="19" s="1"/>
  <c r="D212" i="19" s="1"/>
  <c r="D213" i="19" s="1"/>
  <c r="D214" i="19" s="1"/>
  <c r="D215" i="19" s="1"/>
  <c r="D216" i="19" s="1"/>
  <c r="R120" i="19"/>
  <c r="R122" i="19" s="1"/>
  <c r="R124" i="19" s="1"/>
  <c r="R126" i="19" s="1"/>
  <c r="R128" i="19" s="1"/>
  <c r="R130" i="19" s="1"/>
  <c r="G173" i="19"/>
  <c r="G175" i="19" s="1"/>
  <c r="W148" i="19"/>
  <c r="W150" i="19" s="1"/>
  <c r="W152" i="19" s="1"/>
  <c r="W154" i="19" s="1"/>
  <c r="W156" i="19" s="1"/>
  <c r="W158" i="19" s="1"/>
  <c r="N177" i="19"/>
  <c r="N179" i="19" s="1"/>
  <c r="N181" i="19" s="1"/>
  <c r="N183" i="19" s="1"/>
  <c r="N185" i="19" s="1"/>
  <c r="N187" i="19" s="1"/>
  <c r="D177" i="19"/>
  <c r="D179" i="19" s="1"/>
  <c r="D181" i="19" s="1"/>
  <c r="D183" i="19" s="1"/>
  <c r="D185" i="19" s="1"/>
  <c r="D187" i="19" s="1"/>
  <c r="F120" i="19"/>
  <c r="F122" i="19" s="1"/>
  <c r="F124" i="19" s="1"/>
  <c r="F126" i="19" s="1"/>
  <c r="F128" i="19" s="1"/>
  <c r="F130" i="19" s="1"/>
  <c r="G172" i="19"/>
  <c r="G174" i="19" s="1"/>
  <c r="G176" i="19" s="1"/>
  <c r="G178" i="19" s="1"/>
  <c r="G180" i="19" s="1"/>
  <c r="G182" i="19" s="1"/>
  <c r="G184" i="19" s="1"/>
  <c r="G186" i="19" s="1"/>
  <c r="U177" i="19"/>
  <c r="U179" i="19" s="1"/>
  <c r="U181" i="19" s="1"/>
  <c r="U183" i="19" s="1"/>
  <c r="U185" i="19" s="1"/>
  <c r="U187" i="19" s="1"/>
  <c r="S120" i="19"/>
  <c r="S122" i="19" s="1"/>
  <c r="S124" i="19" s="1"/>
  <c r="S126" i="19" s="1"/>
  <c r="S128" i="19" s="1"/>
  <c r="S130" i="19" s="1"/>
  <c r="Q120" i="19"/>
  <c r="Q122" i="19" s="1"/>
  <c r="Q124" i="19" s="1"/>
  <c r="Q126" i="19" s="1"/>
  <c r="Q128" i="19" s="1"/>
  <c r="Q130" i="19" s="1"/>
  <c r="R177" i="19"/>
  <c r="R179" i="19" s="1"/>
  <c r="R181" i="19" s="1"/>
  <c r="R183" i="19" s="1"/>
  <c r="R185" i="19" s="1"/>
  <c r="R187" i="19" s="1"/>
  <c r="H120" i="19"/>
  <c r="H122" i="19" s="1"/>
  <c r="H124" i="19" s="1"/>
  <c r="H126" i="19" s="1"/>
  <c r="H128" i="19" s="1"/>
  <c r="H130" i="19" s="1"/>
  <c r="I148" i="19"/>
  <c r="I150" i="19" s="1"/>
  <c r="I152" i="19" s="1"/>
  <c r="I154" i="19" s="1"/>
  <c r="I156" i="19" s="1"/>
  <c r="I158" i="19" s="1"/>
  <c r="W120" i="19"/>
  <c r="W122" i="19" s="1"/>
  <c r="W124" i="19" s="1"/>
  <c r="W126" i="19" s="1"/>
  <c r="W128" i="19" s="1"/>
  <c r="W130" i="19" s="1"/>
  <c r="U120" i="19"/>
  <c r="U122" i="19" s="1"/>
  <c r="U124" i="19" s="1"/>
  <c r="U126" i="19" s="1"/>
  <c r="U128" i="19" s="1"/>
  <c r="U130" i="19" s="1"/>
  <c r="N114" i="19"/>
  <c r="N116" i="19" s="1"/>
  <c r="N118" i="19" s="1"/>
  <c r="F148" i="19"/>
  <c r="F150" i="19" s="1"/>
  <c r="F152" i="19" s="1"/>
  <c r="F154" i="19" s="1"/>
  <c r="F156" i="19" s="1"/>
  <c r="F158" i="19" s="1"/>
  <c r="P120" i="19"/>
  <c r="P122" i="19" s="1"/>
  <c r="P124" i="19" s="1"/>
  <c r="P126" i="19" s="1"/>
  <c r="P128" i="19" s="1"/>
  <c r="P130" i="19" s="1"/>
  <c r="I177" i="19"/>
  <c r="I179" i="19" s="1"/>
  <c r="I181" i="19" s="1"/>
  <c r="I183" i="19" s="1"/>
  <c r="I185" i="19" s="1"/>
  <c r="I187" i="19" s="1"/>
  <c r="L120" i="19"/>
  <c r="L122" i="19" s="1"/>
  <c r="L124" i="19" s="1"/>
  <c r="L126" i="19" s="1"/>
  <c r="L128" i="19" s="1"/>
  <c r="L130" i="19" s="1"/>
  <c r="C167" i="19"/>
  <c r="C169" i="19" s="1"/>
  <c r="C171" i="19" s="1"/>
  <c r="C173" i="19" s="1"/>
  <c r="C175" i="19" s="1"/>
  <c r="H148" i="19"/>
  <c r="H150" i="19" s="1"/>
  <c r="H152" i="19" s="1"/>
  <c r="H154" i="19" s="1"/>
  <c r="H156" i="19" s="1"/>
  <c r="H158" i="19" s="1"/>
  <c r="P177" i="19"/>
  <c r="P179" i="19" s="1"/>
  <c r="P181" i="19" s="1"/>
  <c r="P183" i="19" s="1"/>
  <c r="P185" i="19" s="1"/>
  <c r="P187" i="19" s="1"/>
  <c r="V148" i="19"/>
  <c r="V150" i="19" s="1"/>
  <c r="V152" i="19" s="1"/>
  <c r="V154" i="19" s="1"/>
  <c r="V156" i="19" s="1"/>
  <c r="V158" i="19" s="1"/>
  <c r="U205" i="19"/>
  <c r="U206" i="19" s="1"/>
  <c r="U207" i="19" s="1"/>
  <c r="U208" i="19" s="1"/>
  <c r="U209" i="19" s="1"/>
  <c r="U210" i="19" s="1"/>
  <c r="U211" i="19" s="1"/>
  <c r="U212" i="19" s="1"/>
  <c r="U213" i="19" s="1"/>
  <c r="U214" i="19" s="1"/>
  <c r="U215" i="19" s="1"/>
  <c r="U216" i="19" s="1"/>
  <c r="C137" i="19"/>
  <c r="C139" i="19" s="1"/>
  <c r="C141" i="19" s="1"/>
  <c r="C143" i="19" s="1"/>
  <c r="C145" i="19" s="1"/>
  <c r="C147" i="19" s="1"/>
  <c r="C149" i="19" s="1"/>
  <c r="C151" i="19" s="1"/>
  <c r="C153" i="19" s="1"/>
  <c r="C155" i="19" s="1"/>
  <c r="C157" i="19" s="1"/>
  <c r="N113" i="19"/>
  <c r="N115" i="19" s="1"/>
  <c r="N117" i="19" s="1"/>
  <c r="N119" i="19" s="1"/>
  <c r="N121" i="19" s="1"/>
  <c r="N123" i="19" s="1"/>
  <c r="N125" i="19" s="1"/>
  <c r="N127" i="19" s="1"/>
  <c r="N129" i="19" s="1"/>
  <c r="M177" i="19"/>
  <c r="M179" i="19" s="1"/>
  <c r="M181" i="19" s="1"/>
  <c r="M183" i="19" s="1"/>
  <c r="M185" i="19" s="1"/>
  <c r="M187" i="19" s="1"/>
  <c r="E177" i="19"/>
  <c r="E179" i="19" s="1"/>
  <c r="E181" i="19" s="1"/>
  <c r="E183" i="19" s="1"/>
  <c r="E185" i="19" s="1"/>
  <c r="E187" i="19" s="1"/>
  <c r="R205" i="19"/>
  <c r="R206" i="19" s="1"/>
  <c r="R207" i="19" s="1"/>
  <c r="R208" i="19" s="1"/>
  <c r="R209" i="19" s="1"/>
  <c r="R210" i="19" s="1"/>
  <c r="R211" i="19" s="1"/>
  <c r="R212" i="19" s="1"/>
  <c r="R213" i="19" s="1"/>
  <c r="R214" i="19" s="1"/>
  <c r="R215" i="19" s="1"/>
  <c r="R216" i="19" s="1"/>
  <c r="J205" i="19"/>
  <c r="J206" i="19" s="1"/>
  <c r="J207" i="19" s="1"/>
  <c r="J208" i="19" s="1"/>
  <c r="J209" i="19" s="1"/>
  <c r="J210" i="19" s="1"/>
  <c r="J211" i="19" s="1"/>
  <c r="J212" i="19" s="1"/>
  <c r="J213" i="19" s="1"/>
  <c r="J214" i="19" s="1"/>
  <c r="J215" i="19" s="1"/>
  <c r="J216" i="19" s="1"/>
  <c r="L148" i="19"/>
  <c r="L150" i="19" s="1"/>
  <c r="L152" i="19" s="1"/>
  <c r="L154" i="19" s="1"/>
  <c r="L156" i="19" s="1"/>
  <c r="L158" i="19" s="1"/>
  <c r="Q205" i="19"/>
  <c r="Q206" i="19" s="1"/>
  <c r="Q207" i="19" s="1"/>
  <c r="Q208" i="19" s="1"/>
  <c r="Q209" i="19" s="1"/>
  <c r="Q210" i="19" s="1"/>
  <c r="Q211" i="19" s="1"/>
  <c r="Q212" i="19" s="1"/>
  <c r="Q213" i="19" s="1"/>
  <c r="Q214" i="19" s="1"/>
  <c r="Q215" i="19" s="1"/>
  <c r="Q216" i="19" s="1"/>
  <c r="G143" i="19"/>
  <c r="G145" i="19" s="1"/>
  <c r="G147" i="19" s="1"/>
  <c r="G149" i="19" s="1"/>
  <c r="G151" i="19" s="1"/>
  <c r="G153" i="19" s="1"/>
  <c r="G155" i="19" s="1"/>
  <c r="G157" i="19" s="1"/>
  <c r="K120" i="19"/>
  <c r="K122" i="19" s="1"/>
  <c r="K124" i="19" s="1"/>
  <c r="K126" i="19" s="1"/>
  <c r="K128" i="19" s="1"/>
  <c r="K130" i="19" s="1"/>
  <c r="V177" i="19"/>
  <c r="V179" i="19" s="1"/>
  <c r="V181" i="19" s="1"/>
  <c r="V183" i="19" s="1"/>
  <c r="V185" i="19" s="1"/>
  <c r="V187" i="19" s="1"/>
  <c r="T177" i="19"/>
  <c r="T179" i="19" s="1"/>
  <c r="T181" i="19" s="1"/>
  <c r="T183" i="19" s="1"/>
  <c r="T185" i="19" s="1"/>
  <c r="T187" i="19" s="1"/>
  <c r="S177" i="19"/>
  <c r="S179" i="19" s="1"/>
  <c r="S181" i="19" s="1"/>
  <c r="S183" i="19" s="1"/>
  <c r="S185" i="19" s="1"/>
  <c r="S187" i="19" s="1"/>
  <c r="C166" i="19"/>
  <c r="C168" i="19" s="1"/>
  <c r="C170" i="19" s="1"/>
  <c r="C172" i="19" s="1"/>
  <c r="C174" i="19" s="1"/>
  <c r="C176" i="19" s="1"/>
  <c r="C178" i="19" s="1"/>
  <c r="C180" i="19" s="1"/>
  <c r="C182" i="19" s="1"/>
  <c r="C184" i="19" s="1"/>
  <c r="C186" i="19" s="1"/>
  <c r="D148" i="19"/>
  <c r="D150" i="19" s="1"/>
  <c r="D152" i="19" s="1"/>
  <c r="D154" i="19" s="1"/>
  <c r="D156" i="19" s="1"/>
  <c r="D158" i="19" s="1"/>
  <c r="M120" i="19"/>
  <c r="M122" i="19" s="1"/>
  <c r="M124" i="19" s="1"/>
  <c r="M126" i="19" s="1"/>
  <c r="M128" i="19" s="1"/>
  <c r="M130" i="19" s="1"/>
  <c r="J148" i="19"/>
  <c r="J150" i="19" s="1"/>
  <c r="J152" i="19" s="1"/>
  <c r="J154" i="19" s="1"/>
  <c r="J156" i="19" s="1"/>
  <c r="J158" i="19" s="1"/>
  <c r="K148" i="19"/>
  <c r="K150" i="19" s="1"/>
  <c r="K152" i="19" s="1"/>
  <c r="K154" i="19" s="1"/>
  <c r="K156" i="19" s="1"/>
  <c r="K158" i="19" s="1"/>
  <c r="V205" i="19"/>
  <c r="V206" i="19" s="1"/>
  <c r="V207" i="19" s="1"/>
  <c r="V208" i="19" s="1"/>
  <c r="V209" i="19" s="1"/>
  <c r="V210" i="19" s="1"/>
  <c r="V211" i="19" s="1"/>
  <c r="V212" i="19" s="1"/>
  <c r="V213" i="19" s="1"/>
  <c r="V214" i="19" s="1"/>
  <c r="V215" i="19" s="1"/>
  <c r="V216" i="19" s="1"/>
  <c r="C195" i="19"/>
  <c r="C196" i="19" s="1"/>
  <c r="C197" i="19" s="1"/>
  <c r="C198" i="19" s="1"/>
  <c r="C199" i="19" s="1"/>
  <c r="C200" i="19" s="1"/>
  <c r="C201" i="19" s="1"/>
  <c r="C202" i="19" s="1"/>
  <c r="C203" i="19" s="1"/>
  <c r="C204" i="19" s="1"/>
  <c r="M148" i="19"/>
  <c r="M150" i="19" s="1"/>
  <c r="M152" i="19" s="1"/>
  <c r="M154" i="19" s="1"/>
  <c r="M156" i="19" s="1"/>
  <c r="M158" i="19" s="1"/>
  <c r="W177" i="19"/>
  <c r="W179" i="19" s="1"/>
  <c r="W181" i="19" s="1"/>
  <c r="W183" i="19" s="1"/>
  <c r="W185" i="19" s="1"/>
  <c r="W187" i="19" s="1"/>
  <c r="T148" i="19"/>
  <c r="T150" i="19" s="1"/>
  <c r="T152" i="19" s="1"/>
  <c r="T154" i="19" s="1"/>
  <c r="T156" i="19" s="1"/>
  <c r="T158" i="19" s="1"/>
  <c r="C109" i="19"/>
  <c r="C111" i="19" s="1"/>
  <c r="C113" i="19" s="1"/>
  <c r="C115" i="19" s="1"/>
  <c r="C117" i="19" s="1"/>
  <c r="C119" i="19" s="1"/>
  <c r="C121" i="19" s="1"/>
  <c r="C123" i="19" s="1"/>
  <c r="C125" i="19" s="1"/>
  <c r="C127" i="19" s="1"/>
  <c r="C129" i="19" s="1"/>
  <c r="G201" i="19"/>
  <c r="G202" i="19" s="1"/>
  <c r="G203" i="19" s="1"/>
  <c r="G204" i="19" s="1"/>
  <c r="T120" i="19"/>
  <c r="T122" i="19" s="1"/>
  <c r="T124" i="19" s="1"/>
  <c r="T126" i="19" s="1"/>
  <c r="T128" i="19" s="1"/>
  <c r="T130" i="19" s="1"/>
  <c r="F177" i="19"/>
  <c r="F179" i="19" s="1"/>
  <c r="F181" i="19" s="1"/>
  <c r="F183" i="19" s="1"/>
  <c r="F185" i="19" s="1"/>
  <c r="F187" i="19" s="1"/>
  <c r="N182" i="19"/>
  <c r="N184" i="19" s="1"/>
  <c r="N186" i="19" s="1"/>
  <c r="F205" i="19"/>
  <c r="F206" i="19" s="1"/>
  <c r="F207" i="19" s="1"/>
  <c r="F208" i="19" s="1"/>
  <c r="F209" i="19" s="1"/>
  <c r="F210" i="19" s="1"/>
  <c r="F211" i="19" s="1"/>
  <c r="F212" i="19" s="1"/>
  <c r="F213" i="19" s="1"/>
  <c r="F214" i="19" s="1"/>
  <c r="F215" i="19" s="1"/>
  <c r="F216" i="19" s="1"/>
  <c r="K205" i="19"/>
  <c r="K206" i="19" s="1"/>
  <c r="K207" i="19" s="1"/>
  <c r="K208" i="19" s="1"/>
  <c r="K209" i="19" s="1"/>
  <c r="K210" i="19" s="1"/>
  <c r="K211" i="19" s="1"/>
  <c r="K212" i="19" s="1"/>
  <c r="K213" i="19" s="1"/>
  <c r="K214" i="19" s="1"/>
  <c r="K215" i="19" s="1"/>
  <c r="K216" i="19" s="1"/>
  <c r="R148" i="19"/>
  <c r="R150" i="19" s="1"/>
  <c r="R152" i="19" s="1"/>
  <c r="R154" i="19" s="1"/>
  <c r="R156" i="19" s="1"/>
  <c r="R158" i="19" s="1"/>
  <c r="P148" i="19"/>
  <c r="P150" i="19" s="1"/>
  <c r="P152" i="19" s="1"/>
  <c r="P154" i="19" s="1"/>
  <c r="P156" i="19" s="1"/>
  <c r="P158" i="19" s="1"/>
  <c r="I120" i="19"/>
  <c r="I122" i="19" s="1"/>
  <c r="I124" i="19" s="1"/>
  <c r="I126" i="19" s="1"/>
  <c r="I128" i="19" s="1"/>
  <c r="I130" i="19" s="1"/>
  <c r="N199" i="19"/>
  <c r="N200" i="19" s="1"/>
  <c r="N201" i="19" s="1"/>
  <c r="N202" i="19" s="1"/>
  <c r="N203" i="19" s="1"/>
  <c r="N204" i="19" s="1"/>
  <c r="P205" i="19"/>
  <c r="P206" i="19" s="1"/>
  <c r="P207" i="19" s="1"/>
  <c r="P208" i="19" s="1"/>
  <c r="P209" i="19" s="1"/>
  <c r="P210" i="19" s="1"/>
  <c r="P211" i="19" s="1"/>
  <c r="P212" i="19" s="1"/>
  <c r="P213" i="19" s="1"/>
  <c r="P214" i="19" s="1"/>
  <c r="P215" i="19" s="1"/>
  <c r="P216" i="19" s="1"/>
  <c r="L177" i="19"/>
  <c r="L179" i="19" s="1"/>
  <c r="L181" i="19" s="1"/>
  <c r="L183" i="19" s="1"/>
  <c r="L185" i="19" s="1"/>
  <c r="L187" i="19" s="1"/>
  <c r="S148" i="19"/>
  <c r="S150" i="19" s="1"/>
  <c r="S152" i="19" s="1"/>
  <c r="S154" i="19" s="1"/>
  <c r="S156" i="19" s="1"/>
  <c r="S158" i="19" s="1"/>
  <c r="H177" i="19"/>
  <c r="H179" i="19" s="1"/>
  <c r="H181" i="19" s="1"/>
  <c r="H183" i="19" s="1"/>
  <c r="H185" i="19" s="1"/>
  <c r="H187" i="19" s="1"/>
  <c r="W205" i="19"/>
  <c r="W206" i="19" s="1"/>
  <c r="W207" i="19" s="1"/>
  <c r="W208" i="19" s="1"/>
  <c r="W209" i="19" s="1"/>
  <c r="W210" i="19" s="1"/>
  <c r="W211" i="19" s="1"/>
  <c r="W212" i="19" s="1"/>
  <c r="W213" i="19" s="1"/>
  <c r="W214" i="19" s="1"/>
  <c r="W215" i="19" s="1"/>
  <c r="W216" i="19" s="1"/>
  <c r="N142" i="19"/>
  <c r="N144" i="19" s="1"/>
  <c r="N146" i="19" s="1"/>
  <c r="Q148" i="19"/>
  <c r="Q150" i="19" s="1"/>
  <c r="Q152" i="19" s="1"/>
  <c r="Q154" i="19" s="1"/>
  <c r="Q156" i="19" s="1"/>
  <c r="Q158" i="19" s="1"/>
  <c r="J120" i="19"/>
  <c r="J122" i="19" s="1"/>
  <c r="J124" i="19" s="1"/>
  <c r="J126" i="19" s="1"/>
  <c r="J128" i="19" s="1"/>
  <c r="J130" i="19" s="1"/>
  <c r="I205" i="19"/>
  <c r="I206" i="19" s="1"/>
  <c r="I207" i="19" s="1"/>
  <c r="I208" i="19" s="1"/>
  <c r="I209" i="19" s="1"/>
  <c r="I210" i="19" s="1"/>
  <c r="I211" i="19" s="1"/>
  <c r="I212" i="19" s="1"/>
  <c r="I213" i="19" s="1"/>
  <c r="I214" i="19" s="1"/>
  <c r="I215" i="19" s="1"/>
  <c r="I216" i="19" s="1"/>
  <c r="U148" i="19"/>
  <c r="U150" i="19" s="1"/>
  <c r="U152" i="19" s="1"/>
  <c r="U154" i="19" s="1"/>
  <c r="U156" i="19" s="1"/>
  <c r="U158" i="19" s="1"/>
  <c r="S205" i="19"/>
  <c r="S206" i="19" s="1"/>
  <c r="S207" i="19" s="1"/>
  <c r="S208" i="19" s="1"/>
  <c r="S209" i="19" s="1"/>
  <c r="S210" i="19" s="1"/>
  <c r="S211" i="19" s="1"/>
  <c r="S212" i="19" s="1"/>
  <c r="S213" i="19" s="1"/>
  <c r="S214" i="19" s="1"/>
  <c r="S215" i="19" s="1"/>
  <c r="S216" i="19" s="1"/>
  <c r="C110" i="19"/>
  <c r="C112" i="19" s="1"/>
  <c r="C114" i="19" s="1"/>
  <c r="C116" i="19" s="1"/>
  <c r="C118" i="19" s="1"/>
  <c r="Q177" i="19"/>
  <c r="Q179" i="19" s="1"/>
  <c r="Q181" i="19" s="1"/>
  <c r="Q183" i="19" s="1"/>
  <c r="Q185" i="19" s="1"/>
  <c r="Q187" i="19" s="1"/>
  <c r="M205" i="19"/>
  <c r="M206" i="19" s="1"/>
  <c r="M207" i="19" s="1"/>
  <c r="M208" i="19" s="1"/>
  <c r="M209" i="19" s="1"/>
  <c r="M210" i="19" s="1"/>
  <c r="M211" i="19" s="1"/>
  <c r="M212" i="19" s="1"/>
  <c r="M213" i="19" s="1"/>
  <c r="M214" i="19" s="1"/>
  <c r="M215" i="19" s="1"/>
  <c r="M216" i="19" s="1"/>
  <c r="E120" i="19"/>
  <c r="E122" i="19" s="1"/>
  <c r="E124" i="19" s="1"/>
  <c r="E126" i="19" s="1"/>
  <c r="E128" i="19" s="1"/>
  <c r="E130" i="19" s="1"/>
  <c r="L270" i="19"/>
  <c r="D270" i="19"/>
  <c r="P270" i="19"/>
  <c r="H270" i="19"/>
  <c r="R270" i="19"/>
  <c r="C226" i="19"/>
  <c r="J270" i="19"/>
  <c r="I270" i="19"/>
  <c r="Q270" i="19"/>
  <c r="G225" i="19"/>
  <c r="N228" i="19"/>
  <c r="T270" i="19"/>
  <c r="U270" i="19"/>
  <c r="M270" i="19"/>
  <c r="G226" i="19"/>
  <c r="G227" i="19"/>
  <c r="G228" i="19"/>
  <c r="N225" i="19"/>
  <c r="W270" i="19"/>
  <c r="N226" i="19"/>
  <c r="F270" i="19"/>
  <c r="K270" i="19"/>
  <c r="V270" i="19"/>
  <c r="E270" i="19"/>
  <c r="C227" i="19"/>
  <c r="C228" i="19"/>
  <c r="O270" i="19"/>
  <c r="S270" i="19"/>
  <c r="C225" i="19"/>
  <c r="G41" i="19"/>
  <c r="Y41" i="19"/>
  <c r="W41" i="19"/>
  <c r="U41" i="19" l="1"/>
  <c r="S41" i="19"/>
  <c r="O41" i="19"/>
  <c r="Q41" i="19"/>
  <c r="AC41" i="19"/>
  <c r="AA41" i="19"/>
  <c r="AK41" i="19"/>
  <c r="AI41" i="19"/>
  <c r="AE41" i="19"/>
  <c r="AG41" i="19"/>
  <c r="AQ41" i="19"/>
  <c r="AM41" i="19"/>
  <c r="AO41" i="19"/>
  <c r="C248" i="19"/>
  <c r="B16" i="21" s="1"/>
  <c r="C246" i="19"/>
  <c r="B65" i="11"/>
  <c r="B10" i="21" s="1"/>
  <c r="I41" i="19"/>
  <c r="M41" i="19"/>
  <c r="E41" i="19"/>
  <c r="C41" i="19"/>
  <c r="C257" i="19"/>
  <c r="C234" i="19"/>
  <c r="C238" i="19"/>
  <c r="C240" i="19" s="1"/>
  <c r="B62" i="11" s="1"/>
  <c r="C258" i="19"/>
  <c r="C260" i="19" s="1"/>
  <c r="C261" i="19" s="1"/>
  <c r="O3" i="5" s="1"/>
  <c r="C243" i="19"/>
  <c r="B69" i="11" s="1"/>
  <c r="C247" i="19"/>
  <c r="C251" i="19"/>
  <c r="C252" i="19"/>
  <c r="C236" i="19"/>
  <c r="C120" i="19"/>
  <c r="C122" i="19" s="1"/>
  <c r="C124" i="19" s="1"/>
  <c r="C126" i="19" s="1"/>
  <c r="C128" i="19" s="1"/>
  <c r="C130" i="19" s="1"/>
  <c r="C205" i="19"/>
  <c r="C206" i="19" s="1"/>
  <c r="C207" i="19" s="1"/>
  <c r="C208" i="19" s="1"/>
  <c r="C209" i="19" s="1"/>
  <c r="C210" i="19" s="1"/>
  <c r="C211" i="19" s="1"/>
  <c r="C212" i="19" s="1"/>
  <c r="C213" i="19" s="1"/>
  <c r="C214" i="19" s="1"/>
  <c r="C215" i="19" s="1"/>
  <c r="C216" i="19" s="1"/>
  <c r="C177" i="19"/>
  <c r="C179" i="19" s="1"/>
  <c r="C181" i="19" s="1"/>
  <c r="C183" i="19" s="1"/>
  <c r="C185" i="19" s="1"/>
  <c r="C187" i="19" s="1"/>
  <c r="N148" i="19"/>
  <c r="N150" i="19" s="1"/>
  <c r="N152" i="19" s="1"/>
  <c r="N154" i="19" s="1"/>
  <c r="N156" i="19" s="1"/>
  <c r="N158" i="19" s="1"/>
  <c r="N120" i="19"/>
  <c r="N122" i="19" s="1"/>
  <c r="N124" i="19" s="1"/>
  <c r="N126" i="19" s="1"/>
  <c r="N128" i="19" s="1"/>
  <c r="N130" i="19" s="1"/>
  <c r="O229" i="19"/>
  <c r="T229" i="19"/>
  <c r="R229" i="19"/>
  <c r="L229" i="19"/>
  <c r="U229" i="19"/>
  <c r="K229" i="19"/>
  <c r="M229" i="19"/>
  <c r="E229" i="19"/>
  <c r="C229" i="19"/>
  <c r="Q229" i="19"/>
  <c r="V229" i="19"/>
  <c r="P229" i="19"/>
  <c r="N229" i="19"/>
  <c r="W229" i="19"/>
  <c r="H229" i="19"/>
  <c r="F229" i="19"/>
  <c r="S229" i="19"/>
  <c r="D229" i="19"/>
  <c r="I229" i="19"/>
  <c r="G205" i="19"/>
  <c r="G206" i="19" s="1"/>
  <c r="G207" i="19" s="1"/>
  <c r="G208" i="19" s="1"/>
  <c r="G209" i="19" s="1"/>
  <c r="G210" i="19" s="1"/>
  <c r="G211" i="19" s="1"/>
  <c r="G212" i="19" s="1"/>
  <c r="G213" i="19" s="1"/>
  <c r="G214" i="19" s="1"/>
  <c r="G215" i="19" s="1"/>
  <c r="G216" i="19" s="1"/>
  <c r="G177" i="19"/>
  <c r="G179" i="19" s="1"/>
  <c r="G181" i="19" s="1"/>
  <c r="G183" i="19" s="1"/>
  <c r="G185" i="19" s="1"/>
  <c r="G187" i="19" s="1"/>
  <c r="G148" i="19"/>
  <c r="G150" i="19" s="1"/>
  <c r="G152" i="19" s="1"/>
  <c r="G154" i="19" s="1"/>
  <c r="G156" i="19" s="1"/>
  <c r="G158" i="19" s="1"/>
  <c r="C242" i="19"/>
  <c r="N205" i="19"/>
  <c r="N206" i="19" s="1"/>
  <c r="N207" i="19" s="1"/>
  <c r="N208" i="19" s="1"/>
  <c r="N209" i="19" s="1"/>
  <c r="N210" i="19" s="1"/>
  <c r="N211" i="19" s="1"/>
  <c r="N212" i="19" s="1"/>
  <c r="N213" i="19" s="1"/>
  <c r="N214" i="19" s="1"/>
  <c r="N215" i="19" s="1"/>
  <c r="N216" i="19" s="1"/>
  <c r="G120" i="19"/>
  <c r="G122" i="19" s="1"/>
  <c r="G124" i="19" s="1"/>
  <c r="G126" i="19" s="1"/>
  <c r="G128" i="19" s="1"/>
  <c r="G130" i="19" s="1"/>
  <c r="C148" i="19"/>
  <c r="C150" i="19" s="1"/>
  <c r="C152" i="19" s="1"/>
  <c r="C154" i="19" s="1"/>
  <c r="C156" i="19" s="1"/>
  <c r="C158" i="19" s="1"/>
  <c r="C270" i="19"/>
  <c r="G270" i="19"/>
  <c r="N270" i="19"/>
  <c r="C254" i="19" l="1"/>
  <c r="C255" i="19" s="1"/>
  <c r="O5" i="5" s="1"/>
  <c r="B64" i="11"/>
  <c r="B13" i="21" s="1"/>
  <c r="J229" i="19"/>
  <c r="G229" i="19"/>
  <c r="B63" i="11"/>
  <c r="B12" i="21"/>
  <c r="C241" i="19"/>
  <c r="C265" i="19"/>
  <c r="C244" i="19"/>
  <c r="C245" i="19" s="1"/>
  <c r="K50" i="5"/>
  <c r="C235" i="19"/>
  <c r="B61" i="11" s="1"/>
  <c r="B67" i="11"/>
  <c r="B60" i="11"/>
  <c r="B68" i="11"/>
  <c r="D257" i="19"/>
  <c r="C253" i="19"/>
  <c r="O4" i="5" s="1"/>
  <c r="B71" i="11"/>
  <c r="B70" i="11" s="1"/>
  <c r="C259" i="19"/>
  <c r="O2" i="5" s="1"/>
  <c r="AI50" i="5" l="1"/>
  <c r="AO50" i="5"/>
  <c r="AM50" i="5"/>
  <c r="AC50" i="5"/>
  <c r="AE50" i="5"/>
  <c r="AA50" i="5"/>
  <c r="W50" i="5"/>
  <c r="AQ50" i="5"/>
  <c r="AG50" i="5"/>
  <c r="Y50" i="5"/>
  <c r="AK50" i="5"/>
  <c r="B8" i="21"/>
  <c r="B66" i="11"/>
  <c r="B6" i="22"/>
  <c r="B7" i="22" s="1"/>
  <c r="R41" i="22" s="1" a="1"/>
  <c r="G84" i="5"/>
  <c r="I50" i="5"/>
  <c r="O50" i="5"/>
  <c r="S50" i="5"/>
  <c r="M50" i="5"/>
  <c r="Q50" i="5"/>
  <c r="C48" i="5"/>
  <c r="E50" i="5"/>
  <c r="U50" i="5"/>
  <c r="G50" i="5"/>
  <c r="G103" i="5"/>
  <c r="G93" i="5"/>
  <c r="G109" i="5"/>
  <c r="G91" i="5"/>
  <c r="G98" i="5"/>
  <c r="G89" i="5"/>
  <c r="G86" i="5"/>
  <c r="G97" i="5"/>
  <c r="G104" i="5"/>
  <c r="G94" i="5"/>
  <c r="G106" i="5"/>
  <c r="T41" i="22" a="1"/>
  <c r="G95" i="5"/>
  <c r="G101" i="5"/>
  <c r="S41" i="22" a="1"/>
  <c r="G90" i="5"/>
  <c r="G102" i="5"/>
  <c r="G92" i="5"/>
  <c r="G96" i="5"/>
  <c r="G108" i="5"/>
  <c r="G105" i="5"/>
  <c r="G87" i="5"/>
  <c r="G100" i="5"/>
  <c r="G85" i="5"/>
  <c r="G99" i="5"/>
  <c r="G107" i="5"/>
  <c r="G88" i="5"/>
  <c r="F42" i="22" s="1"/>
  <c r="G42" i="22" s="1"/>
  <c r="J42" i="22" s="1"/>
  <c r="D42" i="22" s="1"/>
  <c r="E42" i="22"/>
  <c r="L84" i="5"/>
  <c r="G78" i="21"/>
  <c r="K88" i="21"/>
  <c r="L88" i="21" s="1"/>
  <c r="N88" i="21" s="1"/>
  <c r="B25" i="21"/>
  <c r="P88" i="21"/>
  <c r="N84" i="5"/>
  <c r="J84" i="5"/>
  <c r="R84" i="5"/>
  <c r="H84" i="5"/>
  <c r="K84" i="5"/>
  <c r="I84" i="5"/>
  <c r="F84" i="5"/>
  <c r="Q84" i="5"/>
  <c r="P84" i="5"/>
  <c r="U84" i="5"/>
  <c r="V84" i="5"/>
  <c r="E47" i="5"/>
  <c r="D84" i="5"/>
  <c r="T84" i="5"/>
  <c r="W84" i="5"/>
  <c r="M84" i="5"/>
  <c r="O84" i="5"/>
  <c r="E84" i="5"/>
  <c r="S84" i="5"/>
  <c r="K104" i="5"/>
  <c r="V103" i="5"/>
  <c r="S107" i="5"/>
  <c r="S87" i="5"/>
  <c r="S97" i="5"/>
  <c r="O86" i="5"/>
  <c r="D107" i="5"/>
  <c r="W104" i="5"/>
  <c r="O107" i="5"/>
  <c r="J106" i="5"/>
  <c r="N98" i="5"/>
  <c r="N89" i="5"/>
  <c r="F104" i="5"/>
  <c r="D108" i="5"/>
  <c r="S94" i="5"/>
  <c r="L102" i="5"/>
  <c r="E89" i="5"/>
  <c r="S105" i="5"/>
  <c r="T102" i="5"/>
  <c r="M93" i="5"/>
  <c r="M105" i="5"/>
  <c r="E95" i="5"/>
  <c r="O42" i="22" a="1"/>
  <c r="K96" i="5"/>
  <c r="V90" i="5"/>
  <c r="O102" i="5"/>
  <c r="K101" i="5"/>
  <c r="M95" i="5"/>
  <c r="P91" i="5"/>
  <c r="R100" i="5"/>
  <c r="Q85" i="5"/>
  <c r="J101" i="5"/>
  <c r="M86" i="5"/>
  <c r="U92" i="5"/>
  <c r="K86" i="5"/>
  <c r="M100" i="5"/>
  <c r="D87" i="5"/>
  <c r="J92" i="5"/>
  <c r="U99" i="5"/>
  <c r="S92" i="5"/>
  <c r="K89" i="5"/>
  <c r="D98" i="5"/>
  <c r="S90" i="5"/>
  <c r="L109" i="5"/>
  <c r="L96" i="5"/>
  <c r="M106" i="5"/>
  <c r="O103" i="5"/>
  <c r="S95" i="5"/>
  <c r="H102" i="5"/>
  <c r="R87" i="5"/>
  <c r="N96" i="5"/>
  <c r="T101" i="5"/>
  <c r="S106" i="5"/>
  <c r="N104" i="5"/>
  <c r="L99" i="5"/>
  <c r="M94" i="5"/>
  <c r="E91" i="5"/>
  <c r="L86" i="5"/>
  <c r="P42" i="22" a="1"/>
  <c r="V107" i="5"/>
  <c r="I96" i="5"/>
  <c r="U88" i="5"/>
  <c r="P109" i="5"/>
  <c r="E90" i="5"/>
  <c r="K91" i="5"/>
  <c r="T108" i="5"/>
  <c r="V93" i="5"/>
  <c r="L98" i="5"/>
  <c r="E101" i="5"/>
  <c r="F96" i="5"/>
  <c r="J105" i="5"/>
  <c r="O93" i="5"/>
  <c r="K109" i="5"/>
  <c r="E106" i="5"/>
  <c r="O108" i="5"/>
  <c r="H91" i="5"/>
  <c r="R101" i="5"/>
  <c r="V102" i="5"/>
  <c r="O87" i="5"/>
  <c r="J88" i="5"/>
  <c r="S108" i="5"/>
  <c r="L107" i="5"/>
  <c r="I104" i="5"/>
  <c r="D105" i="5"/>
  <c r="L95" i="5"/>
  <c r="N102" i="5"/>
  <c r="N88" i="5"/>
  <c r="S101" i="5"/>
  <c r="E103" i="5"/>
  <c r="S104" i="5"/>
  <c r="L88" i="5"/>
  <c r="K107" i="5"/>
  <c r="K103" i="5"/>
  <c r="J99" i="5"/>
  <c r="Q108" i="5"/>
  <c r="T98" i="5"/>
  <c r="L91" i="5"/>
  <c r="J87" i="5"/>
  <c r="K92" i="5"/>
  <c r="G89" i="21" a="1"/>
  <c r="E104" i="5"/>
  <c r="S91" i="5"/>
  <c r="E87" i="5"/>
  <c r="J107" i="5"/>
  <c r="L103" i="5"/>
  <c r="I91" i="5"/>
  <c r="D100" i="5"/>
  <c r="E94" i="5"/>
  <c r="F87" i="5"/>
  <c r="E88" i="5"/>
  <c r="V105" i="5"/>
  <c r="K95" i="5"/>
  <c r="U87" i="5"/>
  <c r="H95" i="5"/>
  <c r="L92" i="5"/>
  <c r="T95" i="5"/>
  <c r="F92" i="5"/>
  <c r="E99" i="5"/>
  <c r="T104" i="5"/>
  <c r="R108" i="5"/>
  <c r="V87" i="5"/>
  <c r="E92" i="5"/>
  <c r="N103" i="5"/>
  <c r="I109" i="5"/>
  <c r="T85" i="5"/>
  <c r="N93" i="5"/>
  <c r="J86" i="5"/>
  <c r="J91" i="5"/>
  <c r="L85" i="5"/>
  <c r="L104" i="5"/>
  <c r="J100" i="5"/>
  <c r="J109" i="5"/>
  <c r="F109" i="5"/>
  <c r="I95" i="5"/>
  <c r="R93" i="5"/>
  <c r="Q91" i="5"/>
  <c r="W96" i="5"/>
  <c r="N90" i="5"/>
  <c r="R104" i="5"/>
  <c r="F91" i="5"/>
  <c r="J89" i="21" a="1"/>
  <c r="N95" i="5"/>
  <c r="L87" i="5"/>
  <c r="L94" i="5"/>
  <c r="R103" i="5"/>
  <c r="L105" i="5"/>
  <c r="I93" i="5"/>
  <c r="D96" i="5"/>
  <c r="S85" i="5"/>
  <c r="F98" i="5"/>
  <c r="D101" i="5"/>
  <c r="I105" i="5"/>
  <c r="V95" i="5"/>
  <c r="I108" i="5"/>
  <c r="N109" i="5"/>
  <c r="W94" i="5"/>
  <c r="F105" i="5"/>
  <c r="S88" i="5"/>
  <c r="W89" i="5"/>
  <c r="V99" i="5"/>
  <c r="S93" i="5"/>
  <c r="Q103" i="5"/>
  <c r="O94" i="5"/>
  <c r="I88" i="5"/>
  <c r="T93" i="5"/>
  <c r="R102" i="5"/>
  <c r="D103" i="5"/>
  <c r="U103" i="5"/>
  <c r="M99" i="5"/>
  <c r="P85" i="5"/>
  <c r="E105" i="5"/>
  <c r="F107" i="5"/>
  <c r="M91" i="5"/>
  <c r="H90" i="5"/>
  <c r="U107" i="5"/>
  <c r="I107" i="5"/>
  <c r="R89" i="5"/>
  <c r="T88" i="5"/>
  <c r="J93" i="5"/>
  <c r="N85" i="5"/>
  <c r="N86" i="5"/>
  <c r="T89" i="5"/>
  <c r="D102" i="5"/>
  <c r="E86" i="5"/>
  <c r="D88" i="5"/>
  <c r="O95" i="5"/>
  <c r="F102" i="5"/>
  <c r="F100" i="5"/>
  <c r="O89" i="5"/>
  <c r="W88" i="5"/>
  <c r="H87" i="5"/>
  <c r="D95" i="5"/>
  <c r="Q106" i="5"/>
  <c r="E107" i="5"/>
  <c r="F97" i="5"/>
  <c r="W98" i="5"/>
  <c r="K90" i="5"/>
  <c r="W91" i="5"/>
  <c r="D86" i="5"/>
  <c r="L108" i="5"/>
  <c r="U89" i="5"/>
  <c r="E108" i="5"/>
  <c r="Q104" i="5"/>
  <c r="O92" i="5"/>
  <c r="K88" i="5"/>
  <c r="D93" i="5"/>
  <c r="F89" i="5"/>
  <c r="H92" i="5"/>
  <c r="T106" i="5"/>
  <c r="R91" i="5"/>
  <c r="R94" i="5"/>
  <c r="J103" i="5"/>
  <c r="W86" i="5"/>
  <c r="T87" i="5"/>
  <c r="S102" i="5"/>
  <c r="T105" i="5"/>
  <c r="O100" i="5"/>
  <c r="Q100" i="5"/>
  <c r="U95" i="5"/>
  <c r="P92" i="5"/>
  <c r="E102" i="5"/>
  <c r="P95" i="5"/>
  <c r="M108" i="5"/>
  <c r="I101" i="5"/>
  <c r="M87" i="5"/>
  <c r="W100" i="5"/>
  <c r="L90" i="5"/>
  <c r="U90" i="5"/>
  <c r="E93" i="5"/>
  <c r="U94" i="5"/>
  <c r="E109" i="5"/>
  <c r="F108" i="5"/>
  <c r="T109" i="5"/>
  <c r="P108" i="5"/>
  <c r="H109" i="5"/>
  <c r="W90" i="5"/>
  <c r="H89" i="5"/>
  <c r="H96" i="5"/>
  <c r="R86" i="5"/>
  <c r="W108" i="5"/>
  <c r="W95" i="5"/>
  <c r="N94" i="5"/>
  <c r="W103" i="5"/>
  <c r="E85" i="5"/>
  <c r="Q96" i="5"/>
  <c r="W93" i="5"/>
  <c r="F101" i="5"/>
  <c r="N92" i="5"/>
  <c r="P93" i="5"/>
  <c r="R95" i="5"/>
  <c r="V98" i="5"/>
  <c r="N100" i="5"/>
  <c r="Q89" i="5"/>
  <c r="I97" i="5"/>
  <c r="M101" i="5"/>
  <c r="R90" i="5"/>
  <c r="V88" i="5"/>
  <c r="H88" i="5"/>
  <c r="D91" i="5"/>
  <c r="N99" i="5"/>
  <c r="Q102" i="5"/>
  <c r="N108" i="5"/>
  <c r="U96" i="5"/>
  <c r="I89" i="5"/>
  <c r="W107" i="5"/>
  <c r="Q98" i="5"/>
  <c r="K106" i="5"/>
  <c r="F103" i="5"/>
  <c r="O104" i="5"/>
  <c r="N101" i="5"/>
  <c r="J108" i="5"/>
  <c r="L106" i="5"/>
  <c r="E97" i="5"/>
  <c r="P100" i="5"/>
  <c r="H100" i="5"/>
  <c r="I106" i="5"/>
  <c r="P101" i="5"/>
  <c r="V108" i="5"/>
  <c r="S99" i="5"/>
  <c r="J95" i="5"/>
  <c r="U101" i="5"/>
  <c r="K105" i="5"/>
  <c r="T94" i="5"/>
  <c r="J102" i="5"/>
  <c r="P87" i="5"/>
  <c r="P98" i="5"/>
  <c r="O101" i="5"/>
  <c r="H94" i="5"/>
  <c r="V101" i="5"/>
  <c r="I100" i="5"/>
  <c r="T90" i="5"/>
  <c r="J96" i="5"/>
  <c r="U106" i="5"/>
  <c r="R105" i="5"/>
  <c r="Q42" i="22" a="1"/>
  <c r="F85" i="5"/>
  <c r="M103" i="5"/>
  <c r="P103" i="5"/>
  <c r="I99" i="5"/>
  <c r="Q107" i="5"/>
  <c r="O88" i="5"/>
  <c r="J85" i="5"/>
  <c r="R88" i="5"/>
  <c r="R99" i="5"/>
  <c r="S109" i="5"/>
  <c r="D104" i="5"/>
  <c r="R98" i="5"/>
  <c r="V106" i="5"/>
  <c r="O98" i="5"/>
  <c r="H86" i="5"/>
  <c r="T96" i="5"/>
  <c r="K102" i="5"/>
  <c r="V85" i="5"/>
  <c r="R96" i="5"/>
  <c r="W109" i="5"/>
  <c r="Q90" i="5"/>
  <c r="O105" i="5"/>
  <c r="Q87" i="5"/>
  <c r="P96" i="5"/>
  <c r="R106" i="5"/>
  <c r="I86" i="5"/>
  <c r="W102" i="5"/>
  <c r="R85" i="5"/>
  <c r="Q105" i="5"/>
  <c r="V94" i="5"/>
  <c r="U105" i="5"/>
  <c r="K94" i="5"/>
  <c r="Q92" i="5"/>
  <c r="W106" i="5"/>
  <c r="I85" i="5"/>
  <c r="M88" i="5"/>
  <c r="P104" i="5"/>
  <c r="J98" i="5"/>
  <c r="U104" i="5"/>
  <c r="F95" i="5"/>
  <c r="W85" i="5"/>
  <c r="R109" i="5"/>
  <c r="V96" i="5"/>
  <c r="V97" i="5"/>
  <c r="S89" i="5"/>
  <c r="H101" i="5"/>
  <c r="D99" i="5"/>
  <c r="Q109" i="5"/>
  <c r="M97" i="5"/>
  <c r="J89" i="5"/>
  <c r="D97" i="5"/>
  <c r="H99" i="5"/>
  <c r="F106" i="5"/>
  <c r="M92" i="5"/>
  <c r="P107" i="5"/>
  <c r="F99" i="5"/>
  <c r="Q99" i="5"/>
  <c r="S98" i="5"/>
  <c r="R97" i="5"/>
  <c r="H106" i="5"/>
  <c r="H85" i="5"/>
  <c r="L89" i="5"/>
  <c r="T107" i="5"/>
  <c r="U100" i="5"/>
  <c r="T97" i="5"/>
  <c r="L101" i="5"/>
  <c r="D106" i="5"/>
  <c r="O91" i="5"/>
  <c r="I92" i="5"/>
  <c r="U102" i="5"/>
  <c r="L100" i="5"/>
  <c r="H107" i="5"/>
  <c r="N107" i="5"/>
  <c r="R92" i="5"/>
  <c r="W105" i="5"/>
  <c r="D90" i="5"/>
  <c r="H93" i="5"/>
  <c r="K97" i="5"/>
  <c r="H108" i="5"/>
  <c r="M107" i="5"/>
  <c r="F94" i="5"/>
  <c r="K108" i="5"/>
  <c r="W101" i="5"/>
  <c r="T103" i="5"/>
  <c r="P97" i="5"/>
  <c r="I94" i="5"/>
  <c r="Q94" i="5"/>
  <c r="N106" i="5"/>
  <c r="S86" i="5"/>
  <c r="T92" i="5"/>
  <c r="F88" i="5"/>
  <c r="Q88" i="5"/>
  <c r="H105" i="5"/>
  <c r="W97" i="5"/>
  <c r="I103" i="5"/>
  <c r="N105" i="5"/>
  <c r="W92" i="5"/>
  <c r="Q95" i="5"/>
  <c r="L97" i="5"/>
  <c r="Q97" i="5"/>
  <c r="U98" i="5"/>
  <c r="T100" i="5"/>
  <c r="J97" i="5"/>
  <c r="M102" i="5"/>
  <c r="F93" i="5"/>
  <c r="K87" i="5"/>
  <c r="U93" i="5"/>
  <c r="D89" i="5"/>
  <c r="T86" i="5"/>
  <c r="J90" i="5"/>
  <c r="E100" i="5"/>
  <c r="P102" i="5"/>
  <c r="K93" i="5"/>
  <c r="H103" i="5"/>
  <c r="I87" i="5"/>
  <c r="P90" i="5"/>
  <c r="P86" i="5"/>
  <c r="K99" i="5"/>
  <c r="I90" i="5"/>
  <c r="U109" i="5"/>
  <c r="U85" i="5"/>
  <c r="N97" i="5"/>
  <c r="P89" i="5"/>
  <c r="D109" i="5"/>
  <c r="U97" i="5"/>
  <c r="Q93" i="5"/>
  <c r="K85" i="5"/>
  <c r="D94" i="5"/>
  <c r="E96" i="5"/>
  <c r="P88" i="5"/>
  <c r="O109" i="5"/>
  <c r="N87" i="5"/>
  <c r="U91" i="5"/>
  <c r="O90" i="5"/>
  <c r="P94" i="5"/>
  <c r="P106" i="5"/>
  <c r="S96" i="5"/>
  <c r="W87" i="5"/>
  <c r="U108" i="5"/>
  <c r="N91" i="5"/>
  <c r="M85" i="5"/>
  <c r="V104" i="5"/>
  <c r="K100" i="5"/>
  <c r="I98" i="5"/>
  <c r="D85" i="5"/>
  <c r="T91" i="5"/>
  <c r="W99" i="5"/>
  <c r="R107" i="5"/>
  <c r="S100" i="5"/>
  <c r="M90" i="5"/>
  <c r="I102" i="5"/>
  <c r="Q86" i="5"/>
  <c r="P99" i="5"/>
  <c r="V86" i="5"/>
  <c r="O96" i="5"/>
  <c r="U86" i="5"/>
  <c r="V92" i="5"/>
  <c r="H97" i="5"/>
  <c r="O99" i="5"/>
  <c r="F86" i="5"/>
  <c r="J94" i="5"/>
  <c r="Q101" i="5"/>
  <c r="O85" i="5"/>
  <c r="M96" i="5"/>
  <c r="M109" i="5"/>
  <c r="L93" i="5"/>
  <c r="V89" i="5"/>
  <c r="M104" i="5"/>
  <c r="F90" i="5"/>
  <c r="P105" i="5"/>
  <c r="V109" i="5"/>
  <c r="O97" i="5"/>
  <c r="J104" i="5"/>
  <c r="V100" i="5"/>
  <c r="M98" i="5"/>
  <c r="O106" i="5"/>
  <c r="D92" i="5"/>
  <c r="V91" i="5"/>
  <c r="E98" i="5"/>
  <c r="S103" i="5"/>
  <c r="T99" i="5"/>
  <c r="M89" i="5"/>
  <c r="H104" i="5"/>
  <c r="K98" i="5"/>
  <c r="H98" i="5"/>
  <c r="N42" i="22" l="1" a="1"/>
  <c r="L42" i="22" a="1"/>
  <c r="N120" i="5"/>
  <c r="S123" i="5"/>
  <c r="W129" i="5"/>
  <c r="E132" i="5"/>
  <c r="F129" i="5"/>
  <c r="T136" i="5"/>
  <c r="G130" i="5"/>
  <c r="P117" i="5"/>
  <c r="Q138" i="5"/>
  <c r="K124" i="5"/>
  <c r="E131" i="5"/>
  <c r="Q131" i="5"/>
  <c r="H120" i="5"/>
  <c r="G119" i="5"/>
  <c r="D131" i="5"/>
  <c r="R117" i="5"/>
  <c r="J135" i="5"/>
  <c r="G123" i="5"/>
  <c r="M130" i="5"/>
  <c r="T139" i="5"/>
  <c r="E134" i="5"/>
  <c r="Q130" i="5"/>
  <c r="F116" i="5"/>
  <c r="F231" i="5" s="1"/>
  <c r="J116" i="5"/>
  <c r="J231" i="5" s="1"/>
  <c r="W137" i="5"/>
  <c r="O140" i="5"/>
  <c r="L139" i="5"/>
  <c r="F140" i="5"/>
  <c r="H133" i="5"/>
  <c r="I135" i="5"/>
  <c r="L116" i="5"/>
  <c r="L231" i="5" s="1"/>
  <c r="Q136" i="5"/>
  <c r="P127" i="5"/>
  <c r="I116" i="5"/>
  <c r="I231" i="5" s="1"/>
  <c r="T140" i="5"/>
  <c r="Q132" i="5"/>
  <c r="F122" i="5"/>
  <c r="K127" i="5"/>
  <c r="S119" i="5"/>
  <c r="K136" i="5"/>
  <c r="L140" i="5"/>
  <c r="D125" i="5"/>
  <c r="E129" i="5"/>
  <c r="F137" i="5"/>
  <c r="P132" i="5"/>
  <c r="T133" i="5"/>
  <c r="C136" i="5"/>
  <c r="G134" i="5"/>
  <c r="Q135" i="5"/>
  <c r="L134" i="5"/>
  <c r="F135" i="5"/>
  <c r="K138" i="5"/>
  <c r="E125" i="5"/>
  <c r="F119" i="5"/>
  <c r="E123" i="5"/>
  <c r="F130" i="5"/>
  <c r="H126" i="5"/>
  <c r="P124" i="5"/>
  <c r="O122" i="5"/>
  <c r="M126" i="5"/>
  <c r="K125" i="5"/>
  <c r="P134" i="5"/>
  <c r="M140" i="5"/>
  <c r="Q119" i="5"/>
  <c r="Q124" i="5"/>
  <c r="O134" i="5"/>
  <c r="F121" i="5"/>
  <c r="P139" i="5"/>
  <c r="G120" i="5"/>
  <c r="W126" i="5"/>
  <c r="K128" i="5"/>
  <c r="O133" i="5"/>
  <c r="O129" i="5"/>
  <c r="L137" i="5"/>
  <c r="G131" i="5"/>
  <c r="U139" i="5"/>
  <c r="Q140" i="5"/>
  <c r="P129" i="5"/>
  <c r="T117" i="5"/>
  <c r="K133" i="5"/>
  <c r="W133" i="5"/>
  <c r="U127" i="5"/>
  <c r="K120" i="5"/>
  <c r="J130" i="5"/>
  <c r="M123" i="5"/>
  <c r="N122" i="5"/>
  <c r="S133" i="5"/>
  <c r="J138" i="5"/>
  <c r="Q134" i="5"/>
  <c r="O125" i="5"/>
  <c r="Q117" i="5"/>
  <c r="V128" i="5"/>
  <c r="W123" i="5"/>
  <c r="P128" i="5"/>
  <c r="T131" i="5"/>
  <c r="J118" i="5"/>
  <c r="H121" i="5"/>
  <c r="O119" i="5"/>
  <c r="W135" i="5"/>
  <c r="W131" i="5"/>
  <c r="R134" i="5"/>
  <c r="N125" i="5"/>
  <c r="K119" i="5"/>
  <c r="S124" i="5"/>
  <c r="P133" i="5"/>
  <c r="O116" i="5"/>
  <c r="O231" i="5" s="1"/>
  <c r="H138" i="5"/>
  <c r="G138" i="5"/>
  <c r="R119" i="5"/>
  <c r="L124" i="5"/>
  <c r="M116" i="5"/>
  <c r="M117" i="5"/>
  <c r="R120" i="5"/>
  <c r="G133" i="5"/>
  <c r="H131" i="5"/>
  <c r="I118" i="5"/>
  <c r="L121" i="5"/>
  <c r="U120" i="5"/>
  <c r="L119" i="5"/>
  <c r="F120" i="5"/>
  <c r="K134" i="5"/>
  <c r="M118" i="5"/>
  <c r="V131" i="5"/>
  <c r="U119" i="5"/>
  <c r="F134" i="5"/>
  <c r="W117" i="5"/>
  <c r="O131" i="5"/>
  <c r="O123" i="5"/>
  <c r="K132" i="5"/>
  <c r="E140" i="5"/>
  <c r="U129" i="5"/>
  <c r="J127" i="5"/>
  <c r="R127" i="5"/>
  <c r="H137" i="5"/>
  <c r="I139" i="5"/>
  <c r="I134" i="5"/>
  <c r="C135" i="5"/>
  <c r="P121" i="5"/>
  <c r="P137" i="5"/>
  <c r="J129" i="5"/>
  <c r="P140" i="5"/>
  <c r="L128" i="5"/>
  <c r="J128" i="5"/>
  <c r="D120" i="5"/>
  <c r="N128" i="5"/>
  <c r="C140" i="5"/>
  <c r="T138" i="5"/>
  <c r="C138" i="5"/>
  <c r="G135" i="5"/>
  <c r="M135" i="5"/>
  <c r="I130" i="5"/>
  <c r="S130" i="5"/>
  <c r="N140" i="5"/>
  <c r="U140" i="5"/>
  <c r="J117" i="5"/>
  <c r="J203" i="5" s="1"/>
  <c r="G117" i="5"/>
  <c r="N123" i="5"/>
  <c r="C123" i="5"/>
  <c r="K139" i="5"/>
  <c r="H139" i="5"/>
  <c r="H130" i="5"/>
  <c r="W130" i="5"/>
  <c r="J140" i="5"/>
  <c r="G140" i="5"/>
  <c r="O127" i="5"/>
  <c r="M127" i="5"/>
  <c r="J131" i="5"/>
  <c r="P131" i="5"/>
  <c r="I132" i="5"/>
  <c r="O132" i="5"/>
  <c r="I129" i="5"/>
  <c r="K129" i="5"/>
  <c r="U137" i="5"/>
  <c r="G137" i="5"/>
  <c r="V137" i="5"/>
  <c r="H116" i="5"/>
  <c r="H231" i="5" s="1"/>
  <c r="E116" i="5"/>
  <c r="P118" i="5"/>
  <c r="D118" i="5"/>
  <c r="T118" i="5"/>
  <c r="R135" i="5"/>
  <c r="L135" i="5"/>
  <c r="U135" i="5"/>
  <c r="N135" i="5"/>
  <c r="N138" i="5"/>
  <c r="O138" i="5"/>
  <c r="R138" i="5"/>
  <c r="I138" i="5"/>
  <c r="V122" i="5"/>
  <c r="U122" i="5"/>
  <c r="C139" i="5"/>
  <c r="M139" i="5"/>
  <c r="D139" i="5"/>
  <c r="L130" i="5"/>
  <c r="K130" i="5"/>
  <c r="R130" i="5"/>
  <c r="K123" i="5"/>
  <c r="F123" i="5"/>
  <c r="F117" i="5"/>
  <c r="F203" i="5" s="1"/>
  <c r="E117" i="5"/>
  <c r="V120" i="5"/>
  <c r="S120" i="5"/>
  <c r="L120" i="5"/>
  <c r="W120" i="5"/>
  <c r="P136" i="5"/>
  <c r="O136" i="5"/>
  <c r="U138" i="5"/>
  <c r="W138" i="5"/>
  <c r="H127" i="5"/>
  <c r="G127" i="5"/>
  <c r="J122" i="5"/>
  <c r="I122" i="5"/>
  <c r="F118" i="5"/>
  <c r="E118" i="5"/>
  <c r="J126" i="5"/>
  <c r="I126" i="5"/>
  <c r="Q127" i="5"/>
  <c r="L127" i="5"/>
  <c r="C127" i="5"/>
  <c r="D127" i="5"/>
  <c r="I127" i="5"/>
  <c r="T127" i="5"/>
  <c r="F127" i="5"/>
  <c r="W127" i="5"/>
  <c r="N127" i="5"/>
  <c r="E127" i="5"/>
  <c r="S127" i="5"/>
  <c r="V127" i="5"/>
  <c r="U116" i="5"/>
  <c r="W116" i="5"/>
  <c r="S116" i="5"/>
  <c r="P116" i="5"/>
  <c r="K116" i="5"/>
  <c r="K231" i="5" s="1"/>
  <c r="R116" i="5"/>
  <c r="C116" i="5"/>
  <c r="Q116" i="5"/>
  <c r="D116" i="5"/>
  <c r="G116" i="5"/>
  <c r="G129" i="5"/>
  <c r="H129" i="5"/>
  <c r="C132" i="5"/>
  <c r="D132" i="5"/>
  <c r="F132" i="5"/>
  <c r="T126" i="5"/>
  <c r="U126" i="5"/>
  <c r="V126" i="5"/>
  <c r="D140" i="5"/>
  <c r="R140" i="5"/>
  <c r="H140" i="5"/>
  <c r="S140" i="5"/>
  <c r="I140" i="5"/>
  <c r="W140" i="5"/>
  <c r="V140" i="5"/>
  <c r="K140" i="5"/>
  <c r="F125" i="5"/>
  <c r="I125" i="5"/>
  <c r="W125" i="5"/>
  <c r="C125" i="5"/>
  <c r="V125" i="5"/>
  <c r="L125" i="5"/>
  <c r="G136" i="5"/>
  <c r="H136" i="5"/>
  <c r="V130" i="5"/>
  <c r="T130" i="5"/>
  <c r="U130" i="5"/>
  <c r="O130" i="5"/>
  <c r="P130" i="5"/>
  <c r="D134" i="5"/>
  <c r="C134" i="5"/>
  <c r="H134" i="5"/>
  <c r="N134" i="5"/>
  <c r="J134" i="5"/>
  <c r="T134" i="5"/>
  <c r="M134" i="5"/>
  <c r="S134" i="5"/>
  <c r="U134" i="5"/>
  <c r="F136" i="5"/>
  <c r="E136" i="5"/>
  <c r="J121" i="5"/>
  <c r="I121" i="5"/>
  <c r="L138" i="5"/>
  <c r="D138" i="5"/>
  <c r="S138" i="5"/>
  <c r="P138" i="5"/>
  <c r="V138" i="5"/>
  <c r="Q120" i="5"/>
  <c r="P120" i="5"/>
  <c r="C133" i="5"/>
  <c r="D133" i="5"/>
  <c r="D119" i="5"/>
  <c r="C119" i="5"/>
  <c r="E119" i="5"/>
  <c r="M119" i="5"/>
  <c r="H119" i="5"/>
  <c r="W119" i="5"/>
  <c r="P119" i="5"/>
  <c r="T119" i="5"/>
  <c r="V119" i="5"/>
  <c r="F126" i="5"/>
  <c r="E126" i="5"/>
  <c r="D126" i="5"/>
  <c r="C126" i="5"/>
  <c r="F138" i="5"/>
  <c r="E138" i="5"/>
  <c r="W128" i="5"/>
  <c r="G128" i="5"/>
  <c r="R128" i="5"/>
  <c r="D128" i="5"/>
  <c r="S128" i="5"/>
  <c r="H128" i="5"/>
  <c r="O128" i="5"/>
  <c r="I128" i="5"/>
  <c r="E128" i="5"/>
  <c r="T128" i="5"/>
  <c r="L129" i="5"/>
  <c r="M129" i="5"/>
  <c r="V129" i="5"/>
  <c r="C129" i="5"/>
  <c r="T129" i="5"/>
  <c r="K122" i="5"/>
  <c r="E122" i="5"/>
  <c r="L122" i="5"/>
  <c r="D122" i="5"/>
  <c r="T122" i="5"/>
  <c r="G122" i="5"/>
  <c r="S122" i="5"/>
  <c r="R122" i="5"/>
  <c r="W122" i="5"/>
  <c r="H122" i="5"/>
  <c r="C122" i="5"/>
  <c r="C117" i="5"/>
  <c r="D117" i="5"/>
  <c r="E120" i="5"/>
  <c r="T120" i="5"/>
  <c r="C120" i="5"/>
  <c r="O120" i="5"/>
  <c r="F139" i="5"/>
  <c r="G139" i="5"/>
  <c r="E139" i="5"/>
  <c r="P135" i="5"/>
  <c r="O135" i="5"/>
  <c r="D135" i="5"/>
  <c r="H135" i="5"/>
  <c r="T135" i="5"/>
  <c r="V135" i="5"/>
  <c r="E135" i="5"/>
  <c r="S135" i="5"/>
  <c r="K135" i="5"/>
  <c r="C124" i="5"/>
  <c r="D124" i="5"/>
  <c r="J123" i="5"/>
  <c r="I123" i="5"/>
  <c r="R137" i="5"/>
  <c r="C137" i="5"/>
  <c r="N137" i="5"/>
  <c r="Q137" i="5"/>
  <c r="K137" i="5"/>
  <c r="E137" i="5"/>
  <c r="M137" i="5"/>
  <c r="I137" i="5"/>
  <c r="J137" i="5"/>
  <c r="P122" i="5"/>
  <c r="Q122" i="5"/>
  <c r="P125" i="5"/>
  <c r="Q125" i="5"/>
  <c r="H117" i="5"/>
  <c r="I117" i="5"/>
  <c r="L117" i="5"/>
  <c r="S117" i="5"/>
  <c r="O117" i="5"/>
  <c r="U117" i="5"/>
  <c r="V117" i="5"/>
  <c r="N117" i="5"/>
  <c r="S118" i="5"/>
  <c r="R118" i="5"/>
  <c r="G118" i="5"/>
  <c r="O118" i="5"/>
  <c r="U118" i="5"/>
  <c r="W118" i="5"/>
  <c r="V118" i="5"/>
  <c r="L118" i="5"/>
  <c r="K118" i="5"/>
  <c r="H118" i="5"/>
  <c r="C118" i="5"/>
  <c r="Q118" i="5"/>
  <c r="N118" i="5"/>
  <c r="R133" i="5"/>
  <c r="Q133" i="5"/>
  <c r="R136" i="5"/>
  <c r="S136" i="5"/>
  <c r="Q126" i="5"/>
  <c r="P126" i="5"/>
  <c r="G126" i="5"/>
  <c r="S126" i="5"/>
  <c r="K126" i="5"/>
  <c r="L126" i="5"/>
  <c r="R126" i="5"/>
  <c r="H123" i="5"/>
  <c r="L123" i="5"/>
  <c r="V123" i="5"/>
  <c r="U123" i="5"/>
  <c r="P123" i="5"/>
  <c r="D123" i="5"/>
  <c r="F133" i="5"/>
  <c r="E133" i="5"/>
  <c r="O126" i="5"/>
  <c r="N126" i="5"/>
  <c r="E121" i="5"/>
  <c r="V121" i="5"/>
  <c r="O121" i="5"/>
  <c r="U121" i="5"/>
  <c r="T121" i="5"/>
  <c r="S121" i="5"/>
  <c r="N121" i="5"/>
  <c r="K121" i="5"/>
  <c r="W121" i="5"/>
  <c r="Q121" i="5"/>
  <c r="G121" i="5"/>
  <c r="F124" i="5"/>
  <c r="E124" i="5"/>
  <c r="G124" i="5"/>
  <c r="O139" i="5"/>
  <c r="N139" i="5"/>
  <c r="J120" i="5"/>
  <c r="I120" i="5"/>
  <c r="V139" i="5"/>
  <c r="W139" i="5"/>
  <c r="S139" i="5"/>
  <c r="Q139" i="5"/>
  <c r="R139" i="5"/>
  <c r="J139" i="5"/>
  <c r="V134" i="5"/>
  <c r="W134" i="5"/>
  <c r="M124" i="5"/>
  <c r="T124" i="5"/>
  <c r="V124" i="5"/>
  <c r="W124" i="5"/>
  <c r="U124" i="5"/>
  <c r="H124" i="5"/>
  <c r="H132" i="5"/>
  <c r="G132" i="5"/>
  <c r="N124" i="5"/>
  <c r="O124" i="5"/>
  <c r="I119" i="5"/>
  <c r="J119" i="5"/>
  <c r="R125" i="5"/>
  <c r="S125" i="5"/>
  <c r="U132" i="5"/>
  <c r="T132" i="5"/>
  <c r="L132" i="5"/>
  <c r="T137" i="5"/>
  <c r="S137" i="5"/>
  <c r="D137" i="5"/>
  <c r="V116" i="5"/>
  <c r="T116" i="5"/>
  <c r="T125" i="5"/>
  <c r="U125" i="5"/>
  <c r="J125" i="5"/>
  <c r="Q128" i="5"/>
  <c r="U128" i="5"/>
  <c r="D130" i="5"/>
  <c r="E130" i="5"/>
  <c r="C130" i="5"/>
  <c r="C128" i="5"/>
  <c r="F128" i="5"/>
  <c r="Q129" i="5"/>
  <c r="R129" i="5"/>
  <c r="I131" i="5"/>
  <c r="F131" i="5"/>
  <c r="R131" i="5"/>
  <c r="L131" i="5"/>
  <c r="S131" i="5"/>
  <c r="U131" i="5"/>
  <c r="K131" i="5"/>
  <c r="C131" i="5"/>
  <c r="L133" i="5"/>
  <c r="J133" i="5"/>
  <c r="I133" i="5"/>
  <c r="V133" i="5"/>
  <c r="U133" i="5"/>
  <c r="N133" i="5"/>
  <c r="U136" i="5"/>
  <c r="N136" i="5"/>
  <c r="W136" i="5"/>
  <c r="V136" i="5"/>
  <c r="L136" i="5"/>
  <c r="D136" i="5"/>
  <c r="M136" i="5"/>
  <c r="D121" i="5"/>
  <c r="C121" i="5"/>
  <c r="I124" i="5"/>
  <c r="J124" i="5"/>
  <c r="H125" i="5"/>
  <c r="G125" i="5"/>
  <c r="N132" i="5"/>
  <c r="V132" i="5"/>
  <c r="R132" i="5"/>
  <c r="J132" i="5"/>
  <c r="S132" i="5"/>
  <c r="W132" i="5"/>
  <c r="J136" i="5"/>
  <c r="I136" i="5"/>
  <c r="S129" i="5"/>
  <c r="D129" i="5"/>
  <c r="T123" i="5"/>
  <c r="Q123" i="5"/>
  <c r="I42" i="22"/>
  <c r="C42" i="22" s="1"/>
  <c r="H42" i="22"/>
  <c r="B42" i="22" s="1"/>
  <c r="K42" i="22" a="1"/>
  <c r="N116" i="5"/>
  <c r="R123" i="5"/>
  <c r="M132" i="5"/>
  <c r="N119" i="5"/>
  <c r="M122" i="5"/>
  <c r="M125" i="5"/>
  <c r="M138" i="5"/>
  <c r="M120" i="5"/>
  <c r="O137" i="5"/>
  <c r="N130" i="5"/>
  <c r="M133" i="5"/>
  <c r="M121" i="5"/>
  <c r="M128" i="5"/>
  <c r="M131" i="5"/>
  <c r="N129" i="5"/>
  <c r="R121" i="5"/>
  <c r="K117" i="5"/>
  <c r="N131" i="5"/>
  <c r="R124" i="5"/>
  <c r="R289" i="5" l="1"/>
  <c r="V289" i="5"/>
  <c r="H262" i="5"/>
  <c r="V262" i="5"/>
  <c r="N289" i="5"/>
  <c r="R262" i="5"/>
  <c r="K289" i="5"/>
  <c r="J232" i="5"/>
  <c r="J233" i="5" s="1"/>
  <c r="J234" i="5" s="1"/>
  <c r="J235" i="5" s="1"/>
  <c r="J236" i="5" s="1"/>
  <c r="J237" i="5" s="1"/>
  <c r="J238" i="5" s="1"/>
  <c r="J239" i="5" s="1"/>
  <c r="J240" i="5" s="1"/>
  <c r="J241" i="5" s="1"/>
  <c r="J242" i="5" s="1"/>
  <c r="J243" i="5" s="1"/>
  <c r="J244" i="5" s="1"/>
  <c r="J245" i="5" s="1"/>
  <c r="J246" i="5" s="1"/>
  <c r="J247" i="5" s="1"/>
  <c r="J248" i="5" s="1"/>
  <c r="J249" i="5" s="1"/>
  <c r="J250" i="5" s="1"/>
  <c r="J251" i="5" s="1"/>
  <c r="J252" i="5" s="1"/>
  <c r="J253" i="5" s="1"/>
  <c r="J254" i="5" s="1"/>
  <c r="J255" i="5" s="1"/>
  <c r="J319" i="5" s="1"/>
  <c r="Q262" i="5"/>
  <c r="Q289" i="5"/>
  <c r="K262" i="5"/>
  <c r="H289" i="5"/>
  <c r="N262" i="5"/>
  <c r="M262" i="5"/>
  <c r="J204" i="5"/>
  <c r="J206" i="5" s="1"/>
  <c r="J208" i="5" s="1"/>
  <c r="J210" i="5" s="1"/>
  <c r="J212" i="5" s="1"/>
  <c r="J214" i="5" s="1"/>
  <c r="J216" i="5" s="1"/>
  <c r="J218" i="5" s="1"/>
  <c r="J220" i="5" s="1"/>
  <c r="J222" i="5" s="1"/>
  <c r="J224" i="5" s="1"/>
  <c r="J226" i="5" s="1"/>
  <c r="J175" i="5"/>
  <c r="J177" i="5" s="1"/>
  <c r="J179" i="5" s="1"/>
  <c r="J181" i="5" s="1"/>
  <c r="J183" i="5" s="1"/>
  <c r="J185" i="5" s="1"/>
  <c r="J187" i="5" s="1"/>
  <c r="J189" i="5" s="1"/>
  <c r="J191" i="5" s="1"/>
  <c r="J193" i="5" s="1"/>
  <c r="J195" i="5" s="1"/>
  <c r="J197" i="5" s="1"/>
  <c r="J146" i="5"/>
  <c r="J148" i="5" s="1"/>
  <c r="J150" i="5" s="1"/>
  <c r="J152" i="5" s="1"/>
  <c r="J154" i="5" s="1"/>
  <c r="J156" i="5" s="1"/>
  <c r="J158" i="5" s="1"/>
  <c r="J160" i="5" s="1"/>
  <c r="J162" i="5" s="1"/>
  <c r="J164" i="5" s="1"/>
  <c r="J166" i="5" s="1"/>
  <c r="J168" i="5" s="1"/>
  <c r="J147" i="5"/>
  <c r="J149" i="5" s="1"/>
  <c r="J151" i="5" s="1"/>
  <c r="J153" i="5" s="1"/>
  <c r="J155" i="5" s="1"/>
  <c r="J157" i="5" s="1"/>
  <c r="J159" i="5" s="1"/>
  <c r="J161" i="5" s="1"/>
  <c r="J163" i="5" s="1"/>
  <c r="J165" i="5" s="1"/>
  <c r="J167" i="5" s="1"/>
  <c r="J169" i="5" s="1"/>
  <c r="J174" i="5"/>
  <c r="J176" i="5" s="1"/>
  <c r="J178" i="5" s="1"/>
  <c r="J180" i="5" s="1"/>
  <c r="J182" i="5" s="1"/>
  <c r="J184" i="5" s="1"/>
  <c r="J186" i="5" s="1"/>
  <c r="J188" i="5" s="1"/>
  <c r="J190" i="5" s="1"/>
  <c r="J192" i="5" s="1"/>
  <c r="J194" i="5" s="1"/>
  <c r="J196" i="5" s="1"/>
  <c r="M203" i="5"/>
  <c r="M205" i="5" s="1"/>
  <c r="M207" i="5" s="1"/>
  <c r="M209" i="5" s="1"/>
  <c r="M211" i="5" s="1"/>
  <c r="M213" i="5" s="1"/>
  <c r="M147" i="5"/>
  <c r="M149" i="5" s="1"/>
  <c r="M151" i="5" s="1"/>
  <c r="M153" i="5" s="1"/>
  <c r="M155" i="5" s="1"/>
  <c r="M157" i="5" s="1"/>
  <c r="M231" i="5"/>
  <c r="M232" i="5" s="1"/>
  <c r="M233" i="5" s="1"/>
  <c r="M234" i="5" s="1"/>
  <c r="M235" i="5" s="1"/>
  <c r="M236" i="5" s="1"/>
  <c r="M237" i="5" s="1"/>
  <c r="M238" i="5" s="1"/>
  <c r="M239" i="5" s="1"/>
  <c r="M240" i="5" s="1"/>
  <c r="M241" i="5" s="1"/>
  <c r="M242" i="5" s="1"/>
  <c r="M243" i="5" s="1"/>
  <c r="M293" i="5" s="1"/>
  <c r="M146" i="5"/>
  <c r="M148" i="5" s="1"/>
  <c r="M150" i="5" s="1"/>
  <c r="M152" i="5" s="1"/>
  <c r="M154" i="5" s="1"/>
  <c r="M156" i="5" s="1"/>
  <c r="M175" i="5"/>
  <c r="M177" i="5" s="1"/>
  <c r="M179" i="5" s="1"/>
  <c r="M181" i="5" s="1"/>
  <c r="M183" i="5" s="1"/>
  <c r="M185" i="5" s="1"/>
  <c r="M174" i="5"/>
  <c r="M176" i="5" s="1"/>
  <c r="M178" i="5" s="1"/>
  <c r="M180" i="5" s="1"/>
  <c r="M182" i="5" s="1"/>
  <c r="M184" i="5" s="1"/>
  <c r="M204" i="5"/>
  <c r="M206" i="5" s="1"/>
  <c r="M208" i="5" s="1"/>
  <c r="M210" i="5" s="1"/>
  <c r="M212" i="5" s="1"/>
  <c r="M214" i="5" s="1"/>
  <c r="F232" i="5"/>
  <c r="F233" i="5" s="1"/>
  <c r="F234" i="5" s="1"/>
  <c r="F235" i="5" s="1"/>
  <c r="F236" i="5" s="1"/>
  <c r="F237" i="5" s="1"/>
  <c r="F238" i="5" s="1"/>
  <c r="F239" i="5" s="1"/>
  <c r="F240" i="5" s="1"/>
  <c r="F241" i="5" s="1"/>
  <c r="F242" i="5" s="1"/>
  <c r="F243" i="5" s="1"/>
  <c r="F244" i="5" s="1"/>
  <c r="F245" i="5" s="1"/>
  <c r="F246" i="5" s="1"/>
  <c r="F247" i="5" s="1"/>
  <c r="F248" i="5" s="1"/>
  <c r="F249" i="5" s="1"/>
  <c r="F250" i="5" s="1"/>
  <c r="F251" i="5" s="1"/>
  <c r="F252" i="5" s="1"/>
  <c r="F253" i="5" s="1"/>
  <c r="F254" i="5" s="1"/>
  <c r="F255" i="5" s="1"/>
  <c r="F319" i="5" s="1"/>
  <c r="E231" i="5"/>
  <c r="E232" i="5" s="1"/>
  <c r="E233" i="5" s="1"/>
  <c r="E234" i="5" s="1"/>
  <c r="E235" i="5" s="1"/>
  <c r="E236" i="5" s="1"/>
  <c r="E237" i="5" s="1"/>
  <c r="E238" i="5" s="1"/>
  <c r="E239" i="5" s="1"/>
  <c r="E240" i="5" s="1"/>
  <c r="E241" i="5" s="1"/>
  <c r="E242" i="5" s="1"/>
  <c r="E243" i="5" s="1"/>
  <c r="E244" i="5" s="1"/>
  <c r="E245" i="5" s="1"/>
  <c r="E246" i="5" s="1"/>
  <c r="E247" i="5" s="1"/>
  <c r="E248" i="5" s="1"/>
  <c r="E249" i="5" s="1"/>
  <c r="E250" i="5" s="1"/>
  <c r="E251" i="5" s="1"/>
  <c r="E252" i="5" s="1"/>
  <c r="E253" i="5" s="1"/>
  <c r="E254" i="5" s="1"/>
  <c r="E255" i="5" s="1"/>
  <c r="E319" i="5" s="1"/>
  <c r="E203" i="5"/>
  <c r="E205" i="5" s="1"/>
  <c r="E207" i="5" s="1"/>
  <c r="E209" i="5" s="1"/>
  <c r="E211" i="5" s="1"/>
  <c r="E213" i="5" s="1"/>
  <c r="E215" i="5" s="1"/>
  <c r="E217" i="5" s="1"/>
  <c r="E219" i="5" s="1"/>
  <c r="E221" i="5" s="1"/>
  <c r="E223" i="5" s="1"/>
  <c r="E225" i="5" s="1"/>
  <c r="T262" i="5"/>
  <c r="T289" i="5"/>
  <c r="U289" i="5"/>
  <c r="U262" i="5"/>
  <c r="J289" i="5"/>
  <c r="J262" i="5"/>
  <c r="L262" i="5"/>
  <c r="L289" i="5"/>
  <c r="W262" i="5"/>
  <c r="W289" i="5"/>
  <c r="G262" i="5"/>
  <c r="G289" i="5"/>
  <c r="D262" i="5"/>
  <c r="D289" i="5"/>
  <c r="S262" i="5"/>
  <c r="S289" i="5"/>
  <c r="O262" i="5"/>
  <c r="O289" i="5"/>
  <c r="I289" i="5"/>
  <c r="I262" i="5"/>
  <c r="E289" i="5"/>
  <c r="E262" i="5"/>
  <c r="P262" i="5"/>
  <c r="P289" i="5"/>
  <c r="C262" i="5"/>
  <c r="C289" i="5"/>
  <c r="F262" i="5"/>
  <c r="F289" i="5"/>
  <c r="F205" i="5"/>
  <c r="F207" i="5" s="1"/>
  <c r="F209" i="5" s="1"/>
  <c r="F211" i="5" s="1"/>
  <c r="F213" i="5" s="1"/>
  <c r="F215" i="5" s="1"/>
  <c r="F217" i="5" s="1"/>
  <c r="F219" i="5" s="1"/>
  <c r="F221" i="5" s="1"/>
  <c r="F223" i="5" s="1"/>
  <c r="F225" i="5" s="1"/>
  <c r="J205" i="5"/>
  <c r="J207" i="5" s="1"/>
  <c r="J209" i="5" s="1"/>
  <c r="J211" i="5" s="1"/>
  <c r="J213" i="5" s="1"/>
  <c r="J215" i="5" s="1"/>
  <c r="J217" i="5" s="1"/>
  <c r="J219" i="5" s="1"/>
  <c r="J221" i="5" s="1"/>
  <c r="J223" i="5" s="1"/>
  <c r="J225" i="5" s="1"/>
  <c r="I232" i="5"/>
  <c r="I233" i="5" s="1"/>
  <c r="I234" i="5" s="1"/>
  <c r="I235" i="5" s="1"/>
  <c r="I236" i="5" s="1"/>
  <c r="I237" i="5" s="1"/>
  <c r="I238" i="5" s="1"/>
  <c r="I239" i="5" s="1"/>
  <c r="I240" i="5" s="1"/>
  <c r="I241" i="5" s="1"/>
  <c r="I242" i="5" s="1"/>
  <c r="I243" i="5" s="1"/>
  <c r="I244" i="5" s="1"/>
  <c r="I245" i="5" s="1"/>
  <c r="I246" i="5" s="1"/>
  <c r="I247" i="5" s="1"/>
  <c r="I248" i="5" s="1"/>
  <c r="I249" i="5" s="1"/>
  <c r="I250" i="5" s="1"/>
  <c r="I251" i="5" s="1"/>
  <c r="I252" i="5" s="1"/>
  <c r="I253" i="5" s="1"/>
  <c r="I254" i="5" s="1"/>
  <c r="I255" i="5" s="1"/>
  <c r="I319" i="5" s="1"/>
  <c r="L232" i="5"/>
  <c r="L233" i="5" s="1"/>
  <c r="L234" i="5" s="1"/>
  <c r="L235" i="5" s="1"/>
  <c r="L236" i="5" s="1"/>
  <c r="L237" i="5" s="1"/>
  <c r="L238" i="5" s="1"/>
  <c r="L239" i="5" s="1"/>
  <c r="L240" i="5" s="1"/>
  <c r="L241" i="5" s="1"/>
  <c r="L242" i="5" s="1"/>
  <c r="L243" i="5" s="1"/>
  <c r="L244" i="5" s="1"/>
  <c r="L245" i="5" s="1"/>
  <c r="L246" i="5" s="1"/>
  <c r="L247" i="5" s="1"/>
  <c r="L248" i="5" s="1"/>
  <c r="L249" i="5" s="1"/>
  <c r="L250" i="5" s="1"/>
  <c r="L251" i="5" s="1"/>
  <c r="L252" i="5" s="1"/>
  <c r="L253" i="5" s="1"/>
  <c r="L254" i="5" s="1"/>
  <c r="L255" i="5" s="1"/>
  <c r="L319" i="5" s="1"/>
  <c r="O232" i="5"/>
  <c r="O233" i="5" s="1"/>
  <c r="O234" i="5" s="1"/>
  <c r="O235" i="5" s="1"/>
  <c r="O236" i="5" s="1"/>
  <c r="O237" i="5" s="1"/>
  <c r="O238" i="5" s="1"/>
  <c r="O239" i="5" s="1"/>
  <c r="O240" i="5" s="1"/>
  <c r="O241" i="5" s="1"/>
  <c r="O242" i="5" s="1"/>
  <c r="O243" i="5" s="1"/>
  <c r="O244" i="5" s="1"/>
  <c r="O245" i="5" s="1"/>
  <c r="O246" i="5" s="1"/>
  <c r="O247" i="5" s="1"/>
  <c r="O248" i="5" s="1"/>
  <c r="O249" i="5" s="1"/>
  <c r="O250" i="5" s="1"/>
  <c r="O251" i="5" s="1"/>
  <c r="O252" i="5" s="1"/>
  <c r="O253" i="5" s="1"/>
  <c r="O254" i="5" s="1"/>
  <c r="O255" i="5" s="1"/>
  <c r="O319" i="5" s="1"/>
  <c r="H232" i="5"/>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319" i="5" s="1"/>
  <c r="F204" i="5"/>
  <c r="F206" i="5" s="1"/>
  <c r="F208" i="5" s="1"/>
  <c r="F210" i="5" s="1"/>
  <c r="F212" i="5" s="1"/>
  <c r="F214" i="5" s="1"/>
  <c r="F147" i="5"/>
  <c r="F149" i="5" s="1"/>
  <c r="F151" i="5" s="1"/>
  <c r="F153" i="5" s="1"/>
  <c r="F155" i="5" s="1"/>
  <c r="F157" i="5" s="1"/>
  <c r="F159" i="5" s="1"/>
  <c r="F161" i="5" s="1"/>
  <c r="F163" i="5" s="1"/>
  <c r="F165" i="5" s="1"/>
  <c r="F167" i="5" s="1"/>
  <c r="F169" i="5" s="1"/>
  <c r="F146" i="5"/>
  <c r="F148" i="5" s="1"/>
  <c r="F150" i="5" s="1"/>
  <c r="F152" i="5" s="1"/>
  <c r="F154" i="5" s="1"/>
  <c r="F156" i="5" s="1"/>
  <c r="F158" i="5" s="1"/>
  <c r="F160" i="5" s="1"/>
  <c r="F162" i="5" s="1"/>
  <c r="F164" i="5" s="1"/>
  <c r="F166" i="5" s="1"/>
  <c r="F168" i="5" s="1"/>
  <c r="F175" i="5"/>
  <c r="F177" i="5" s="1"/>
  <c r="F179" i="5" s="1"/>
  <c r="F181" i="5" s="1"/>
  <c r="F183" i="5" s="1"/>
  <c r="F185" i="5" s="1"/>
  <c r="F174" i="5"/>
  <c r="F176" i="5" s="1"/>
  <c r="F178" i="5" s="1"/>
  <c r="F180" i="5" s="1"/>
  <c r="F182" i="5" s="1"/>
  <c r="F184" i="5" s="1"/>
  <c r="F186" i="5" s="1"/>
  <c r="F188" i="5" s="1"/>
  <c r="F190" i="5" s="1"/>
  <c r="F192" i="5" s="1"/>
  <c r="F194" i="5" s="1"/>
  <c r="F196" i="5" s="1"/>
  <c r="E174" i="5"/>
  <c r="E176" i="5" s="1"/>
  <c r="E178" i="5" s="1"/>
  <c r="E180" i="5" s="1"/>
  <c r="E182" i="5" s="1"/>
  <c r="E184" i="5" s="1"/>
  <c r="E186" i="5" s="1"/>
  <c r="E188" i="5" s="1"/>
  <c r="E190" i="5" s="1"/>
  <c r="E192" i="5" s="1"/>
  <c r="E194" i="5" s="1"/>
  <c r="E196" i="5" s="1"/>
  <c r="E146" i="5"/>
  <c r="E148" i="5" s="1"/>
  <c r="E150" i="5" s="1"/>
  <c r="E152" i="5" s="1"/>
  <c r="E154" i="5" s="1"/>
  <c r="E156" i="5" s="1"/>
  <c r="E158" i="5" s="1"/>
  <c r="E160" i="5" s="1"/>
  <c r="E162" i="5" s="1"/>
  <c r="E164" i="5" s="1"/>
  <c r="E166" i="5" s="1"/>
  <c r="E168" i="5" s="1"/>
  <c r="E175" i="5"/>
  <c r="E177" i="5" s="1"/>
  <c r="E179" i="5" s="1"/>
  <c r="E181" i="5" s="1"/>
  <c r="E183" i="5" s="1"/>
  <c r="E185" i="5" s="1"/>
  <c r="E204" i="5"/>
  <c r="E206" i="5" s="1"/>
  <c r="E208" i="5" s="1"/>
  <c r="E210" i="5" s="1"/>
  <c r="E212" i="5" s="1"/>
  <c r="E214" i="5" s="1"/>
  <c r="E216" i="5" s="1"/>
  <c r="E218" i="5" s="1"/>
  <c r="E220" i="5" s="1"/>
  <c r="E222" i="5" s="1"/>
  <c r="E224" i="5" s="1"/>
  <c r="E226" i="5" s="1"/>
  <c r="E147" i="5"/>
  <c r="E149" i="5" s="1"/>
  <c r="E151" i="5" s="1"/>
  <c r="E153" i="5" s="1"/>
  <c r="E155" i="5" s="1"/>
  <c r="E157" i="5" s="1"/>
  <c r="U231" i="5"/>
  <c r="U232" i="5" s="1"/>
  <c r="U233" i="5" s="1"/>
  <c r="U234" i="5" s="1"/>
  <c r="U235" i="5" s="1"/>
  <c r="U236" i="5" s="1"/>
  <c r="U237" i="5" s="1"/>
  <c r="U238" i="5" s="1"/>
  <c r="U239" i="5" s="1"/>
  <c r="U240" i="5" s="1"/>
  <c r="U241" i="5" s="1"/>
  <c r="U242" i="5" s="1"/>
  <c r="U243" i="5" s="1"/>
  <c r="U244" i="5" s="1"/>
  <c r="U245" i="5" s="1"/>
  <c r="U246" i="5" s="1"/>
  <c r="U247" i="5" s="1"/>
  <c r="U248" i="5" s="1"/>
  <c r="U249" i="5" s="1"/>
  <c r="U250" i="5" s="1"/>
  <c r="U251" i="5" s="1"/>
  <c r="U252" i="5" s="1"/>
  <c r="U253" i="5" s="1"/>
  <c r="U254" i="5" s="1"/>
  <c r="U255" i="5" s="1"/>
  <c r="U319" i="5" s="1"/>
  <c r="U175" i="5"/>
  <c r="U177" i="5" s="1"/>
  <c r="U179" i="5" s="1"/>
  <c r="U181" i="5" s="1"/>
  <c r="U183" i="5" s="1"/>
  <c r="U185" i="5" s="1"/>
  <c r="U187" i="5" s="1"/>
  <c r="U189" i="5" s="1"/>
  <c r="U191" i="5" s="1"/>
  <c r="U193" i="5" s="1"/>
  <c r="U195" i="5" s="1"/>
  <c r="U197" i="5" s="1"/>
  <c r="U146" i="5"/>
  <c r="U148" i="5" s="1"/>
  <c r="U150" i="5" s="1"/>
  <c r="U152" i="5" s="1"/>
  <c r="U154" i="5" s="1"/>
  <c r="U156" i="5" s="1"/>
  <c r="U158" i="5" s="1"/>
  <c r="U160" i="5" s="1"/>
  <c r="U162" i="5" s="1"/>
  <c r="U164" i="5" s="1"/>
  <c r="U166" i="5" s="1"/>
  <c r="U168" i="5" s="1"/>
  <c r="U204" i="5"/>
  <c r="U206" i="5" s="1"/>
  <c r="U208" i="5" s="1"/>
  <c r="U210" i="5" s="1"/>
  <c r="U212" i="5" s="1"/>
  <c r="U214" i="5" s="1"/>
  <c r="U216" i="5" s="1"/>
  <c r="U218" i="5" s="1"/>
  <c r="U220" i="5" s="1"/>
  <c r="U222" i="5" s="1"/>
  <c r="U224" i="5" s="1"/>
  <c r="U226" i="5" s="1"/>
  <c r="U147" i="5"/>
  <c r="U149" i="5" s="1"/>
  <c r="U151" i="5" s="1"/>
  <c r="U153" i="5" s="1"/>
  <c r="U155" i="5" s="1"/>
  <c r="U157" i="5" s="1"/>
  <c r="U174" i="5"/>
  <c r="U176" i="5" s="1"/>
  <c r="U178" i="5" s="1"/>
  <c r="U180" i="5" s="1"/>
  <c r="U182" i="5" s="1"/>
  <c r="U184" i="5" s="1"/>
  <c r="U186" i="5" s="1"/>
  <c r="U188" i="5" s="1"/>
  <c r="U190" i="5" s="1"/>
  <c r="U192" i="5" s="1"/>
  <c r="U194" i="5" s="1"/>
  <c r="U196" i="5" s="1"/>
  <c r="U203" i="5"/>
  <c r="U205" i="5" s="1"/>
  <c r="U207" i="5" s="1"/>
  <c r="U209" i="5" s="1"/>
  <c r="U211" i="5" s="1"/>
  <c r="U213" i="5" s="1"/>
  <c r="U215" i="5" s="1"/>
  <c r="U217" i="5" s="1"/>
  <c r="U219" i="5" s="1"/>
  <c r="U221" i="5" s="1"/>
  <c r="U223" i="5" s="1"/>
  <c r="U225" i="5" s="1"/>
  <c r="W231" i="5"/>
  <c r="W232" i="5" s="1"/>
  <c r="W233" i="5" s="1"/>
  <c r="W234" i="5" s="1"/>
  <c r="W235" i="5" s="1"/>
  <c r="W236" i="5" s="1"/>
  <c r="W237" i="5" s="1"/>
  <c r="W238" i="5" s="1"/>
  <c r="W239" i="5" s="1"/>
  <c r="W240" i="5" s="1"/>
  <c r="W241" i="5" s="1"/>
  <c r="W242" i="5" s="1"/>
  <c r="W243" i="5" s="1"/>
  <c r="W175" i="5"/>
  <c r="W177" i="5" s="1"/>
  <c r="W179" i="5" s="1"/>
  <c r="W181" i="5" s="1"/>
  <c r="W183" i="5" s="1"/>
  <c r="W185" i="5" s="1"/>
  <c r="W204" i="5"/>
  <c r="W206" i="5" s="1"/>
  <c r="W208" i="5" s="1"/>
  <c r="W210" i="5" s="1"/>
  <c r="W212" i="5" s="1"/>
  <c r="W214" i="5" s="1"/>
  <c r="W216" i="5" s="1"/>
  <c r="W218" i="5" s="1"/>
  <c r="W220" i="5" s="1"/>
  <c r="W222" i="5" s="1"/>
  <c r="W224" i="5" s="1"/>
  <c r="W226" i="5" s="1"/>
  <c r="W146" i="5"/>
  <c r="W148" i="5" s="1"/>
  <c r="W150" i="5" s="1"/>
  <c r="W152" i="5" s="1"/>
  <c r="W154" i="5" s="1"/>
  <c r="W156" i="5" s="1"/>
  <c r="W158" i="5" s="1"/>
  <c r="W160" i="5" s="1"/>
  <c r="W162" i="5" s="1"/>
  <c r="W164" i="5" s="1"/>
  <c r="W166" i="5" s="1"/>
  <c r="W168" i="5" s="1"/>
  <c r="W147" i="5"/>
  <c r="W149" i="5" s="1"/>
  <c r="W151" i="5" s="1"/>
  <c r="W153" i="5" s="1"/>
  <c r="W155" i="5" s="1"/>
  <c r="W157" i="5" s="1"/>
  <c r="W203" i="5"/>
  <c r="W205" i="5" s="1"/>
  <c r="W207" i="5" s="1"/>
  <c r="W209" i="5" s="1"/>
  <c r="W211" i="5" s="1"/>
  <c r="W213" i="5" s="1"/>
  <c r="W215" i="5" s="1"/>
  <c r="W217" i="5" s="1"/>
  <c r="W219" i="5" s="1"/>
  <c r="W221" i="5" s="1"/>
  <c r="W223" i="5" s="1"/>
  <c r="W225" i="5" s="1"/>
  <c r="W174" i="5"/>
  <c r="W176" i="5" s="1"/>
  <c r="W178" i="5" s="1"/>
  <c r="W180" i="5" s="1"/>
  <c r="W182" i="5" s="1"/>
  <c r="W184" i="5" s="1"/>
  <c r="W186" i="5" s="1"/>
  <c r="W188" i="5" s="1"/>
  <c r="W190" i="5" s="1"/>
  <c r="W192" i="5" s="1"/>
  <c r="W194" i="5" s="1"/>
  <c r="W196" i="5" s="1"/>
  <c r="S174" i="5"/>
  <c r="S176" i="5" s="1"/>
  <c r="S178" i="5" s="1"/>
  <c r="S180" i="5" s="1"/>
  <c r="S182" i="5" s="1"/>
  <c r="S184" i="5" s="1"/>
  <c r="S186" i="5" s="1"/>
  <c r="S188" i="5" s="1"/>
  <c r="S190" i="5" s="1"/>
  <c r="S192" i="5" s="1"/>
  <c r="S194" i="5" s="1"/>
  <c r="S196" i="5" s="1"/>
  <c r="S175" i="5"/>
  <c r="S177" i="5" s="1"/>
  <c r="S179" i="5" s="1"/>
  <c r="S181" i="5" s="1"/>
  <c r="S183" i="5" s="1"/>
  <c r="S185" i="5" s="1"/>
  <c r="S187" i="5" s="1"/>
  <c r="S189" i="5" s="1"/>
  <c r="S191" i="5" s="1"/>
  <c r="S193" i="5" s="1"/>
  <c r="S195" i="5" s="1"/>
  <c r="S197" i="5" s="1"/>
  <c r="S147" i="5"/>
  <c r="S149" i="5" s="1"/>
  <c r="S151" i="5" s="1"/>
  <c r="S153" i="5" s="1"/>
  <c r="S155" i="5" s="1"/>
  <c r="S157" i="5" s="1"/>
  <c r="S159" i="5" s="1"/>
  <c r="S161" i="5" s="1"/>
  <c r="S163" i="5" s="1"/>
  <c r="S165" i="5" s="1"/>
  <c r="S167" i="5" s="1"/>
  <c r="S169" i="5" s="1"/>
  <c r="S231" i="5"/>
  <c r="S232" i="5" s="1"/>
  <c r="S233" i="5" s="1"/>
  <c r="S234" i="5" s="1"/>
  <c r="S235" i="5" s="1"/>
  <c r="S236" i="5" s="1"/>
  <c r="S237" i="5" s="1"/>
  <c r="S238" i="5" s="1"/>
  <c r="S239" i="5" s="1"/>
  <c r="S240" i="5" s="1"/>
  <c r="S241" i="5" s="1"/>
  <c r="S242" i="5" s="1"/>
  <c r="S243" i="5" s="1"/>
  <c r="S244" i="5" s="1"/>
  <c r="S245" i="5" s="1"/>
  <c r="S246" i="5" s="1"/>
  <c r="S247" i="5" s="1"/>
  <c r="S248" i="5" s="1"/>
  <c r="S249" i="5" s="1"/>
  <c r="S250" i="5" s="1"/>
  <c r="S251" i="5" s="1"/>
  <c r="S252" i="5" s="1"/>
  <c r="S253" i="5" s="1"/>
  <c r="S254" i="5" s="1"/>
  <c r="S255" i="5" s="1"/>
  <c r="S319" i="5" s="1"/>
  <c r="S203" i="5"/>
  <c r="S205" i="5" s="1"/>
  <c r="S207" i="5" s="1"/>
  <c r="S209" i="5" s="1"/>
  <c r="S211" i="5" s="1"/>
  <c r="S213" i="5" s="1"/>
  <c r="S215" i="5" s="1"/>
  <c r="S217" i="5" s="1"/>
  <c r="S219" i="5" s="1"/>
  <c r="S221" i="5" s="1"/>
  <c r="S223" i="5" s="1"/>
  <c r="S225" i="5" s="1"/>
  <c r="S204" i="5"/>
  <c r="S206" i="5" s="1"/>
  <c r="S208" i="5" s="1"/>
  <c r="S210" i="5" s="1"/>
  <c r="S212" i="5" s="1"/>
  <c r="S214" i="5" s="1"/>
  <c r="S216" i="5" s="1"/>
  <c r="S218" i="5" s="1"/>
  <c r="S220" i="5" s="1"/>
  <c r="S222" i="5" s="1"/>
  <c r="S224" i="5" s="1"/>
  <c r="S226" i="5" s="1"/>
  <c r="S146" i="5"/>
  <c r="S148" i="5" s="1"/>
  <c r="S150" i="5" s="1"/>
  <c r="S152" i="5" s="1"/>
  <c r="S154" i="5" s="1"/>
  <c r="S156" i="5" s="1"/>
  <c r="S158" i="5" s="1"/>
  <c r="S160" i="5" s="1"/>
  <c r="S162" i="5" s="1"/>
  <c r="S164" i="5" s="1"/>
  <c r="S166" i="5" s="1"/>
  <c r="S168" i="5" s="1"/>
  <c r="P204" i="5"/>
  <c r="P206" i="5" s="1"/>
  <c r="P208" i="5" s="1"/>
  <c r="P210" i="5" s="1"/>
  <c r="P212" i="5" s="1"/>
  <c r="P214" i="5" s="1"/>
  <c r="P216" i="5" s="1"/>
  <c r="P218" i="5" s="1"/>
  <c r="P220" i="5" s="1"/>
  <c r="P222" i="5" s="1"/>
  <c r="P224" i="5" s="1"/>
  <c r="P226" i="5" s="1"/>
  <c r="P147" i="5"/>
  <c r="P149" i="5" s="1"/>
  <c r="P151" i="5" s="1"/>
  <c r="P153" i="5" s="1"/>
  <c r="P155" i="5" s="1"/>
  <c r="P157" i="5" s="1"/>
  <c r="P159" i="5" s="1"/>
  <c r="P161" i="5" s="1"/>
  <c r="P163" i="5" s="1"/>
  <c r="P165" i="5" s="1"/>
  <c r="P167" i="5" s="1"/>
  <c r="P169" i="5" s="1"/>
  <c r="P146" i="5"/>
  <c r="P148" i="5" s="1"/>
  <c r="P150" i="5" s="1"/>
  <c r="P152" i="5" s="1"/>
  <c r="P154" i="5" s="1"/>
  <c r="P156" i="5" s="1"/>
  <c r="P158" i="5" s="1"/>
  <c r="P160" i="5" s="1"/>
  <c r="P162" i="5" s="1"/>
  <c r="P164" i="5" s="1"/>
  <c r="P166" i="5" s="1"/>
  <c r="P168" i="5" s="1"/>
  <c r="P231" i="5"/>
  <c r="P232" i="5" s="1"/>
  <c r="P233" i="5" s="1"/>
  <c r="P234" i="5" s="1"/>
  <c r="P235" i="5" s="1"/>
  <c r="P236" i="5" s="1"/>
  <c r="P237" i="5" s="1"/>
  <c r="P238" i="5" s="1"/>
  <c r="P239" i="5" s="1"/>
  <c r="P240" i="5" s="1"/>
  <c r="P241" i="5" s="1"/>
  <c r="P242" i="5" s="1"/>
  <c r="P243" i="5" s="1"/>
  <c r="P174" i="5"/>
  <c r="P176" i="5" s="1"/>
  <c r="P178" i="5" s="1"/>
  <c r="P180" i="5" s="1"/>
  <c r="P182" i="5" s="1"/>
  <c r="P184" i="5" s="1"/>
  <c r="P186" i="5" s="1"/>
  <c r="P188" i="5" s="1"/>
  <c r="P190" i="5" s="1"/>
  <c r="P192" i="5" s="1"/>
  <c r="P194" i="5" s="1"/>
  <c r="P196" i="5" s="1"/>
  <c r="P203" i="5"/>
  <c r="P205" i="5" s="1"/>
  <c r="P207" i="5" s="1"/>
  <c r="P209" i="5" s="1"/>
  <c r="P211" i="5" s="1"/>
  <c r="P213" i="5" s="1"/>
  <c r="P215" i="5" s="1"/>
  <c r="P217" i="5" s="1"/>
  <c r="P219" i="5" s="1"/>
  <c r="P221" i="5" s="1"/>
  <c r="P223" i="5" s="1"/>
  <c r="P225" i="5" s="1"/>
  <c r="P175" i="5"/>
  <c r="P177" i="5" s="1"/>
  <c r="P179" i="5" s="1"/>
  <c r="P181" i="5" s="1"/>
  <c r="P183" i="5" s="1"/>
  <c r="P185" i="5" s="1"/>
  <c r="P187" i="5" s="1"/>
  <c r="P189" i="5" s="1"/>
  <c r="P191" i="5" s="1"/>
  <c r="P193" i="5" s="1"/>
  <c r="P195" i="5" s="1"/>
  <c r="P197" i="5" s="1"/>
  <c r="R146" i="5"/>
  <c r="R148" i="5" s="1"/>
  <c r="R150" i="5" s="1"/>
  <c r="R152" i="5" s="1"/>
  <c r="R154" i="5" s="1"/>
  <c r="R156" i="5" s="1"/>
  <c r="R231" i="5"/>
  <c r="R232" i="5" s="1"/>
  <c r="R233" i="5" s="1"/>
  <c r="R234" i="5" s="1"/>
  <c r="R235" i="5" s="1"/>
  <c r="R236" i="5" s="1"/>
  <c r="R237" i="5" s="1"/>
  <c r="R238" i="5" s="1"/>
  <c r="R239" i="5" s="1"/>
  <c r="R240" i="5" s="1"/>
  <c r="R241" i="5" s="1"/>
  <c r="R242" i="5" s="1"/>
  <c r="R243" i="5" s="1"/>
  <c r="R293" i="5" s="1"/>
  <c r="R203" i="5"/>
  <c r="R205" i="5" s="1"/>
  <c r="R207" i="5" s="1"/>
  <c r="R209" i="5" s="1"/>
  <c r="R211" i="5" s="1"/>
  <c r="R213" i="5" s="1"/>
  <c r="R215" i="5" s="1"/>
  <c r="R217" i="5" s="1"/>
  <c r="R219" i="5" s="1"/>
  <c r="R221" i="5" s="1"/>
  <c r="R223" i="5" s="1"/>
  <c r="R225" i="5" s="1"/>
  <c r="R204" i="5"/>
  <c r="R206" i="5" s="1"/>
  <c r="R208" i="5" s="1"/>
  <c r="R210" i="5" s="1"/>
  <c r="R212" i="5" s="1"/>
  <c r="R214" i="5" s="1"/>
  <c r="R292" i="5" s="1"/>
  <c r="R147" i="5"/>
  <c r="R149" i="5" s="1"/>
  <c r="R175" i="5"/>
  <c r="R177" i="5" s="1"/>
  <c r="R179" i="5" s="1"/>
  <c r="R181" i="5" s="1"/>
  <c r="R183" i="5" s="1"/>
  <c r="R185" i="5" s="1"/>
  <c r="R291" i="5" s="1"/>
  <c r="R174" i="5"/>
  <c r="R176" i="5" s="1"/>
  <c r="R178" i="5" s="1"/>
  <c r="R180" i="5" s="1"/>
  <c r="R182" i="5" s="1"/>
  <c r="R184" i="5" s="1"/>
  <c r="R186" i="5" s="1"/>
  <c r="R188" i="5" s="1"/>
  <c r="R190" i="5" s="1"/>
  <c r="R192" i="5" s="1"/>
  <c r="R194" i="5" s="1"/>
  <c r="R196" i="5" s="1"/>
  <c r="C231" i="5"/>
  <c r="C232" i="5" s="1"/>
  <c r="C233" i="5" s="1"/>
  <c r="C234" i="5" s="1"/>
  <c r="C235" i="5" s="1"/>
  <c r="C236" i="5" s="1"/>
  <c r="C237" i="5" s="1"/>
  <c r="C238" i="5" s="1"/>
  <c r="C239" i="5" s="1"/>
  <c r="C240" i="5" s="1"/>
  <c r="C241" i="5" s="1"/>
  <c r="C242" i="5" s="1"/>
  <c r="C243" i="5" s="1"/>
  <c r="C244" i="5" s="1"/>
  <c r="C245" i="5" s="1"/>
  <c r="C246" i="5" s="1"/>
  <c r="C247" i="5" s="1"/>
  <c r="C248" i="5" s="1"/>
  <c r="C249" i="5" s="1"/>
  <c r="C250" i="5" s="1"/>
  <c r="C251" i="5" s="1"/>
  <c r="C252" i="5" s="1"/>
  <c r="C253" i="5" s="1"/>
  <c r="C254" i="5" s="1"/>
  <c r="C255" i="5" s="1"/>
  <c r="C319" i="5" s="1"/>
  <c r="C147" i="5"/>
  <c r="C149" i="5" s="1"/>
  <c r="C151" i="5" s="1"/>
  <c r="C153" i="5" s="1"/>
  <c r="C155" i="5" s="1"/>
  <c r="C157" i="5" s="1"/>
  <c r="C159" i="5" s="1"/>
  <c r="C161" i="5" s="1"/>
  <c r="C163" i="5" s="1"/>
  <c r="C165" i="5" s="1"/>
  <c r="C167" i="5" s="1"/>
  <c r="C169" i="5" s="1"/>
  <c r="C204" i="5"/>
  <c r="C206" i="5" s="1"/>
  <c r="C208" i="5" s="1"/>
  <c r="C210" i="5" s="1"/>
  <c r="C212" i="5" s="1"/>
  <c r="C214" i="5" s="1"/>
  <c r="C216" i="5" s="1"/>
  <c r="C218" i="5" s="1"/>
  <c r="C220" i="5" s="1"/>
  <c r="C222" i="5" s="1"/>
  <c r="C224" i="5" s="1"/>
  <c r="C226" i="5" s="1"/>
  <c r="C203" i="5"/>
  <c r="C205" i="5" s="1"/>
  <c r="C207" i="5" s="1"/>
  <c r="C209" i="5" s="1"/>
  <c r="C211" i="5" s="1"/>
  <c r="C213" i="5" s="1"/>
  <c r="C215" i="5" s="1"/>
  <c r="C217" i="5" s="1"/>
  <c r="C219" i="5" s="1"/>
  <c r="C221" i="5" s="1"/>
  <c r="C223" i="5" s="1"/>
  <c r="C225" i="5" s="1"/>
  <c r="C146" i="5"/>
  <c r="C148" i="5" s="1"/>
  <c r="C150" i="5" s="1"/>
  <c r="C152" i="5" s="1"/>
  <c r="C154" i="5" s="1"/>
  <c r="C156" i="5" s="1"/>
  <c r="C158" i="5" s="1"/>
  <c r="C160" i="5" s="1"/>
  <c r="C162" i="5" s="1"/>
  <c r="C164" i="5" s="1"/>
  <c r="C166" i="5" s="1"/>
  <c r="C168" i="5" s="1"/>
  <c r="C174" i="5"/>
  <c r="C176" i="5" s="1"/>
  <c r="C178" i="5" s="1"/>
  <c r="C180" i="5" s="1"/>
  <c r="C182" i="5" s="1"/>
  <c r="C184" i="5" s="1"/>
  <c r="C186" i="5" s="1"/>
  <c r="C188" i="5" s="1"/>
  <c r="C190" i="5" s="1"/>
  <c r="C192" i="5" s="1"/>
  <c r="C194" i="5" s="1"/>
  <c r="C196" i="5" s="1"/>
  <c r="C175" i="5"/>
  <c r="C177" i="5" s="1"/>
  <c r="C179" i="5" s="1"/>
  <c r="C181" i="5" s="1"/>
  <c r="C183" i="5" s="1"/>
  <c r="C185" i="5" s="1"/>
  <c r="C187" i="5" s="1"/>
  <c r="C189" i="5" s="1"/>
  <c r="C191" i="5" s="1"/>
  <c r="C193" i="5" s="1"/>
  <c r="C195" i="5" s="1"/>
  <c r="C197" i="5" s="1"/>
  <c r="Q231" i="5"/>
  <c r="Q232" i="5" s="1"/>
  <c r="Q233" i="5" s="1"/>
  <c r="Q234" i="5" s="1"/>
  <c r="Q235" i="5" s="1"/>
  <c r="Q236" i="5" s="1"/>
  <c r="Q237" i="5" s="1"/>
  <c r="Q238" i="5" s="1"/>
  <c r="Q239" i="5" s="1"/>
  <c r="Q240" i="5" s="1"/>
  <c r="Q241" i="5" s="1"/>
  <c r="Q242" i="5" s="1"/>
  <c r="Q243" i="5" s="1"/>
  <c r="Q244" i="5" s="1"/>
  <c r="Q245" i="5" s="1"/>
  <c r="Q246" i="5" s="1"/>
  <c r="Q247" i="5" s="1"/>
  <c r="Q248" i="5" s="1"/>
  <c r="Q249" i="5" s="1"/>
  <c r="Q250" i="5" s="1"/>
  <c r="Q251" i="5" s="1"/>
  <c r="Q252" i="5" s="1"/>
  <c r="Q253" i="5" s="1"/>
  <c r="Q254" i="5" s="1"/>
  <c r="Q255" i="5" s="1"/>
  <c r="Q319" i="5" s="1"/>
  <c r="Q147" i="5"/>
  <c r="Q149" i="5" s="1"/>
  <c r="Q151" i="5" s="1"/>
  <c r="Q153" i="5" s="1"/>
  <c r="Q155" i="5" s="1"/>
  <c r="Q157" i="5" s="1"/>
  <c r="Q159" i="5" s="1"/>
  <c r="Q161" i="5" s="1"/>
  <c r="Q163" i="5" s="1"/>
  <c r="Q165" i="5" s="1"/>
  <c r="Q167" i="5" s="1"/>
  <c r="Q169" i="5" s="1"/>
  <c r="Q174" i="5"/>
  <c r="Q176" i="5" s="1"/>
  <c r="Q178" i="5" s="1"/>
  <c r="Q180" i="5" s="1"/>
  <c r="Q182" i="5" s="1"/>
  <c r="Q184" i="5" s="1"/>
  <c r="Q186" i="5" s="1"/>
  <c r="Q188" i="5" s="1"/>
  <c r="Q190" i="5" s="1"/>
  <c r="Q192" i="5" s="1"/>
  <c r="Q194" i="5" s="1"/>
  <c r="Q196" i="5" s="1"/>
  <c r="Q203" i="5"/>
  <c r="Q205" i="5" s="1"/>
  <c r="Q207" i="5" s="1"/>
  <c r="Q209" i="5" s="1"/>
  <c r="Q211" i="5" s="1"/>
  <c r="Q213" i="5" s="1"/>
  <c r="Q215" i="5" s="1"/>
  <c r="Q217" i="5" s="1"/>
  <c r="Q219" i="5" s="1"/>
  <c r="Q221" i="5" s="1"/>
  <c r="Q223" i="5" s="1"/>
  <c r="Q225" i="5" s="1"/>
  <c r="Q175" i="5"/>
  <c r="Q177" i="5" s="1"/>
  <c r="Q179" i="5" s="1"/>
  <c r="Q181" i="5" s="1"/>
  <c r="Q183" i="5" s="1"/>
  <c r="Q185" i="5" s="1"/>
  <c r="Q187" i="5" s="1"/>
  <c r="Q189" i="5" s="1"/>
  <c r="Q191" i="5" s="1"/>
  <c r="Q193" i="5" s="1"/>
  <c r="Q195" i="5" s="1"/>
  <c r="Q197" i="5" s="1"/>
  <c r="Q146" i="5"/>
  <c r="Q148" i="5" s="1"/>
  <c r="Q150" i="5" s="1"/>
  <c r="Q152" i="5" s="1"/>
  <c r="Q154" i="5" s="1"/>
  <c r="Q156" i="5" s="1"/>
  <c r="Q158" i="5" s="1"/>
  <c r="Q160" i="5" s="1"/>
  <c r="Q162" i="5" s="1"/>
  <c r="Q164" i="5" s="1"/>
  <c r="Q166" i="5" s="1"/>
  <c r="Q168" i="5" s="1"/>
  <c r="Q204" i="5"/>
  <c r="Q206" i="5" s="1"/>
  <c r="Q208" i="5" s="1"/>
  <c r="Q210" i="5" s="1"/>
  <c r="Q212" i="5" s="1"/>
  <c r="Q214" i="5" s="1"/>
  <c r="Q216" i="5" s="1"/>
  <c r="Q218" i="5" s="1"/>
  <c r="Q220" i="5" s="1"/>
  <c r="Q222" i="5" s="1"/>
  <c r="Q224" i="5" s="1"/>
  <c r="Q226" i="5" s="1"/>
  <c r="D203" i="5"/>
  <c r="D205" i="5" s="1"/>
  <c r="D207" i="5" s="1"/>
  <c r="D209" i="5" s="1"/>
  <c r="D211" i="5" s="1"/>
  <c r="D213" i="5" s="1"/>
  <c r="D215" i="5" s="1"/>
  <c r="D217" i="5" s="1"/>
  <c r="D219" i="5" s="1"/>
  <c r="D221" i="5" s="1"/>
  <c r="D223" i="5" s="1"/>
  <c r="D225" i="5" s="1"/>
  <c r="D174" i="5"/>
  <c r="D176" i="5" s="1"/>
  <c r="D178" i="5" s="1"/>
  <c r="D180" i="5" s="1"/>
  <c r="D182" i="5" s="1"/>
  <c r="D184" i="5" s="1"/>
  <c r="D186" i="5" s="1"/>
  <c r="D188" i="5" s="1"/>
  <c r="D190" i="5" s="1"/>
  <c r="D192" i="5" s="1"/>
  <c r="D194" i="5" s="1"/>
  <c r="D196" i="5" s="1"/>
  <c r="D231" i="5"/>
  <c r="D232" i="5" s="1"/>
  <c r="D233" i="5" s="1"/>
  <c r="D234" i="5" s="1"/>
  <c r="D235" i="5" s="1"/>
  <c r="D236" i="5" s="1"/>
  <c r="D237" i="5" s="1"/>
  <c r="D238" i="5" s="1"/>
  <c r="D239" i="5" s="1"/>
  <c r="D240" i="5" s="1"/>
  <c r="D241" i="5" s="1"/>
  <c r="D242" i="5" s="1"/>
  <c r="D243" i="5" s="1"/>
  <c r="D244" i="5" s="1"/>
  <c r="D245" i="5" s="1"/>
  <c r="D246" i="5" s="1"/>
  <c r="D247" i="5" s="1"/>
  <c r="D248" i="5" s="1"/>
  <c r="D249" i="5" s="1"/>
  <c r="D250" i="5" s="1"/>
  <c r="D251" i="5" s="1"/>
  <c r="D252" i="5" s="1"/>
  <c r="D253" i="5" s="1"/>
  <c r="D254" i="5" s="1"/>
  <c r="D255" i="5" s="1"/>
  <c r="D319" i="5" s="1"/>
  <c r="D204" i="5"/>
  <c r="D206" i="5" s="1"/>
  <c r="D208" i="5" s="1"/>
  <c r="D210" i="5" s="1"/>
  <c r="D212" i="5" s="1"/>
  <c r="D214" i="5" s="1"/>
  <c r="D216" i="5" s="1"/>
  <c r="D218" i="5" s="1"/>
  <c r="D220" i="5" s="1"/>
  <c r="D222" i="5" s="1"/>
  <c r="D224" i="5" s="1"/>
  <c r="D226" i="5" s="1"/>
  <c r="D175" i="5"/>
  <c r="D177" i="5" s="1"/>
  <c r="D179" i="5" s="1"/>
  <c r="D181" i="5" s="1"/>
  <c r="D183" i="5" s="1"/>
  <c r="D185" i="5" s="1"/>
  <c r="D187" i="5" s="1"/>
  <c r="D189" i="5" s="1"/>
  <c r="D191" i="5" s="1"/>
  <c r="D193" i="5" s="1"/>
  <c r="D195" i="5" s="1"/>
  <c r="D197" i="5" s="1"/>
  <c r="D146" i="5"/>
  <c r="D148" i="5" s="1"/>
  <c r="D150" i="5" s="1"/>
  <c r="D152" i="5" s="1"/>
  <c r="D154" i="5" s="1"/>
  <c r="D156" i="5" s="1"/>
  <c r="D158" i="5" s="1"/>
  <c r="D160" i="5" s="1"/>
  <c r="D162" i="5" s="1"/>
  <c r="D164" i="5" s="1"/>
  <c r="D166" i="5" s="1"/>
  <c r="D168" i="5" s="1"/>
  <c r="D147" i="5"/>
  <c r="D149" i="5" s="1"/>
  <c r="D151" i="5" s="1"/>
  <c r="D153" i="5" s="1"/>
  <c r="D155" i="5" s="1"/>
  <c r="D157" i="5" s="1"/>
  <c r="D159" i="5" s="1"/>
  <c r="D161" i="5" s="1"/>
  <c r="D163" i="5" s="1"/>
  <c r="D165" i="5" s="1"/>
  <c r="D167" i="5" s="1"/>
  <c r="D169" i="5" s="1"/>
  <c r="G147" i="5"/>
  <c r="G149" i="5" s="1"/>
  <c r="G151" i="5" s="1"/>
  <c r="G153" i="5" s="1"/>
  <c r="G155" i="5" s="1"/>
  <c r="G157" i="5" s="1"/>
  <c r="G159" i="5" s="1"/>
  <c r="G161" i="5" s="1"/>
  <c r="G163" i="5" s="1"/>
  <c r="G165" i="5" s="1"/>
  <c r="G167" i="5" s="1"/>
  <c r="G169" i="5" s="1"/>
  <c r="G231" i="5"/>
  <c r="G232" i="5" s="1"/>
  <c r="G233" i="5" s="1"/>
  <c r="G234" i="5" s="1"/>
  <c r="G235" i="5" s="1"/>
  <c r="G236" i="5" s="1"/>
  <c r="G237" i="5" s="1"/>
  <c r="G238" i="5" s="1"/>
  <c r="G239" i="5" s="1"/>
  <c r="G240" i="5" s="1"/>
  <c r="G241" i="5" s="1"/>
  <c r="G242" i="5" s="1"/>
  <c r="G243" i="5" s="1"/>
  <c r="G244" i="5" s="1"/>
  <c r="G245" i="5" s="1"/>
  <c r="G246" i="5" s="1"/>
  <c r="G247" i="5" s="1"/>
  <c r="G248" i="5" s="1"/>
  <c r="G249" i="5" s="1"/>
  <c r="G250" i="5" s="1"/>
  <c r="G251" i="5" s="1"/>
  <c r="G252" i="5" s="1"/>
  <c r="G253" i="5" s="1"/>
  <c r="G254" i="5" s="1"/>
  <c r="G255" i="5" s="1"/>
  <c r="G319" i="5" s="1"/>
  <c r="G146" i="5"/>
  <c r="G148" i="5" s="1"/>
  <c r="G150" i="5" s="1"/>
  <c r="G152" i="5" s="1"/>
  <c r="G154" i="5" s="1"/>
  <c r="G156" i="5" s="1"/>
  <c r="G158" i="5" s="1"/>
  <c r="G160" i="5" s="1"/>
  <c r="G162" i="5" s="1"/>
  <c r="G164" i="5" s="1"/>
  <c r="G166" i="5" s="1"/>
  <c r="G168" i="5" s="1"/>
  <c r="G174" i="5"/>
  <c r="G176" i="5" s="1"/>
  <c r="G178" i="5" s="1"/>
  <c r="G180" i="5" s="1"/>
  <c r="G182" i="5" s="1"/>
  <c r="G184" i="5" s="1"/>
  <c r="G186" i="5" s="1"/>
  <c r="G188" i="5" s="1"/>
  <c r="G190" i="5" s="1"/>
  <c r="G192" i="5" s="1"/>
  <c r="G194" i="5" s="1"/>
  <c r="G196" i="5" s="1"/>
  <c r="G203" i="5"/>
  <c r="G205" i="5" s="1"/>
  <c r="G207" i="5" s="1"/>
  <c r="G209" i="5" s="1"/>
  <c r="G211" i="5" s="1"/>
  <c r="G213" i="5" s="1"/>
  <c r="G215" i="5" s="1"/>
  <c r="G217" i="5" s="1"/>
  <c r="G219" i="5" s="1"/>
  <c r="G221" i="5" s="1"/>
  <c r="G223" i="5" s="1"/>
  <c r="G225" i="5" s="1"/>
  <c r="G175" i="5"/>
  <c r="G177" i="5" s="1"/>
  <c r="G179" i="5" s="1"/>
  <c r="G181" i="5" s="1"/>
  <c r="G183" i="5" s="1"/>
  <c r="G185" i="5" s="1"/>
  <c r="G187" i="5" s="1"/>
  <c r="G189" i="5" s="1"/>
  <c r="G191" i="5" s="1"/>
  <c r="G193" i="5" s="1"/>
  <c r="G195" i="5" s="1"/>
  <c r="G197" i="5" s="1"/>
  <c r="G204" i="5"/>
  <c r="G206" i="5" s="1"/>
  <c r="G208" i="5" s="1"/>
  <c r="G210" i="5" s="1"/>
  <c r="G212" i="5" s="1"/>
  <c r="G214" i="5" s="1"/>
  <c r="G216" i="5" s="1"/>
  <c r="G218" i="5" s="1"/>
  <c r="G220" i="5" s="1"/>
  <c r="G222" i="5" s="1"/>
  <c r="G224" i="5" s="1"/>
  <c r="G226" i="5" s="1"/>
  <c r="H146" i="5"/>
  <c r="H148" i="5" s="1"/>
  <c r="H150" i="5" s="1"/>
  <c r="H152" i="5" s="1"/>
  <c r="H154" i="5" s="1"/>
  <c r="H156" i="5" s="1"/>
  <c r="H158" i="5" s="1"/>
  <c r="H160" i="5" s="1"/>
  <c r="H162" i="5" s="1"/>
  <c r="H164" i="5" s="1"/>
  <c r="H166" i="5" s="1"/>
  <c r="H168" i="5" s="1"/>
  <c r="H203" i="5"/>
  <c r="H205" i="5" s="1"/>
  <c r="H207" i="5" s="1"/>
  <c r="H209" i="5" s="1"/>
  <c r="H211" i="5" s="1"/>
  <c r="H213" i="5" s="1"/>
  <c r="H215" i="5" s="1"/>
  <c r="H217" i="5" s="1"/>
  <c r="H219" i="5" s="1"/>
  <c r="H221" i="5" s="1"/>
  <c r="H223" i="5" s="1"/>
  <c r="H225" i="5" s="1"/>
  <c r="H174" i="5"/>
  <c r="H176" i="5" s="1"/>
  <c r="H178" i="5" s="1"/>
  <c r="H180" i="5" s="1"/>
  <c r="H182" i="5" s="1"/>
  <c r="H184" i="5" s="1"/>
  <c r="H186" i="5" s="1"/>
  <c r="H188" i="5" s="1"/>
  <c r="H190" i="5" s="1"/>
  <c r="H192" i="5" s="1"/>
  <c r="H194" i="5" s="1"/>
  <c r="H196" i="5" s="1"/>
  <c r="H175" i="5"/>
  <c r="H177" i="5" s="1"/>
  <c r="H179" i="5" s="1"/>
  <c r="H181" i="5" s="1"/>
  <c r="H183" i="5" s="1"/>
  <c r="H185" i="5" s="1"/>
  <c r="H204" i="5"/>
  <c r="H206" i="5" s="1"/>
  <c r="H208" i="5" s="1"/>
  <c r="H210" i="5" s="1"/>
  <c r="H212" i="5" s="1"/>
  <c r="H214" i="5" s="1"/>
  <c r="H216" i="5" s="1"/>
  <c r="H218" i="5" s="1"/>
  <c r="H220" i="5" s="1"/>
  <c r="H222" i="5" s="1"/>
  <c r="H224" i="5" s="1"/>
  <c r="H226" i="5" s="1"/>
  <c r="H147" i="5"/>
  <c r="H149" i="5" s="1"/>
  <c r="H151" i="5" s="1"/>
  <c r="H153" i="5" s="1"/>
  <c r="H155" i="5" s="1"/>
  <c r="H157" i="5" s="1"/>
  <c r="H159" i="5" s="1"/>
  <c r="H161" i="5" s="1"/>
  <c r="H163" i="5" s="1"/>
  <c r="H165" i="5" s="1"/>
  <c r="H167" i="5" s="1"/>
  <c r="H169" i="5" s="1"/>
  <c r="I174" i="5"/>
  <c r="I176" i="5" s="1"/>
  <c r="I178" i="5" s="1"/>
  <c r="I180" i="5" s="1"/>
  <c r="I182" i="5" s="1"/>
  <c r="I184" i="5" s="1"/>
  <c r="I186" i="5" s="1"/>
  <c r="I188" i="5" s="1"/>
  <c r="I190" i="5" s="1"/>
  <c r="I192" i="5" s="1"/>
  <c r="I194" i="5" s="1"/>
  <c r="I196" i="5" s="1"/>
  <c r="I147" i="5"/>
  <c r="I149" i="5" s="1"/>
  <c r="I151" i="5" s="1"/>
  <c r="I153" i="5" s="1"/>
  <c r="I155" i="5" s="1"/>
  <c r="I157" i="5" s="1"/>
  <c r="I159" i="5" s="1"/>
  <c r="I161" i="5" s="1"/>
  <c r="I163" i="5" s="1"/>
  <c r="I165" i="5" s="1"/>
  <c r="I167" i="5" s="1"/>
  <c r="I169" i="5" s="1"/>
  <c r="I203" i="5"/>
  <c r="I205" i="5" s="1"/>
  <c r="I207" i="5" s="1"/>
  <c r="I209" i="5" s="1"/>
  <c r="I211" i="5" s="1"/>
  <c r="I213" i="5" s="1"/>
  <c r="I215" i="5" s="1"/>
  <c r="I217" i="5" s="1"/>
  <c r="I219" i="5" s="1"/>
  <c r="I221" i="5" s="1"/>
  <c r="I223" i="5" s="1"/>
  <c r="I225" i="5" s="1"/>
  <c r="I175" i="5"/>
  <c r="I177" i="5" s="1"/>
  <c r="I179" i="5" s="1"/>
  <c r="I181" i="5" s="1"/>
  <c r="I183" i="5" s="1"/>
  <c r="I185" i="5" s="1"/>
  <c r="I187" i="5" s="1"/>
  <c r="I189" i="5" s="1"/>
  <c r="I191" i="5" s="1"/>
  <c r="I193" i="5" s="1"/>
  <c r="I195" i="5" s="1"/>
  <c r="I197" i="5" s="1"/>
  <c r="I204" i="5"/>
  <c r="I206" i="5" s="1"/>
  <c r="I208" i="5" s="1"/>
  <c r="I210" i="5" s="1"/>
  <c r="I212" i="5" s="1"/>
  <c r="I214" i="5" s="1"/>
  <c r="I216" i="5" s="1"/>
  <c r="I218" i="5" s="1"/>
  <c r="I220" i="5" s="1"/>
  <c r="I222" i="5" s="1"/>
  <c r="I224" i="5" s="1"/>
  <c r="I226" i="5" s="1"/>
  <c r="I146" i="5"/>
  <c r="I148" i="5" s="1"/>
  <c r="I150" i="5" s="1"/>
  <c r="I152" i="5" s="1"/>
  <c r="I154" i="5" s="1"/>
  <c r="I156" i="5" s="1"/>
  <c r="I158" i="5" s="1"/>
  <c r="I160" i="5" s="1"/>
  <c r="I162" i="5" s="1"/>
  <c r="I164" i="5" s="1"/>
  <c r="I166" i="5" s="1"/>
  <c r="I168" i="5" s="1"/>
  <c r="L146" i="5"/>
  <c r="L148" i="5" s="1"/>
  <c r="L150" i="5" s="1"/>
  <c r="L152" i="5" s="1"/>
  <c r="L154" i="5" s="1"/>
  <c r="L156" i="5" s="1"/>
  <c r="L158" i="5" s="1"/>
  <c r="L160" i="5" s="1"/>
  <c r="L162" i="5" s="1"/>
  <c r="L164" i="5" s="1"/>
  <c r="L166" i="5" s="1"/>
  <c r="L168" i="5" s="1"/>
  <c r="L204" i="5"/>
  <c r="L206" i="5" s="1"/>
  <c r="L208" i="5" s="1"/>
  <c r="L210" i="5" s="1"/>
  <c r="L212" i="5" s="1"/>
  <c r="L214" i="5" s="1"/>
  <c r="L216" i="5" s="1"/>
  <c r="L218" i="5" s="1"/>
  <c r="L220" i="5" s="1"/>
  <c r="L222" i="5" s="1"/>
  <c r="L224" i="5" s="1"/>
  <c r="L226" i="5" s="1"/>
  <c r="L174" i="5"/>
  <c r="L176" i="5" s="1"/>
  <c r="L178" i="5" s="1"/>
  <c r="L180" i="5" s="1"/>
  <c r="L182" i="5" s="1"/>
  <c r="L184" i="5" s="1"/>
  <c r="L186" i="5" s="1"/>
  <c r="L188" i="5" s="1"/>
  <c r="L190" i="5" s="1"/>
  <c r="L192" i="5" s="1"/>
  <c r="L194" i="5" s="1"/>
  <c r="L196" i="5" s="1"/>
  <c r="L175" i="5"/>
  <c r="L177" i="5" s="1"/>
  <c r="L179" i="5" s="1"/>
  <c r="L181" i="5" s="1"/>
  <c r="L183" i="5" s="1"/>
  <c r="L185" i="5" s="1"/>
  <c r="L187" i="5" s="1"/>
  <c r="L189" i="5" s="1"/>
  <c r="L191" i="5" s="1"/>
  <c r="L193" i="5" s="1"/>
  <c r="L195" i="5" s="1"/>
  <c r="L197" i="5" s="1"/>
  <c r="L147" i="5"/>
  <c r="L149" i="5" s="1"/>
  <c r="L151" i="5" s="1"/>
  <c r="L153" i="5" s="1"/>
  <c r="L155" i="5" s="1"/>
  <c r="L157" i="5" s="1"/>
  <c r="L159" i="5" s="1"/>
  <c r="L161" i="5" s="1"/>
  <c r="L163" i="5" s="1"/>
  <c r="L165" i="5" s="1"/>
  <c r="L167" i="5" s="1"/>
  <c r="L169" i="5" s="1"/>
  <c r="L203" i="5"/>
  <c r="L205" i="5" s="1"/>
  <c r="L207" i="5" s="1"/>
  <c r="L209" i="5" s="1"/>
  <c r="L211" i="5" s="1"/>
  <c r="L213" i="5" s="1"/>
  <c r="L215" i="5" s="1"/>
  <c r="L217" i="5" s="1"/>
  <c r="L219" i="5" s="1"/>
  <c r="L221" i="5" s="1"/>
  <c r="L223" i="5" s="1"/>
  <c r="L225" i="5" s="1"/>
  <c r="O174" i="5"/>
  <c r="O176" i="5" s="1"/>
  <c r="O178" i="5" s="1"/>
  <c r="O180" i="5" s="1"/>
  <c r="O182" i="5" s="1"/>
  <c r="O184" i="5" s="1"/>
  <c r="O186" i="5" s="1"/>
  <c r="O188" i="5" s="1"/>
  <c r="O190" i="5" s="1"/>
  <c r="O192" i="5" s="1"/>
  <c r="O194" i="5" s="1"/>
  <c r="O196" i="5" s="1"/>
  <c r="O204" i="5"/>
  <c r="O206" i="5" s="1"/>
  <c r="O208" i="5" s="1"/>
  <c r="O210" i="5" s="1"/>
  <c r="O212" i="5" s="1"/>
  <c r="O214" i="5" s="1"/>
  <c r="O146" i="5"/>
  <c r="O148" i="5" s="1"/>
  <c r="O150" i="5" s="1"/>
  <c r="O152" i="5" s="1"/>
  <c r="O154" i="5" s="1"/>
  <c r="O156" i="5" s="1"/>
  <c r="O158" i="5" s="1"/>
  <c r="O160" i="5" s="1"/>
  <c r="O162" i="5" s="1"/>
  <c r="O164" i="5" s="1"/>
  <c r="O175" i="5"/>
  <c r="O177" i="5" s="1"/>
  <c r="O179" i="5" s="1"/>
  <c r="O181" i="5" s="1"/>
  <c r="O183" i="5" s="1"/>
  <c r="O185" i="5" s="1"/>
  <c r="O147" i="5"/>
  <c r="O149" i="5" s="1"/>
  <c r="O151" i="5" s="1"/>
  <c r="O153" i="5" s="1"/>
  <c r="O155" i="5" s="1"/>
  <c r="O157" i="5" s="1"/>
  <c r="O203" i="5"/>
  <c r="O205" i="5" s="1"/>
  <c r="O207" i="5" s="1"/>
  <c r="O209" i="5" s="1"/>
  <c r="O211" i="5" s="1"/>
  <c r="O213" i="5" s="1"/>
  <c r="O215" i="5" s="1"/>
  <c r="O217" i="5" s="1"/>
  <c r="O219" i="5" s="1"/>
  <c r="O221" i="5" s="1"/>
  <c r="O223" i="5" s="1"/>
  <c r="O225" i="5" s="1"/>
  <c r="V147" i="5"/>
  <c r="V149" i="5" s="1"/>
  <c r="V151" i="5" s="1"/>
  <c r="V153" i="5" s="1"/>
  <c r="V155" i="5" s="1"/>
  <c r="V157" i="5" s="1"/>
  <c r="V204" i="5"/>
  <c r="V206" i="5" s="1"/>
  <c r="V208" i="5" s="1"/>
  <c r="V210" i="5" s="1"/>
  <c r="V212" i="5" s="1"/>
  <c r="V214" i="5" s="1"/>
  <c r="V203" i="5"/>
  <c r="V205" i="5" s="1"/>
  <c r="V207" i="5" s="1"/>
  <c r="V209" i="5" s="1"/>
  <c r="V211" i="5" s="1"/>
  <c r="V213" i="5" s="1"/>
  <c r="V215" i="5" s="1"/>
  <c r="V217" i="5" s="1"/>
  <c r="V219" i="5" s="1"/>
  <c r="V221" i="5" s="1"/>
  <c r="V223" i="5" s="1"/>
  <c r="V225" i="5" s="1"/>
  <c r="V174" i="5"/>
  <c r="V176" i="5" s="1"/>
  <c r="V178" i="5" s="1"/>
  <c r="V180" i="5" s="1"/>
  <c r="V182" i="5" s="1"/>
  <c r="V184" i="5" s="1"/>
  <c r="V186" i="5" s="1"/>
  <c r="V188" i="5" s="1"/>
  <c r="V190" i="5" s="1"/>
  <c r="V192" i="5" s="1"/>
  <c r="V194" i="5" s="1"/>
  <c r="V196" i="5" s="1"/>
  <c r="V231" i="5"/>
  <c r="V232" i="5" s="1"/>
  <c r="V233" i="5" s="1"/>
  <c r="V234" i="5" s="1"/>
  <c r="V235" i="5" s="1"/>
  <c r="V236" i="5" s="1"/>
  <c r="V237" i="5" s="1"/>
  <c r="V238" i="5" s="1"/>
  <c r="V239" i="5" s="1"/>
  <c r="V240" i="5" s="1"/>
  <c r="V241" i="5" s="1"/>
  <c r="V242" i="5" s="1"/>
  <c r="V243" i="5" s="1"/>
  <c r="V175" i="5"/>
  <c r="V177" i="5" s="1"/>
  <c r="V179" i="5" s="1"/>
  <c r="V181" i="5" s="1"/>
  <c r="V183" i="5" s="1"/>
  <c r="V185" i="5" s="1"/>
  <c r="V187" i="5" s="1"/>
  <c r="V189" i="5" s="1"/>
  <c r="V191" i="5" s="1"/>
  <c r="V193" i="5" s="1"/>
  <c r="V195" i="5" s="1"/>
  <c r="V197" i="5" s="1"/>
  <c r="V146" i="5"/>
  <c r="V148" i="5" s="1"/>
  <c r="V150" i="5" s="1"/>
  <c r="V152" i="5" s="1"/>
  <c r="V154" i="5" s="1"/>
  <c r="V156" i="5" s="1"/>
  <c r="V158" i="5" s="1"/>
  <c r="V160" i="5" s="1"/>
  <c r="V162" i="5" s="1"/>
  <c r="V164" i="5" s="1"/>
  <c r="V166" i="5" s="1"/>
  <c r="V168" i="5" s="1"/>
  <c r="T204" i="5"/>
  <c r="T206" i="5" s="1"/>
  <c r="T208" i="5" s="1"/>
  <c r="T210" i="5" s="1"/>
  <c r="T212" i="5" s="1"/>
  <c r="T214" i="5" s="1"/>
  <c r="T216" i="5" s="1"/>
  <c r="T218" i="5" s="1"/>
  <c r="T220" i="5" s="1"/>
  <c r="T222" i="5" s="1"/>
  <c r="T224" i="5" s="1"/>
  <c r="T226" i="5" s="1"/>
  <c r="T175" i="5"/>
  <c r="T177" i="5" s="1"/>
  <c r="T179" i="5" s="1"/>
  <c r="T181" i="5" s="1"/>
  <c r="T183" i="5" s="1"/>
  <c r="T185" i="5" s="1"/>
  <c r="T203" i="5"/>
  <c r="T205" i="5" s="1"/>
  <c r="T207" i="5" s="1"/>
  <c r="T209" i="5" s="1"/>
  <c r="T211" i="5" s="1"/>
  <c r="T213" i="5" s="1"/>
  <c r="T215" i="5" s="1"/>
  <c r="T217" i="5" s="1"/>
  <c r="T219" i="5" s="1"/>
  <c r="T221" i="5" s="1"/>
  <c r="T223" i="5" s="1"/>
  <c r="T225" i="5" s="1"/>
  <c r="T231" i="5"/>
  <c r="T232" i="5" s="1"/>
  <c r="T233" i="5" s="1"/>
  <c r="T234" i="5" s="1"/>
  <c r="T235" i="5" s="1"/>
  <c r="T236" i="5" s="1"/>
  <c r="T237" i="5" s="1"/>
  <c r="T238" i="5" s="1"/>
  <c r="T239" i="5" s="1"/>
  <c r="T240" i="5" s="1"/>
  <c r="T241" i="5" s="1"/>
  <c r="T242" i="5" s="1"/>
  <c r="T243" i="5" s="1"/>
  <c r="T174" i="5"/>
  <c r="T176" i="5" s="1"/>
  <c r="T178" i="5" s="1"/>
  <c r="T180" i="5" s="1"/>
  <c r="T182" i="5" s="1"/>
  <c r="T184" i="5" s="1"/>
  <c r="T186" i="5" s="1"/>
  <c r="T188" i="5" s="1"/>
  <c r="T190" i="5" s="1"/>
  <c r="T192" i="5" s="1"/>
  <c r="T194" i="5" s="1"/>
  <c r="T196" i="5" s="1"/>
  <c r="T147" i="5"/>
  <c r="T149" i="5" s="1"/>
  <c r="T151" i="5" s="1"/>
  <c r="T153" i="5" s="1"/>
  <c r="T155" i="5" s="1"/>
  <c r="T157" i="5" s="1"/>
  <c r="T159" i="5" s="1"/>
  <c r="T161" i="5" s="1"/>
  <c r="T163" i="5" s="1"/>
  <c r="T165" i="5" s="1"/>
  <c r="T167" i="5" s="1"/>
  <c r="T169" i="5" s="1"/>
  <c r="T146" i="5"/>
  <c r="T148" i="5" s="1"/>
  <c r="T150" i="5" s="1"/>
  <c r="T152" i="5" s="1"/>
  <c r="T154" i="5" s="1"/>
  <c r="T156" i="5" s="1"/>
  <c r="T158" i="5" s="1"/>
  <c r="T160" i="5" s="1"/>
  <c r="T162" i="5" s="1"/>
  <c r="T164" i="5" s="1"/>
  <c r="T166" i="5" s="1"/>
  <c r="T168" i="5" s="1"/>
  <c r="K203" i="5"/>
  <c r="K205" i="5" s="1"/>
  <c r="K207" i="5" s="1"/>
  <c r="K209" i="5" s="1"/>
  <c r="K211" i="5" s="1"/>
  <c r="K213" i="5" s="1"/>
  <c r="K215" i="5" s="1"/>
  <c r="K217" i="5" s="1"/>
  <c r="K219" i="5" s="1"/>
  <c r="K221" i="5" s="1"/>
  <c r="K223" i="5" s="1"/>
  <c r="K225" i="5" s="1"/>
  <c r="K146" i="5"/>
  <c r="K148" i="5" s="1"/>
  <c r="K150" i="5" s="1"/>
  <c r="K152" i="5" s="1"/>
  <c r="K154" i="5" s="1"/>
  <c r="K156" i="5" s="1"/>
  <c r="K158" i="5" s="1"/>
  <c r="K160" i="5" s="1"/>
  <c r="K162" i="5" s="1"/>
  <c r="K164" i="5" s="1"/>
  <c r="K166" i="5" s="1"/>
  <c r="K168" i="5" s="1"/>
  <c r="K204" i="5"/>
  <c r="K206" i="5" s="1"/>
  <c r="K208" i="5" s="1"/>
  <c r="K210" i="5" s="1"/>
  <c r="K212" i="5" s="1"/>
  <c r="K214" i="5" s="1"/>
  <c r="K174" i="5"/>
  <c r="K176" i="5" s="1"/>
  <c r="K178" i="5" s="1"/>
  <c r="K180" i="5" s="1"/>
  <c r="K182" i="5" s="1"/>
  <c r="K184" i="5" s="1"/>
  <c r="K186" i="5" s="1"/>
  <c r="K188" i="5" s="1"/>
  <c r="K190" i="5" s="1"/>
  <c r="K192" i="5" s="1"/>
  <c r="K194" i="5" s="1"/>
  <c r="K196" i="5" s="1"/>
  <c r="K147" i="5"/>
  <c r="K149" i="5" s="1"/>
  <c r="K151" i="5" s="1"/>
  <c r="K153" i="5" s="1"/>
  <c r="K155" i="5" s="1"/>
  <c r="K157" i="5" s="1"/>
  <c r="K159" i="5" s="1"/>
  <c r="K161" i="5" s="1"/>
  <c r="K163" i="5" s="1"/>
  <c r="K165" i="5" s="1"/>
  <c r="K167" i="5" s="1"/>
  <c r="K169" i="5" s="1"/>
  <c r="K175" i="5"/>
  <c r="K177" i="5" s="1"/>
  <c r="K179" i="5" s="1"/>
  <c r="K181" i="5" s="1"/>
  <c r="K183" i="5" s="1"/>
  <c r="K185" i="5" s="1"/>
  <c r="K232" i="5"/>
  <c r="K233" i="5" s="1"/>
  <c r="K234" i="5" s="1"/>
  <c r="K235" i="5" s="1"/>
  <c r="K236" i="5" s="1"/>
  <c r="K237" i="5" s="1"/>
  <c r="K238" i="5" s="1"/>
  <c r="K239" i="5" s="1"/>
  <c r="K240" i="5" s="1"/>
  <c r="K241" i="5" s="1"/>
  <c r="K242" i="5" s="1"/>
  <c r="K243" i="5" s="1"/>
  <c r="K244" i="5" s="1"/>
  <c r="K245" i="5" s="1"/>
  <c r="K246" i="5" s="1"/>
  <c r="K247" i="5" s="1"/>
  <c r="K248" i="5" s="1"/>
  <c r="K249" i="5" s="1"/>
  <c r="K250" i="5" s="1"/>
  <c r="K251" i="5" s="1"/>
  <c r="K252" i="5" s="1"/>
  <c r="K253" i="5" s="1"/>
  <c r="K254" i="5" s="1"/>
  <c r="K255" i="5" s="1"/>
  <c r="K89" i="21"/>
  <c r="L89" i="21" s="1"/>
  <c r="N89" i="21" s="1"/>
  <c r="N174" i="5"/>
  <c r="N176" i="5" s="1"/>
  <c r="N178" i="5" s="1"/>
  <c r="N180" i="5" s="1"/>
  <c r="N182" i="5" s="1"/>
  <c r="N184" i="5" s="1"/>
  <c r="N186" i="5" s="1"/>
  <c r="N188" i="5" s="1"/>
  <c r="N190" i="5" s="1"/>
  <c r="N192" i="5" s="1"/>
  <c r="N194" i="5" s="1"/>
  <c r="N196" i="5" s="1"/>
  <c r="N204" i="5"/>
  <c r="N206" i="5" s="1"/>
  <c r="N208" i="5" s="1"/>
  <c r="N210" i="5" s="1"/>
  <c r="N212" i="5" s="1"/>
  <c r="N214" i="5" s="1"/>
  <c r="N147" i="5"/>
  <c r="N149" i="5" s="1"/>
  <c r="N151" i="5" s="1"/>
  <c r="N153" i="5" s="1"/>
  <c r="N155" i="5" s="1"/>
  <c r="N157" i="5" s="1"/>
  <c r="N231" i="5"/>
  <c r="N232" i="5" s="1"/>
  <c r="N233" i="5" s="1"/>
  <c r="N234" i="5" s="1"/>
  <c r="N235" i="5" s="1"/>
  <c r="N236" i="5" s="1"/>
  <c r="N237" i="5" s="1"/>
  <c r="N238" i="5" s="1"/>
  <c r="N239" i="5" s="1"/>
  <c r="N240" i="5" s="1"/>
  <c r="N241" i="5" s="1"/>
  <c r="N242" i="5" s="1"/>
  <c r="N243" i="5" s="1"/>
  <c r="N175" i="5"/>
  <c r="N177" i="5" s="1"/>
  <c r="N179" i="5" s="1"/>
  <c r="N181" i="5" s="1"/>
  <c r="N183" i="5" s="1"/>
  <c r="N185" i="5" s="1"/>
  <c r="N203" i="5"/>
  <c r="N205" i="5" s="1"/>
  <c r="N207" i="5" s="1"/>
  <c r="N209" i="5" s="1"/>
  <c r="N211" i="5" s="1"/>
  <c r="N213" i="5" s="1"/>
  <c r="N215" i="5" s="1"/>
  <c r="N217" i="5" s="1"/>
  <c r="N219" i="5" s="1"/>
  <c r="N221" i="5" s="1"/>
  <c r="N223" i="5" s="1"/>
  <c r="N225" i="5" s="1"/>
  <c r="N146" i="5"/>
  <c r="N148" i="5" s="1"/>
  <c r="N150" i="5" s="1"/>
  <c r="N152" i="5" s="1"/>
  <c r="N154" i="5" s="1"/>
  <c r="N156" i="5" s="1"/>
  <c r="N158" i="5" s="1"/>
  <c r="N160" i="5" s="1"/>
  <c r="N162" i="5" s="1"/>
  <c r="N164" i="5" s="1"/>
  <c r="N166" i="5" s="1"/>
  <c r="N168" i="5" s="1"/>
  <c r="O187" i="5"/>
  <c r="O189" i="5" s="1"/>
  <c r="O191" i="5" s="1"/>
  <c r="O193" i="5" s="1"/>
  <c r="O195" i="5" s="1"/>
  <c r="O197" i="5" s="1"/>
  <c r="O166" i="5"/>
  <c r="O168" i="5" s="1"/>
  <c r="O216" i="5"/>
  <c r="O218" i="5" s="1"/>
  <c r="O220" i="5" s="1"/>
  <c r="O222" i="5" s="1"/>
  <c r="O224" i="5" s="1"/>
  <c r="O226" i="5" s="1"/>
  <c r="V159" i="5"/>
  <c r="V161" i="5" s="1"/>
  <c r="V163" i="5" s="1"/>
  <c r="V165" i="5" s="1"/>
  <c r="V167" i="5" s="1"/>
  <c r="V169" i="5" s="1"/>
  <c r="K216" i="5"/>
  <c r="K218" i="5" s="1"/>
  <c r="K220" i="5" s="1"/>
  <c r="K222" i="5" s="1"/>
  <c r="K224" i="5" s="1"/>
  <c r="K226" i="5" s="1"/>
  <c r="O159" i="5"/>
  <c r="O161" i="5" s="1"/>
  <c r="O163" i="5" s="1"/>
  <c r="O165" i="5" s="1"/>
  <c r="O167" i="5" s="1"/>
  <c r="O169" i="5" s="1"/>
  <c r="W159" i="5"/>
  <c r="W161" i="5" s="1"/>
  <c r="W163" i="5" s="1"/>
  <c r="W165" i="5" s="1"/>
  <c r="W167" i="5" s="1"/>
  <c r="W169" i="5" s="1"/>
  <c r="V244" i="5"/>
  <c r="V245" i="5" s="1"/>
  <c r="V246" i="5" s="1"/>
  <c r="V247" i="5" s="1"/>
  <c r="V248" i="5" s="1"/>
  <c r="V249" i="5" s="1"/>
  <c r="V250" i="5" s="1"/>
  <c r="V251" i="5" s="1"/>
  <c r="V252" i="5" s="1"/>
  <c r="V253" i="5" s="1"/>
  <c r="V254" i="5" s="1"/>
  <c r="V255" i="5" s="1"/>
  <c r="K187" i="5"/>
  <c r="K189" i="5" s="1"/>
  <c r="K191" i="5" s="1"/>
  <c r="K193" i="5" s="1"/>
  <c r="K195" i="5" s="1"/>
  <c r="K197" i="5" s="1"/>
  <c r="F187" i="5"/>
  <c r="F189" i="5" s="1"/>
  <c r="F191" i="5" s="1"/>
  <c r="F193" i="5" s="1"/>
  <c r="F195" i="5" s="1"/>
  <c r="F197" i="5" s="1"/>
  <c r="V216" i="5"/>
  <c r="V218" i="5" s="1"/>
  <c r="V220" i="5" s="1"/>
  <c r="V222" i="5" s="1"/>
  <c r="V224" i="5" s="1"/>
  <c r="V226" i="5" s="1"/>
  <c r="T187" i="5"/>
  <c r="T189" i="5" s="1"/>
  <c r="T191" i="5" s="1"/>
  <c r="T193" i="5" s="1"/>
  <c r="T195" i="5" s="1"/>
  <c r="T197" i="5" s="1"/>
  <c r="P244" i="5"/>
  <c r="P245" i="5" s="1"/>
  <c r="P246" i="5" s="1"/>
  <c r="P247" i="5" s="1"/>
  <c r="P248" i="5" s="1"/>
  <c r="P249" i="5" s="1"/>
  <c r="P250" i="5" s="1"/>
  <c r="P251" i="5" s="1"/>
  <c r="P252" i="5" s="1"/>
  <c r="P253" i="5" s="1"/>
  <c r="P254" i="5" s="1"/>
  <c r="P255" i="5" s="1"/>
  <c r="T244" i="5"/>
  <c r="T245" i="5" s="1"/>
  <c r="T246" i="5" s="1"/>
  <c r="T247" i="5" s="1"/>
  <c r="T248" i="5" s="1"/>
  <c r="T249" i="5" s="1"/>
  <c r="T250" i="5" s="1"/>
  <c r="T251" i="5" s="1"/>
  <c r="T252" i="5" s="1"/>
  <c r="T253" i="5" s="1"/>
  <c r="T254" i="5" s="1"/>
  <c r="T255" i="5" s="1"/>
  <c r="F216" i="5"/>
  <c r="F218" i="5" s="1"/>
  <c r="F220" i="5" s="1"/>
  <c r="F222" i="5" s="1"/>
  <c r="F224" i="5" s="1"/>
  <c r="F226" i="5" s="1"/>
  <c r="E159" i="5"/>
  <c r="E161" i="5" s="1"/>
  <c r="E163" i="5" s="1"/>
  <c r="E165" i="5" s="1"/>
  <c r="E167" i="5" s="1"/>
  <c r="E169" i="5" s="1"/>
  <c r="W244" i="5"/>
  <c r="W245" i="5" s="1"/>
  <c r="W246" i="5" s="1"/>
  <c r="W247" i="5" s="1"/>
  <c r="W248" i="5" s="1"/>
  <c r="W249" i="5" s="1"/>
  <c r="W250" i="5" s="1"/>
  <c r="W251" i="5" s="1"/>
  <c r="W252" i="5" s="1"/>
  <c r="W253" i="5" s="1"/>
  <c r="W254" i="5" s="1"/>
  <c r="W255" i="5" s="1"/>
  <c r="W187" i="5"/>
  <c r="W189" i="5" s="1"/>
  <c r="W191" i="5" s="1"/>
  <c r="W193" i="5" s="1"/>
  <c r="W195" i="5" s="1"/>
  <c r="W197" i="5" s="1"/>
  <c r="U159" i="5"/>
  <c r="U161" i="5" s="1"/>
  <c r="U163" i="5" s="1"/>
  <c r="U165" i="5" s="1"/>
  <c r="U167" i="5" s="1"/>
  <c r="U169" i="5" s="1"/>
  <c r="H187" i="5"/>
  <c r="H189" i="5" s="1"/>
  <c r="H191" i="5" s="1"/>
  <c r="H193" i="5" s="1"/>
  <c r="H195" i="5" s="1"/>
  <c r="H197" i="5" s="1"/>
  <c r="R151" i="5"/>
  <c r="R153" i="5" s="1"/>
  <c r="R155" i="5" s="1"/>
  <c r="R157" i="5" s="1"/>
  <c r="E187" i="5"/>
  <c r="E189" i="5" s="1"/>
  <c r="E191" i="5" s="1"/>
  <c r="E193" i="5" s="1"/>
  <c r="E195" i="5" s="1"/>
  <c r="E197" i="5" s="1"/>
  <c r="N291" i="5"/>
  <c r="W319" i="5"/>
  <c r="K319" i="5"/>
  <c r="M289" i="5"/>
  <c r="N292" i="5"/>
  <c r="T42" i="22" a="1"/>
  <c r="R42" i="22" a="1"/>
  <c r="P319" i="5"/>
  <c r="J90" i="21" a="1"/>
  <c r="G90" i="21" a="1"/>
  <c r="K266" i="5"/>
  <c r="K293" i="5"/>
  <c r="T319" i="5"/>
  <c r="S42" i="22" a="1"/>
  <c r="K292" i="5"/>
  <c r="K265" i="5"/>
  <c r="N293" i="5"/>
  <c r="K290" i="5"/>
  <c r="K263" i="5"/>
  <c r="K264" i="5"/>
  <c r="K291" i="5"/>
  <c r="V319" i="5"/>
  <c r="N290" i="5"/>
  <c r="M290" i="5" l="1"/>
  <c r="M158" i="5"/>
  <c r="M160" i="5" s="1"/>
  <c r="M162" i="5" s="1"/>
  <c r="M164" i="5" s="1"/>
  <c r="M166" i="5" s="1"/>
  <c r="M168" i="5" s="1"/>
  <c r="C298" i="5"/>
  <c r="C300" i="5"/>
  <c r="M292" i="5"/>
  <c r="M215" i="5"/>
  <c r="M217" i="5" s="1"/>
  <c r="M219" i="5" s="1"/>
  <c r="M221" i="5" s="1"/>
  <c r="M223" i="5" s="1"/>
  <c r="M225" i="5" s="1"/>
  <c r="M291" i="5"/>
  <c r="M186" i="5"/>
  <c r="M188" i="5" s="1"/>
  <c r="M190" i="5" s="1"/>
  <c r="M192" i="5" s="1"/>
  <c r="M194" i="5" s="1"/>
  <c r="M196" i="5" s="1"/>
  <c r="R290" i="5"/>
  <c r="R158" i="5"/>
  <c r="R160" i="5" s="1"/>
  <c r="R162" i="5" s="1"/>
  <c r="R164" i="5" s="1"/>
  <c r="R166" i="5" s="1"/>
  <c r="R168" i="5" s="1"/>
  <c r="E293" i="5"/>
  <c r="E266" i="5"/>
  <c r="F266" i="5"/>
  <c r="F293" i="5"/>
  <c r="J263" i="5"/>
  <c r="J290" i="5"/>
  <c r="J266" i="5"/>
  <c r="J293" i="5"/>
  <c r="J291" i="5"/>
  <c r="J264" i="5"/>
  <c r="J265" i="5"/>
  <c r="J292" i="5"/>
  <c r="I266" i="5"/>
  <c r="I293" i="5"/>
  <c r="L293" i="5"/>
  <c r="L266" i="5"/>
  <c r="O266" i="5"/>
  <c r="O293" i="5"/>
  <c r="H293" i="5"/>
  <c r="H266" i="5"/>
  <c r="F265" i="5"/>
  <c r="F292" i="5"/>
  <c r="F290" i="5"/>
  <c r="F263" i="5"/>
  <c r="F264" i="5"/>
  <c r="F291" i="5"/>
  <c r="E291" i="5"/>
  <c r="E264" i="5"/>
  <c r="E292" i="5"/>
  <c r="E265" i="5"/>
  <c r="E263" i="5"/>
  <c r="E290" i="5"/>
  <c r="U293" i="5"/>
  <c r="U266" i="5"/>
  <c r="U291" i="5"/>
  <c r="U264" i="5"/>
  <c r="U265" i="5"/>
  <c r="U292" i="5"/>
  <c r="U263" i="5"/>
  <c r="U290" i="5"/>
  <c r="W293" i="5"/>
  <c r="W266" i="5"/>
  <c r="W264" i="5"/>
  <c r="W291" i="5"/>
  <c r="W292" i="5"/>
  <c r="W265" i="5"/>
  <c r="W263" i="5"/>
  <c r="W290" i="5"/>
  <c r="S291" i="5"/>
  <c r="S264" i="5"/>
  <c r="S263" i="5"/>
  <c r="S290" i="5"/>
  <c r="S293" i="5"/>
  <c r="S266" i="5"/>
  <c r="S292" i="5"/>
  <c r="S265" i="5"/>
  <c r="P292" i="5"/>
  <c r="P265" i="5"/>
  <c r="P290" i="5"/>
  <c r="P263" i="5"/>
  <c r="P266" i="5"/>
  <c r="P293" i="5"/>
  <c r="P264" i="5"/>
  <c r="P291" i="5"/>
  <c r="C266" i="5"/>
  <c r="C293" i="5"/>
  <c r="C263" i="5"/>
  <c r="C290" i="5"/>
  <c r="C292" i="5"/>
  <c r="C265" i="5"/>
  <c r="C264" i="5"/>
  <c r="C291" i="5"/>
  <c r="C297" i="5" s="1"/>
  <c r="Q293" i="5"/>
  <c r="Q266" i="5"/>
  <c r="Q263" i="5"/>
  <c r="Q290" i="5"/>
  <c r="Q264" i="5"/>
  <c r="Q291" i="5"/>
  <c r="Q265" i="5"/>
  <c r="Q292" i="5"/>
  <c r="D266" i="5"/>
  <c r="D293" i="5"/>
  <c r="D265" i="5"/>
  <c r="D292" i="5"/>
  <c r="D291" i="5"/>
  <c r="D264" i="5"/>
  <c r="D290" i="5"/>
  <c r="D263" i="5"/>
  <c r="G263" i="5"/>
  <c r="G290" i="5"/>
  <c r="G266" i="5"/>
  <c r="G293" i="5"/>
  <c r="G291" i="5"/>
  <c r="G264" i="5"/>
  <c r="G292" i="5"/>
  <c r="G265" i="5"/>
  <c r="H264" i="5"/>
  <c r="H291" i="5"/>
  <c r="H265" i="5"/>
  <c r="H292" i="5"/>
  <c r="H290" i="5"/>
  <c r="H263" i="5"/>
  <c r="I263" i="5"/>
  <c r="I290" i="5"/>
  <c r="I264" i="5"/>
  <c r="I291" i="5"/>
  <c r="I292" i="5"/>
  <c r="I265" i="5"/>
  <c r="L265" i="5"/>
  <c r="L292" i="5"/>
  <c r="L291" i="5"/>
  <c r="L264" i="5"/>
  <c r="L290" i="5"/>
  <c r="L263" i="5"/>
  <c r="O292" i="5"/>
  <c r="O265" i="5"/>
  <c r="O291" i="5"/>
  <c r="O264" i="5"/>
  <c r="O290" i="5"/>
  <c r="O263" i="5"/>
  <c r="V263" i="5"/>
  <c r="V290" i="5"/>
  <c r="V265" i="5"/>
  <c r="V292" i="5"/>
  <c r="V266" i="5"/>
  <c r="V293" i="5"/>
  <c r="V291" i="5"/>
  <c r="V264" i="5"/>
  <c r="T265" i="5"/>
  <c r="T292" i="5"/>
  <c r="T291" i="5"/>
  <c r="T264" i="5"/>
  <c r="T266" i="5"/>
  <c r="T293" i="5"/>
  <c r="T290" i="5"/>
  <c r="T263" i="5"/>
  <c r="C56" i="11"/>
  <c r="C272" i="5"/>
  <c r="C270" i="5"/>
  <c r="D56" i="11"/>
  <c r="P89" i="21"/>
  <c r="O89" i="21"/>
  <c r="E43" i="22" s="1"/>
  <c r="G43" i="22" s="1"/>
  <c r="J43" i="22" s="1"/>
  <c r="D43" i="22" s="1"/>
  <c r="F43" i="22" s="1"/>
  <c r="R244" i="5"/>
  <c r="R245" i="5" s="1"/>
  <c r="N159" i="5"/>
  <c r="R216" i="5"/>
  <c r="R159" i="5"/>
  <c r="N187" i="5"/>
  <c r="N216" i="5"/>
  <c r="M187" i="5"/>
  <c r="M216" i="5"/>
  <c r="M244" i="5"/>
  <c r="M245" i="5" s="1"/>
  <c r="M159" i="5"/>
  <c r="R187" i="5"/>
  <c r="N244" i="5"/>
  <c r="N245" i="5" s="1"/>
  <c r="P43" i="22" a="1"/>
  <c r="O43" i="22" a="1"/>
  <c r="Q43" i="22" a="1"/>
  <c r="L43" i="22" l="1" a="1"/>
  <c r="N43" i="22" a="1"/>
  <c r="C309" i="5"/>
  <c r="C16" i="21" s="1"/>
  <c r="C307" i="5"/>
  <c r="D65" i="11"/>
  <c r="C10" i="21" s="1"/>
  <c r="C308" i="5"/>
  <c r="C9" i="21" s="1"/>
  <c r="C304" i="5"/>
  <c r="D69" i="11" s="1"/>
  <c r="C15" i="21" s="1"/>
  <c r="C299" i="5"/>
  <c r="C295" i="5"/>
  <c r="C65" i="11"/>
  <c r="C281" i="5"/>
  <c r="C279" i="5"/>
  <c r="R246" i="5"/>
  <c r="R247" i="5" s="1"/>
  <c r="R248" i="5" s="1"/>
  <c r="R249" i="5" s="1"/>
  <c r="R250" i="5" s="1"/>
  <c r="R251" i="5" s="1"/>
  <c r="R252" i="5" s="1"/>
  <c r="R253" i="5" s="1"/>
  <c r="R254" i="5" s="1"/>
  <c r="R255" i="5" s="1"/>
  <c r="R319" i="5" s="1"/>
  <c r="R266" i="5"/>
  <c r="N161" i="5"/>
  <c r="N163" i="5" s="1"/>
  <c r="N165" i="5" s="1"/>
  <c r="N167" i="5" s="1"/>
  <c r="N169" i="5" s="1"/>
  <c r="N263" i="5"/>
  <c r="R218" i="5"/>
  <c r="R220" i="5" s="1"/>
  <c r="R222" i="5" s="1"/>
  <c r="R224" i="5" s="1"/>
  <c r="R226" i="5" s="1"/>
  <c r="R265" i="5"/>
  <c r="R161" i="5"/>
  <c r="R163" i="5" s="1"/>
  <c r="R165" i="5" s="1"/>
  <c r="R167" i="5" s="1"/>
  <c r="R169" i="5" s="1"/>
  <c r="R263" i="5"/>
  <c r="N189" i="5"/>
  <c r="N191" i="5" s="1"/>
  <c r="N193" i="5" s="1"/>
  <c r="N195" i="5" s="1"/>
  <c r="N197" i="5" s="1"/>
  <c r="N264" i="5"/>
  <c r="N218" i="5"/>
  <c r="N220" i="5" s="1"/>
  <c r="N222" i="5" s="1"/>
  <c r="N224" i="5" s="1"/>
  <c r="N226" i="5" s="1"/>
  <c r="N265" i="5"/>
  <c r="M189" i="5"/>
  <c r="M191" i="5" s="1"/>
  <c r="M193" i="5" s="1"/>
  <c r="M195" i="5" s="1"/>
  <c r="M197" i="5" s="1"/>
  <c r="M264" i="5"/>
  <c r="C269" i="5" s="1"/>
  <c r="M218" i="5"/>
  <c r="M220" i="5" s="1"/>
  <c r="M222" i="5" s="1"/>
  <c r="M224" i="5" s="1"/>
  <c r="M226" i="5" s="1"/>
  <c r="M265" i="5"/>
  <c r="M246" i="5"/>
  <c r="M247" i="5" s="1"/>
  <c r="M248" i="5" s="1"/>
  <c r="M249" i="5" s="1"/>
  <c r="M250" i="5" s="1"/>
  <c r="M251" i="5" s="1"/>
  <c r="M252" i="5" s="1"/>
  <c r="M253" i="5" s="1"/>
  <c r="M254" i="5" s="1"/>
  <c r="M255" i="5" s="1"/>
  <c r="M319" i="5" s="1"/>
  <c r="C314" i="5" s="1"/>
  <c r="M266" i="5"/>
  <c r="C280" i="5" s="1"/>
  <c r="C76" i="11" s="1"/>
  <c r="M161" i="5"/>
  <c r="M163" i="5" s="1"/>
  <c r="M165" i="5" s="1"/>
  <c r="M167" i="5" s="1"/>
  <c r="M169" i="5" s="1"/>
  <c r="M263" i="5"/>
  <c r="R189" i="5"/>
  <c r="R191" i="5" s="1"/>
  <c r="R193" i="5" s="1"/>
  <c r="R195" i="5" s="1"/>
  <c r="R197" i="5" s="1"/>
  <c r="R264" i="5"/>
  <c r="N246" i="5"/>
  <c r="N247" i="5" s="1"/>
  <c r="N248" i="5" s="1"/>
  <c r="N249" i="5" s="1"/>
  <c r="N250" i="5" s="1"/>
  <c r="N251" i="5" s="1"/>
  <c r="N252" i="5" s="1"/>
  <c r="N253" i="5" s="1"/>
  <c r="N254" i="5" s="1"/>
  <c r="N255" i="5" s="1"/>
  <c r="N319" i="5" s="1"/>
  <c r="N266" i="5"/>
  <c r="I43" i="22"/>
  <c r="C43" i="22" s="1"/>
  <c r="K90" i="21"/>
  <c r="L90" i="21" s="1"/>
  <c r="H43" i="22"/>
  <c r="B43" i="22" s="1"/>
  <c r="K43" i="22" a="1"/>
  <c r="D64" i="11" l="1"/>
  <c r="C13" i="21" s="1"/>
  <c r="N294" i="5"/>
  <c r="G294" i="5"/>
  <c r="J294" i="5"/>
  <c r="E294" i="5"/>
  <c r="R294" i="5"/>
  <c r="V294" i="5"/>
  <c r="U294" i="5"/>
  <c r="I294" i="5"/>
  <c r="C294" i="5"/>
  <c r="H294" i="5"/>
  <c r="L294" i="5"/>
  <c r="K294" i="5"/>
  <c r="M294" i="5"/>
  <c r="T294" i="5"/>
  <c r="F294" i="5"/>
  <c r="Q294" i="5"/>
  <c r="P294" i="5"/>
  <c r="W294" i="5"/>
  <c r="O294" i="5"/>
  <c r="S294" i="5"/>
  <c r="D294" i="5"/>
  <c r="V68" i="21"/>
  <c r="U70" i="21"/>
  <c r="V60" i="21"/>
  <c r="V65" i="21"/>
  <c r="V70" i="21"/>
  <c r="V62" i="21"/>
  <c r="V64" i="21"/>
  <c r="V59" i="21"/>
  <c r="V57" i="21"/>
  <c r="V66" i="21"/>
  <c r="V58" i="21"/>
  <c r="V63" i="21"/>
  <c r="V56" i="21"/>
  <c r="U56" i="21"/>
  <c r="U57" i="21"/>
  <c r="U58" i="21"/>
  <c r="U59" i="21"/>
  <c r="U60" i="21"/>
  <c r="U61" i="21"/>
  <c r="U62" i="21"/>
  <c r="U63" i="21"/>
  <c r="U64" i="21"/>
  <c r="U65" i="21"/>
  <c r="U66" i="21"/>
  <c r="U67" i="21"/>
  <c r="V61" i="21"/>
  <c r="V67" i="21"/>
  <c r="V69" i="21"/>
  <c r="V71" i="21"/>
  <c r="U68" i="21"/>
  <c r="U69" i="21"/>
  <c r="U71" i="21"/>
  <c r="C301" i="5"/>
  <c r="D62" i="11" s="1"/>
  <c r="C12" i="21" s="1"/>
  <c r="C302" i="5"/>
  <c r="D60" i="11"/>
  <c r="C6" i="22" s="1"/>
  <c r="C7" i="22" s="1"/>
  <c r="C7" i="21"/>
  <c r="D67" i="11"/>
  <c r="D68" i="11"/>
  <c r="C14" i="21" s="1"/>
  <c r="C296" i="5"/>
  <c r="D61" i="11" s="1"/>
  <c r="C303" i="5"/>
  <c r="C64" i="11"/>
  <c r="M267" i="5"/>
  <c r="J267" i="5"/>
  <c r="E267" i="5"/>
  <c r="I267" i="5"/>
  <c r="F267" i="5"/>
  <c r="N267" i="5"/>
  <c r="L267" i="5"/>
  <c r="P267" i="5"/>
  <c r="S267" i="5"/>
  <c r="H267" i="5"/>
  <c r="U267" i="5"/>
  <c r="Q267" i="5"/>
  <c r="T267" i="5"/>
  <c r="R267" i="5"/>
  <c r="W267" i="5"/>
  <c r="O267" i="5"/>
  <c r="D267" i="5"/>
  <c r="V267" i="5"/>
  <c r="C267" i="5"/>
  <c r="G267" i="5"/>
  <c r="K267" i="5"/>
  <c r="C268" i="5"/>
  <c r="C276" i="5"/>
  <c r="C69" i="11" s="1"/>
  <c r="C271" i="5"/>
  <c r="N90" i="21"/>
  <c r="P90" i="21"/>
  <c r="O90" i="21"/>
  <c r="H6" i="20"/>
  <c r="H12" i="20"/>
  <c r="J12" i="20" s="1"/>
  <c r="H7" i="20"/>
  <c r="J7" i="20" s="1"/>
  <c r="J91" i="21" a="1"/>
  <c r="R43" i="22" a="1"/>
  <c r="T43" i="22" a="1"/>
  <c r="G91" i="21" a="1"/>
  <c r="S43" i="22" a="1"/>
  <c r="C273" i="5" l="1"/>
  <c r="C62" i="11" s="1"/>
  <c r="C63" i="11" s="1"/>
  <c r="D71" i="11"/>
  <c r="C277" i="5"/>
  <c r="C278" i="5" s="1"/>
  <c r="C305" i="5"/>
  <c r="C306" i="5" s="1"/>
  <c r="D66" i="11"/>
  <c r="C8" i="21"/>
  <c r="B46" i="11"/>
  <c r="C17" i="21"/>
  <c r="C8" i="22"/>
  <c r="C274" i="5"/>
  <c r="C68" i="11"/>
  <c r="C67" i="11"/>
  <c r="C60" i="11"/>
  <c r="C66" i="11" s="1"/>
  <c r="C275" i="5"/>
  <c r="D63" i="11"/>
  <c r="C11" i="21" s="1"/>
  <c r="F44" i="22" s="1"/>
  <c r="G44" i="22" s="1"/>
  <c r="J44" i="22" s="1"/>
  <c r="D44" i="22" s="1"/>
  <c r="E44" i="22" s="1"/>
  <c r="J6" i="20"/>
  <c r="J3" i="20" s="1"/>
  <c r="H3" i="20"/>
  <c r="Q44" i="22" a="1"/>
  <c r="P44" i="22" a="1"/>
  <c r="O44" i="22" a="1"/>
  <c r="K91" i="21" l="1"/>
  <c r="L91" i="21" s="1"/>
  <c r="N44" i="22" a="1"/>
  <c r="L44" i="22" a="1"/>
  <c r="X56" i="21" a="1"/>
  <c r="X57" i="21" a="1"/>
  <c r="X58" i="21" a="1"/>
  <c r="X59" i="21" a="1"/>
  <c r="X60" i="21" a="1"/>
  <c r="X61" i="21" a="1"/>
  <c r="X62" i="21" a="1"/>
  <c r="X63" i="21" a="1"/>
  <c r="X70" i="21" a="1"/>
  <c r="X64" i="21" a="1"/>
  <c r="X65" i="21" a="1"/>
  <c r="X66" i="21" a="1"/>
  <c r="X67" i="21" a="1"/>
  <c r="X68" i="21" a="1"/>
  <c r="X69" i="21" a="1"/>
  <c r="X71" i="21" a="1"/>
  <c r="G81" i="21"/>
  <c r="S88" i="21"/>
  <c r="T88" i="21" s="1"/>
  <c r="B28" i="21"/>
  <c r="W66" i="21" a="1"/>
  <c r="Y66" i="21" s="1"/>
  <c r="W56" i="21" a="1"/>
  <c r="Y56" i="21" s="1"/>
  <c r="W69" i="21" a="1"/>
  <c r="Y69" i="21" s="1"/>
  <c r="W64" i="21" a="1"/>
  <c r="Y64" i="21" s="1"/>
  <c r="W65" i="21" a="1"/>
  <c r="Y65" i="21" s="1"/>
  <c r="W59" i="21" a="1"/>
  <c r="Y59" i="21" s="1"/>
  <c r="W61" i="21" a="1"/>
  <c r="Y61" i="21" s="1"/>
  <c r="W68" i="21" a="1"/>
  <c r="Y68" i="21" s="1"/>
  <c r="W70" i="21" a="1"/>
  <c r="Y70" i="21" s="1"/>
  <c r="W62" i="21" a="1"/>
  <c r="W67" i="21" a="1"/>
  <c r="Y67" i="21" s="1"/>
  <c r="W60" i="21" a="1"/>
  <c r="Y60" i="21" s="1"/>
  <c r="W63" i="21" a="1"/>
  <c r="Y63" i="21" s="1"/>
  <c r="W57" i="21" a="1"/>
  <c r="Y57" i="21" s="1"/>
  <c r="W71" i="21" a="1"/>
  <c r="Y71" i="21" s="1"/>
  <c r="W58" i="21" a="1"/>
  <c r="Y58" i="21" s="1"/>
  <c r="C71" i="11"/>
  <c r="I3" i="20"/>
  <c r="H81" i="20"/>
  <c r="H82" i="20" s="1"/>
  <c r="B47" i="11" s="1"/>
  <c r="B48" i="11" s="1"/>
  <c r="H44" i="22"/>
  <c r="B44" i="22" s="1"/>
  <c r="I44" i="22"/>
  <c r="C44" i="22" s="1"/>
  <c r="K44" i="22" a="1"/>
  <c r="P91" i="21" l="1"/>
  <c r="N91" i="21"/>
  <c r="O91" i="21"/>
  <c r="K137" i="22" a="1"/>
  <c r="R137" i="22" s="1" a="1"/>
  <c r="Y62" i="21"/>
  <c r="V88" i="21"/>
  <c r="X88" i="21"/>
  <c r="Q89" i="21" a="1"/>
  <c r="R89" i="21" a="1"/>
  <c r="B49" i="11"/>
  <c r="B45" i="11"/>
  <c r="I82" i="20"/>
  <c r="D70" i="11" s="1"/>
  <c r="B50" i="11" s="1"/>
  <c r="I81" i="20"/>
  <c r="S44" i="22" a="1"/>
  <c r="R44" i="22" a="1"/>
  <c r="T44" i="22" a="1"/>
  <c r="J92" i="21" l="1" a="1"/>
  <c r="G92" i="21" a="1"/>
  <c r="K92" i="21" s="1"/>
  <c r="L92" i="21" s="1"/>
  <c r="S137" i="22" a="1"/>
  <c r="F138" i="22" s="1"/>
  <c r="T137" i="22" a="1"/>
  <c r="G138" i="22" s="1"/>
  <c r="J138" i="22" s="1"/>
  <c r="D138" i="22" s="1"/>
  <c r="E138" i="22"/>
  <c r="S89" i="21"/>
  <c r="T89" i="21" s="1"/>
  <c r="E45" i="22" s="1"/>
  <c r="G45" i="22" s="1"/>
  <c r="J45" i="22" s="1"/>
  <c r="D45" i="22" s="1"/>
  <c r="F45" i="22" s="1"/>
  <c r="I45" i="22" s="1"/>
  <c r="C45" i="22" s="1"/>
  <c r="Q45" i="22" a="1"/>
  <c r="P45" i="22" a="1"/>
  <c r="O45" i="22" a="1"/>
  <c r="N138" i="22" l="1" a="1"/>
  <c r="L138" i="22" a="1"/>
  <c r="N45" i="22" a="1"/>
  <c r="L45" i="22" a="1"/>
  <c r="Q138" i="22" a="1"/>
  <c r="P138" i="22" a="1"/>
  <c r="O138" i="22" a="1"/>
  <c r="K138" i="22" a="1"/>
  <c r="H138" i="22"/>
  <c r="B138" i="22" s="1"/>
  <c r="I138" i="22"/>
  <c r="C138" i="22" s="1"/>
  <c r="V89" i="21"/>
  <c r="W89" i="21"/>
  <c r="X89" i="21"/>
  <c r="N92" i="21"/>
  <c r="P92" i="21"/>
  <c r="O92" i="21"/>
  <c r="H45" i="22"/>
  <c r="B45" i="22" s="1"/>
  <c r="K45" i="22" a="1"/>
  <c r="J93" i="21" a="1"/>
  <c r="G93" i="21" a="1"/>
  <c r="T138" i="22" l="1" a="1"/>
  <c r="G139" i="22" s="1"/>
  <c r="J139" i="22" s="1"/>
  <c r="D139" i="22" s="1"/>
  <c r="R138" i="22" a="1"/>
  <c r="E139" i="22" s="1"/>
  <c r="S138" i="22" a="1"/>
  <c r="F139" i="22" s="1"/>
  <c r="I139" i="22" s="1"/>
  <c r="C139" i="22" s="1"/>
  <c r="Q90" i="21" a="1"/>
  <c r="R90" i="21" a="1"/>
  <c r="T45" i="22" a="1"/>
  <c r="R45" i="22" a="1"/>
  <c r="S45" i="22" a="1"/>
  <c r="N139" i="22" l="1" a="1"/>
  <c r="L139" i="22" a="1"/>
  <c r="Q139" i="22" a="1"/>
  <c r="P139" i="22" a="1"/>
  <c r="O139" i="22" a="1"/>
  <c r="K139" i="22" a="1"/>
  <c r="H139" i="22"/>
  <c r="B139" i="22" s="1"/>
  <c r="S90" i="21"/>
  <c r="T90" i="21" s="1"/>
  <c r="E46" i="22" s="1"/>
  <c r="G46" i="22" s="1"/>
  <c r="J46" i="22" s="1"/>
  <c r="D46" i="22" s="1"/>
  <c r="F46" i="22" s="1"/>
  <c r="K93" i="21"/>
  <c r="L93" i="21" s="1"/>
  <c r="O46" i="22" a="1"/>
  <c r="P46" i="22" a="1"/>
  <c r="Q46" i="22" a="1"/>
  <c r="L46" i="22" l="1" a="1"/>
  <c r="N46" i="22" a="1"/>
  <c r="S139" i="22" a="1"/>
  <c r="F140" i="22" s="1"/>
  <c r="T139" i="22" a="1"/>
  <c r="G140" i="22" s="1"/>
  <c r="J140" i="22" s="1"/>
  <c r="D140" i="22" s="1"/>
  <c r="R139" i="22" a="1"/>
  <c r="E140" i="22" s="1"/>
  <c r="X90" i="21"/>
  <c r="V90" i="21"/>
  <c r="W90" i="21"/>
  <c r="Q91" i="21" a="1"/>
  <c r="R91" i="21" a="1"/>
  <c r="I46" i="22"/>
  <c r="C46" i="22" s="1"/>
  <c r="N93" i="21"/>
  <c r="P93" i="21"/>
  <c r="O93" i="21"/>
  <c r="H46" i="22"/>
  <c r="B46" i="22" s="1"/>
  <c r="G94" i="21" a="1"/>
  <c r="J94" i="21" a="1"/>
  <c r="K46" i="22" a="1"/>
  <c r="N140" i="22" l="1" a="1"/>
  <c r="L140" i="22" a="1"/>
  <c r="Q140" i="22" a="1"/>
  <c r="P140" i="22" a="1"/>
  <c r="O140" i="22" a="1"/>
  <c r="S91" i="21"/>
  <c r="T91" i="21" s="1"/>
  <c r="X91" i="21" s="1"/>
  <c r="I140" i="22"/>
  <c r="C140" i="22" s="1"/>
  <c r="K94" i="21" s="1"/>
  <c r="L94" i="21" s="1"/>
  <c r="H140" i="22"/>
  <c r="B140" i="22" s="1"/>
  <c r="R46" i="22" a="1"/>
  <c r="S46" i="22" a="1"/>
  <c r="K140" i="22" a="1"/>
  <c r="T46" i="22" a="1"/>
  <c r="V91" i="21" l="1"/>
  <c r="W91" i="21"/>
  <c r="G47" i="22" s="1"/>
  <c r="J47" i="22" s="1"/>
  <c r="D47" i="22" s="1"/>
  <c r="F47" i="22" s="1"/>
  <c r="E47" i="22" s="1"/>
  <c r="O94" i="21"/>
  <c r="N94" i="21"/>
  <c r="P94" i="21"/>
  <c r="Q47" i="22" a="1"/>
  <c r="P47" i="22" a="1"/>
  <c r="S140" i="22" a="1"/>
  <c r="T140" i="22" a="1"/>
  <c r="R140" i="22" a="1"/>
  <c r="G95" i="21" a="1"/>
  <c r="J95" i="21" a="1"/>
  <c r="O47" i="22" a="1"/>
  <c r="N47" i="22" l="1" a="1"/>
  <c r="L47" i="22" a="1"/>
  <c r="Q92" i="21" a="1"/>
  <c r="R92" i="21" a="1"/>
  <c r="E141" i="22" s="1"/>
  <c r="G141" i="22" s="1"/>
  <c r="J141" i="22" s="1"/>
  <c r="D141" i="22" s="1"/>
  <c r="F141" i="22" s="1"/>
  <c r="I141" i="22" s="1"/>
  <c r="C141" i="22" s="1"/>
  <c r="H47" i="22"/>
  <c r="B47" i="22" s="1"/>
  <c r="I47" i="22"/>
  <c r="C47" i="22" s="1"/>
  <c r="K47" i="22" a="1"/>
  <c r="N141" i="22" l="1" a="1"/>
  <c r="L141" i="22" a="1"/>
  <c r="K95" i="21"/>
  <c r="L95" i="21" s="1"/>
  <c r="Q141" i="22" a="1"/>
  <c r="P141" i="22" a="1"/>
  <c r="O141" i="22" a="1"/>
  <c r="S92" i="21"/>
  <c r="T92" i="21" s="1"/>
  <c r="H141" i="22"/>
  <c r="B141" i="22" s="1"/>
  <c r="T47" i="22" a="1"/>
  <c r="R47" i="22" a="1"/>
  <c r="K141" i="22" a="1"/>
  <c r="S47" i="22" a="1"/>
  <c r="O95" i="21" l="1"/>
  <c r="N95" i="21"/>
  <c r="P95" i="21"/>
  <c r="V92" i="21"/>
  <c r="X92" i="21"/>
  <c r="W92" i="21"/>
  <c r="Q93" i="21" a="1"/>
  <c r="R93" i="21" a="1"/>
  <c r="F48" i="22" s="1"/>
  <c r="E48" i="22" s="1"/>
  <c r="G48" i="22" s="1"/>
  <c r="J48" i="22" s="1"/>
  <c r="D48" i="22" s="1"/>
  <c r="P48" i="22" a="1"/>
  <c r="R141" i="22" a="1"/>
  <c r="T141" i="22" a="1"/>
  <c r="O48" i="22" a="1"/>
  <c r="S141" i="22" a="1"/>
  <c r="Q48" i="22" a="1"/>
  <c r="N48" i="22" l="1" a="1"/>
  <c r="L48" i="22" a="1"/>
  <c r="G96" i="21" a="1"/>
  <c r="J96" i="21" a="1"/>
  <c r="I48" i="22"/>
  <c r="C48" i="22" s="1"/>
  <c r="S93" i="21"/>
  <c r="T93" i="21" s="1"/>
  <c r="G142" i="22" s="1"/>
  <c r="J142" i="22" s="1"/>
  <c r="D142" i="22" s="1"/>
  <c r="E142" i="22" s="1"/>
  <c r="F142" i="22" s="1"/>
  <c r="H48" i="22"/>
  <c r="B48" i="22" s="1"/>
  <c r="K48" i="22" a="1"/>
  <c r="N142" i="22" l="1" a="1"/>
  <c r="L142" i="22" a="1"/>
  <c r="K96" i="21"/>
  <c r="L96" i="21" s="1"/>
  <c r="Q142" i="22" a="1"/>
  <c r="P142" i="22" a="1"/>
  <c r="O142" i="22" a="1"/>
  <c r="W93" i="21"/>
  <c r="X93" i="21"/>
  <c r="V93" i="21"/>
  <c r="I142" i="22"/>
  <c r="C142" i="22" s="1"/>
  <c r="H142" i="22"/>
  <c r="B142" i="22" s="1"/>
  <c r="R48" i="22" a="1"/>
  <c r="S48" i="22" a="1"/>
  <c r="K142" i="22" a="1"/>
  <c r="T48" i="22" a="1"/>
  <c r="P96" i="21" l="1"/>
  <c r="N96" i="21"/>
  <c r="O96" i="21"/>
  <c r="R94" i="21" a="1"/>
  <c r="Q94" i="21" a="1"/>
  <c r="F49" i="22" s="1"/>
  <c r="E49" i="22" s="1"/>
  <c r="G49" i="22" s="1"/>
  <c r="J49" i="22" s="1"/>
  <c r="D49" i="22" s="1"/>
  <c r="P49" i="22" a="1"/>
  <c r="O49" i="22" a="1"/>
  <c r="R142" i="22" a="1"/>
  <c r="T142" i="22" a="1"/>
  <c r="S142" i="22" a="1"/>
  <c r="Q49" i="22" a="1"/>
  <c r="J97" i="21" l="1" a="1"/>
  <c r="G97" i="21" a="1"/>
  <c r="N49" i="22" a="1"/>
  <c r="L49" i="22" a="1"/>
  <c r="S94" i="21"/>
  <c r="T94" i="21" s="1"/>
  <c r="F143" i="22" s="1"/>
  <c r="G143" i="22" s="1"/>
  <c r="J143" i="22" s="1"/>
  <c r="D143" i="22" s="1"/>
  <c r="E143" i="22" s="1"/>
  <c r="I49" i="22"/>
  <c r="C49" i="22" s="1"/>
  <c r="H49" i="22"/>
  <c r="B49" i="22" s="1"/>
  <c r="K49" i="22" a="1"/>
  <c r="K97" i="21" l="1"/>
  <c r="L97" i="21" s="1"/>
  <c r="N143" i="22" a="1"/>
  <c r="L143" i="22" a="1"/>
  <c r="Q143" i="22" a="1"/>
  <c r="P143" i="22" a="1"/>
  <c r="O143" i="22" a="1"/>
  <c r="X94" i="21"/>
  <c r="W94" i="21"/>
  <c r="V94" i="21"/>
  <c r="R95" i="21" a="1"/>
  <c r="Q95" i="21" a="1"/>
  <c r="S95" i="21" s="1"/>
  <c r="T95" i="21" s="1"/>
  <c r="H143" i="22"/>
  <c r="B143" i="22" s="1"/>
  <c r="I143" i="22"/>
  <c r="C143" i="22" s="1"/>
  <c r="K143" i="22" a="1"/>
  <c r="S49" i="22" a="1"/>
  <c r="T49" i="22" a="1"/>
  <c r="R49" i="22" a="1"/>
  <c r="P97" i="21" l="1"/>
  <c r="N97" i="21"/>
  <c r="O97" i="21"/>
  <c r="J98" i="21" a="1"/>
  <c r="G98" i="21" a="1"/>
  <c r="K98" i="21" s="1"/>
  <c r="L98" i="21" s="1"/>
  <c r="W95" i="21"/>
  <c r="V95" i="21"/>
  <c r="X95" i="21"/>
  <c r="E50" i="22" s="1"/>
  <c r="G50" i="22" s="1"/>
  <c r="J50" i="22" s="1"/>
  <c r="D50" i="22" s="1"/>
  <c r="F50" i="22" s="1"/>
  <c r="T143" i="22" a="1"/>
  <c r="Q50" i="22" a="1"/>
  <c r="R143" i="22" a="1"/>
  <c r="S143" i="22" a="1"/>
  <c r="O50" i="22" a="1"/>
  <c r="P50" i="22" a="1"/>
  <c r="N50" i="22" l="1" a="1"/>
  <c r="L50" i="22" a="1"/>
  <c r="R96" i="21" a="1"/>
  <c r="Q96" i="21" a="1"/>
  <c r="I50" i="22"/>
  <c r="C50" i="22" s="1"/>
  <c r="F144" i="22" s="1"/>
  <c r="E144" i="22" s="1"/>
  <c r="G144" i="22" s="1"/>
  <c r="J144" i="22" s="1"/>
  <c r="D144" i="22" s="1"/>
  <c r="N98" i="21"/>
  <c r="P98" i="21"/>
  <c r="O98" i="21"/>
  <c r="H50" i="22"/>
  <c r="B50" i="22" s="1"/>
  <c r="K50" i="22" a="1"/>
  <c r="J99" i="21" a="1"/>
  <c r="G99" i="21" a="1"/>
  <c r="N144" i="22" l="1" a="1"/>
  <c r="L144" i="22" a="1"/>
  <c r="Q144" i="22" a="1"/>
  <c r="P144" i="22" a="1"/>
  <c r="O144" i="22" a="1"/>
  <c r="S96" i="21"/>
  <c r="T96" i="21" s="1"/>
  <c r="H144" i="22"/>
  <c r="B144" i="22" s="1"/>
  <c r="I144" i="22"/>
  <c r="C144" i="22" s="1"/>
  <c r="K144" i="22" a="1"/>
  <c r="R50" i="22" a="1"/>
  <c r="S50" i="22" a="1"/>
  <c r="T50" i="22" a="1"/>
  <c r="V96" i="21" l="1"/>
  <c r="X96" i="21"/>
  <c r="W96" i="21"/>
  <c r="K99" i="21"/>
  <c r="L99" i="21" s="1"/>
  <c r="R97" i="21" a="1"/>
  <c r="Q97" i="21" a="1"/>
  <c r="S97" i="21" s="1"/>
  <c r="T97" i="21" s="1"/>
  <c r="G51" i="22" s="1"/>
  <c r="J51" i="22" s="1"/>
  <c r="D51" i="22" s="1"/>
  <c r="F51" i="22" s="1"/>
  <c r="E51" i="22" s="1"/>
  <c r="S144" i="22" a="1"/>
  <c r="R144" i="22" a="1"/>
  <c r="T144" i="22" a="1"/>
  <c r="Q51" i="22" a="1"/>
  <c r="O51" i="22" a="1"/>
  <c r="P51" i="22" a="1"/>
  <c r="O99" i="21" l="1"/>
  <c r="N99" i="21"/>
  <c r="P99" i="21"/>
  <c r="N51" i="22" a="1"/>
  <c r="L51" i="22" a="1"/>
  <c r="G145" i="22" s="1"/>
  <c r="J145" i="22" s="1"/>
  <c r="D145" i="22" s="1"/>
  <c r="E145" i="22" s="1"/>
  <c r="F145" i="22" s="1"/>
  <c r="I51" i="22"/>
  <c r="C51" i="22" s="1"/>
  <c r="V97" i="21"/>
  <c r="X97" i="21"/>
  <c r="W97" i="21"/>
  <c r="H51" i="22"/>
  <c r="B51" i="22" s="1"/>
  <c r="R98" i="21" a="1"/>
  <c r="K51" i="22" a="1"/>
  <c r="Q98" i="21" a="1"/>
  <c r="G100" i="21" l="1" a="1"/>
  <c r="K100" i="21" s="1"/>
  <c r="L100" i="21" s="1"/>
  <c r="J100" i="21" a="1"/>
  <c r="N145" i="22" a="1"/>
  <c r="L145" i="22" a="1"/>
  <c r="Q145" i="22" a="1"/>
  <c r="P145" i="22" a="1"/>
  <c r="O145" i="22" a="1"/>
  <c r="I145" i="22"/>
  <c r="C145" i="22" s="1"/>
  <c r="H145" i="22"/>
  <c r="B145" i="22" s="1"/>
  <c r="S51" i="22" a="1"/>
  <c r="K145" i="22" a="1"/>
  <c r="R51" i="22" a="1"/>
  <c r="T51" i="22" a="1"/>
  <c r="S98" i="21" l="1"/>
  <c r="T98" i="21" s="1"/>
  <c r="E52" i="22" s="1"/>
  <c r="F52" i="22" s="1"/>
  <c r="G52" i="22" s="1"/>
  <c r="J52" i="22" s="1"/>
  <c r="D52" i="22" s="1"/>
  <c r="N100" i="21"/>
  <c r="P100" i="21"/>
  <c r="O100" i="21"/>
  <c r="P52" i="22" a="1"/>
  <c r="Q52" i="22" a="1"/>
  <c r="O52" i="22" a="1"/>
  <c r="G101" i="21" a="1"/>
  <c r="J101" i="21" a="1"/>
  <c r="S145" i="22" a="1"/>
  <c r="T145" i="22" a="1"/>
  <c r="R145" i="22" a="1"/>
  <c r="N52" i="22" l="1" a="1"/>
  <c r="L52" i="22" a="1"/>
  <c r="W98" i="21"/>
  <c r="V98" i="21"/>
  <c r="X98" i="21"/>
  <c r="I52" i="22"/>
  <c r="C52" i="22" s="1"/>
  <c r="K101" i="21" s="1"/>
  <c r="L101" i="21" s="1"/>
  <c r="E146" i="22" s="1"/>
  <c r="G146" i="22" s="1"/>
  <c r="J146" i="22" s="1"/>
  <c r="D146" i="22" s="1"/>
  <c r="F146" i="22" s="1"/>
  <c r="H52" i="22"/>
  <c r="B52" i="22" s="1"/>
  <c r="K52" i="22" a="1"/>
  <c r="N146" i="22" l="1" a="1"/>
  <c r="L146" i="22" a="1"/>
  <c r="R99" i="21" a="1"/>
  <c r="Q99" i="21" a="1"/>
  <c r="Q146" i="22" a="1"/>
  <c r="P146" i="22" a="1"/>
  <c r="O146" i="22" a="1"/>
  <c r="I146" i="22"/>
  <c r="C146" i="22" s="1"/>
  <c r="H146" i="22"/>
  <c r="B146" i="22" s="1"/>
  <c r="N101" i="21"/>
  <c r="P101" i="21"/>
  <c r="O101" i="21"/>
  <c r="J102" i="21" a="1"/>
  <c r="T52" i="22" a="1"/>
  <c r="S52" i="22" a="1"/>
  <c r="G102" i="21" a="1"/>
  <c r="R52" i="22" a="1"/>
  <c r="K146" i="22" a="1"/>
  <c r="S99" i="21" l="1"/>
  <c r="T99" i="21" s="1"/>
  <c r="F53" i="22" s="1"/>
  <c r="E53" i="22" s="1"/>
  <c r="G53" i="22" s="1"/>
  <c r="J53" i="22" s="1"/>
  <c r="D53" i="22" s="1"/>
  <c r="K102" i="21" s="1"/>
  <c r="L102" i="21" s="1"/>
  <c r="O102" i="21" s="1"/>
  <c r="P53" i="22" a="1"/>
  <c r="O53" i="22" a="1"/>
  <c r="Q53" i="22" a="1"/>
  <c r="S146" i="22" a="1"/>
  <c r="T146" i="22" a="1"/>
  <c r="R146" i="22" a="1"/>
  <c r="N53" i="22" l="1" a="1"/>
  <c r="L53" i="22" a="1"/>
  <c r="V99" i="21"/>
  <c r="X99" i="21"/>
  <c r="W99" i="21"/>
  <c r="R100" i="21" a="1"/>
  <c r="Q100" i="21" a="1"/>
  <c r="S100" i="21" s="1"/>
  <c r="T100" i="21" s="1"/>
  <c r="E147" i="22" s="1"/>
  <c r="G147" i="22" s="1"/>
  <c r="J147" i="22" s="1"/>
  <c r="D147" i="22" s="1"/>
  <c r="F147" i="22" s="1"/>
  <c r="I147" i="22" s="1"/>
  <c r="C147" i="22" s="1"/>
  <c r="I53" i="22"/>
  <c r="C53" i="22" s="1"/>
  <c r="N102" i="21"/>
  <c r="P102" i="21"/>
  <c r="H53" i="22"/>
  <c r="B53" i="22" s="1"/>
  <c r="K53" i="22" a="1"/>
  <c r="J103" i="21" a="1"/>
  <c r="G103" i="21" a="1"/>
  <c r="N147" i="22" l="1" a="1"/>
  <c r="L147" i="22" a="1"/>
  <c r="Q147" i="22" a="1"/>
  <c r="P147" i="22" a="1"/>
  <c r="O147" i="22" a="1"/>
  <c r="V100" i="21"/>
  <c r="X100" i="21"/>
  <c r="W100" i="21"/>
  <c r="H147" i="22"/>
  <c r="B147" i="22" s="1"/>
  <c r="R53" i="22" a="1"/>
  <c r="T53" i="22" a="1"/>
  <c r="S53" i="22" a="1"/>
  <c r="R101" i="21" a="1"/>
  <c r="Q101" i="21" a="1"/>
  <c r="K147" i="22" a="1"/>
  <c r="F54" i="22" s="1"/>
  <c r="G54" i="22" s="1"/>
  <c r="J54" i="22" s="1"/>
  <c r="D54" i="22" s="1"/>
  <c r="E54" i="22" s="1"/>
  <c r="K103" i="21"/>
  <c r="L103" i="21" s="1"/>
  <c r="O54" i="22" a="1"/>
  <c r="Q54" i="22" a="1"/>
  <c r="T147" i="22" a="1"/>
  <c r="S147" i="22" a="1"/>
  <c r="P54" i="22" a="1"/>
  <c r="R147" i="22" a="1"/>
  <c r="N54" i="22" l="1" a="1"/>
  <c r="L54" i="22" a="1"/>
  <c r="F148" i="22" s="1"/>
  <c r="E148" i="22" s="1"/>
  <c r="G148" i="22" s="1"/>
  <c r="J148" i="22" s="1"/>
  <c r="D148" i="22" s="1"/>
  <c r="O103" i="21"/>
  <c r="N103" i="21"/>
  <c r="P103" i="21"/>
  <c r="H54" i="22"/>
  <c r="B54" i="22" s="1"/>
  <c r="I54" i="22"/>
  <c r="C54" i="22" s="1"/>
  <c r="S101" i="21"/>
  <c r="T101" i="21" s="1"/>
  <c r="G104" i="21" a="1"/>
  <c r="J104" i="21" a="1"/>
  <c r="K54" i="22" a="1"/>
  <c r="N148" i="22" l="1" a="1"/>
  <c r="L148" i="22" a="1"/>
  <c r="Q148" i="22" a="1"/>
  <c r="P148" i="22" a="1"/>
  <c r="O148" i="22" a="1"/>
  <c r="H148" i="22"/>
  <c r="B148" i="22" s="1"/>
  <c r="I148" i="22"/>
  <c r="C148" i="22" s="1"/>
  <c r="V101" i="21"/>
  <c r="X101" i="21"/>
  <c r="W101" i="21"/>
  <c r="R54" i="22" a="1"/>
  <c r="S54" i="22" a="1"/>
  <c r="T54" i="22" a="1"/>
  <c r="Q102" i="21" a="1"/>
  <c r="R102" i="21" a="1"/>
  <c r="K148" i="22" a="1"/>
  <c r="G55" i="22" s="1"/>
  <c r="J55" i="22" s="1"/>
  <c r="D55" i="22" s="1"/>
  <c r="F55" i="22" s="1"/>
  <c r="E55" i="22" s="1"/>
  <c r="K104" i="21"/>
  <c r="L104" i="21" s="1"/>
  <c r="O55" i="22" a="1"/>
  <c r="R148" i="22" a="1"/>
  <c r="P55" i="22" a="1"/>
  <c r="S148" i="22" a="1"/>
  <c r="T148" i="22" a="1"/>
  <c r="Q55" i="22" a="1"/>
  <c r="N55" i="22" l="1" a="1"/>
  <c r="L55" i="22" a="1"/>
  <c r="S102" i="21"/>
  <c r="T102" i="21" s="1"/>
  <c r="G149" i="22" s="1"/>
  <c r="J149" i="22" s="1"/>
  <c r="D149" i="22" s="1"/>
  <c r="E149" i="22" s="1"/>
  <c r="F149" i="22" s="1"/>
  <c r="N104" i="21"/>
  <c r="P104" i="21"/>
  <c r="O104" i="21"/>
  <c r="H55" i="22"/>
  <c r="B55" i="22" s="1"/>
  <c r="I55" i="22"/>
  <c r="C55" i="22" s="1"/>
  <c r="G105" i="21" a="1"/>
  <c r="K55" i="22" a="1"/>
  <c r="J105" i="21" a="1"/>
  <c r="N149" i="22" l="1" a="1"/>
  <c r="L149" i="22" a="1"/>
  <c r="Q149" i="22" a="1"/>
  <c r="P149" i="22" a="1"/>
  <c r="O149" i="22" a="1"/>
  <c r="W102" i="21"/>
  <c r="V102" i="21"/>
  <c r="X102" i="21"/>
  <c r="I149" i="22"/>
  <c r="C149" i="22" s="1"/>
  <c r="H149" i="22"/>
  <c r="B149" i="22" s="1"/>
  <c r="K149" i="22" a="1"/>
  <c r="R55" i="22" a="1"/>
  <c r="S55" i="22" a="1"/>
  <c r="T55" i="22" a="1"/>
  <c r="R103" i="21" l="1" a="1"/>
  <c r="Q103" i="21" a="1"/>
  <c r="G56" i="22" s="1"/>
  <c r="J56" i="22" s="1"/>
  <c r="D56" i="22" s="1"/>
  <c r="F56" i="22" s="1"/>
  <c r="E56" i="22" s="1"/>
  <c r="K105" i="21"/>
  <c r="L105" i="21" s="1"/>
  <c r="P56" i="22" a="1"/>
  <c r="R149" i="22" a="1"/>
  <c r="T149" i="22" a="1"/>
  <c r="S149" i="22" a="1"/>
  <c r="Q56" i="22" a="1"/>
  <c r="O56" i="22" a="1"/>
  <c r="N56" i="22" l="1" a="1"/>
  <c r="L56" i="22" a="1"/>
  <c r="S103" i="21"/>
  <c r="T103" i="21" s="1"/>
  <c r="F150" i="22" s="1"/>
  <c r="G150" i="22" s="1"/>
  <c r="J150" i="22" s="1"/>
  <c r="D150" i="22" s="1"/>
  <c r="E150" i="22" s="1"/>
  <c r="N105" i="21"/>
  <c r="P105" i="21"/>
  <c r="O105" i="21"/>
  <c r="H56" i="22"/>
  <c r="B56" i="22" s="1"/>
  <c r="I56" i="22"/>
  <c r="C56" i="22" s="1"/>
  <c r="G106" i="21" a="1"/>
  <c r="K56" i="22" a="1"/>
  <c r="J106" i="21" a="1"/>
  <c r="N150" i="22" l="1" a="1"/>
  <c r="L150" i="22" a="1"/>
  <c r="Q150" i="22" a="1"/>
  <c r="P150" i="22" a="1"/>
  <c r="O150" i="22" a="1"/>
  <c r="V103" i="21"/>
  <c r="X103" i="21"/>
  <c r="W103" i="21"/>
  <c r="Q104" i="21" a="1"/>
  <c r="R104" i="21" a="1"/>
  <c r="H150" i="22"/>
  <c r="B150" i="22" s="1"/>
  <c r="I150" i="22"/>
  <c r="C150" i="22" s="1"/>
  <c r="R56" i="22" a="1"/>
  <c r="T56" i="22" a="1"/>
  <c r="K150" i="22" a="1"/>
  <c r="S56" i="22" a="1"/>
  <c r="S104" i="21" l="1"/>
  <c r="T104" i="21" s="1"/>
  <c r="G57" i="22" s="1"/>
  <c r="J57" i="22" s="1"/>
  <c r="D57" i="22" s="1"/>
  <c r="F57" i="22" s="1"/>
  <c r="E57" i="22" s="1"/>
  <c r="K106" i="21"/>
  <c r="L106" i="21" s="1"/>
  <c r="P57" i="22" a="1"/>
  <c r="Q57" i="22" a="1"/>
  <c r="R150" i="22" a="1"/>
  <c r="T150" i="22" a="1"/>
  <c r="O57" i="22" a="1"/>
  <c r="S150" i="22" a="1"/>
  <c r="N57" i="22" l="1" a="1"/>
  <c r="L57" i="22" a="1"/>
  <c r="X104" i="21"/>
  <c r="V104" i="21"/>
  <c r="W104" i="21"/>
  <c r="F151" i="22" s="1"/>
  <c r="G151" i="22" s="1"/>
  <c r="J151" i="22" s="1"/>
  <c r="D151" i="22" s="1"/>
  <c r="E151" i="22" s="1"/>
  <c r="I57" i="22"/>
  <c r="C57" i="22" s="1"/>
  <c r="N106" i="21"/>
  <c r="P106" i="21"/>
  <c r="O106" i="21"/>
  <c r="H57" i="22"/>
  <c r="B57" i="22" s="1"/>
  <c r="K57" i="22" a="1"/>
  <c r="G107" i="21" a="1"/>
  <c r="J107" i="21" a="1"/>
  <c r="N151" i="22" l="1" a="1"/>
  <c r="L151" i="22" a="1"/>
  <c r="Q151" i="22" a="1"/>
  <c r="P151" i="22" a="1"/>
  <c r="O151" i="22" a="1"/>
  <c r="Q105" i="21" a="1"/>
  <c r="R105" i="21" a="1"/>
  <c r="H151" i="22"/>
  <c r="B151" i="22" s="1"/>
  <c r="I151" i="22"/>
  <c r="C151" i="22" s="1"/>
  <c r="K151" i="22" a="1"/>
  <c r="R57" i="22" a="1"/>
  <c r="T57" i="22" a="1"/>
  <c r="S57" i="22" a="1"/>
  <c r="S105" i="21" l="1"/>
  <c r="T105" i="21" s="1"/>
  <c r="K107" i="21"/>
  <c r="L107" i="21" s="1"/>
  <c r="F58" i="22" s="1"/>
  <c r="G58" i="22" s="1"/>
  <c r="J58" i="22" s="1"/>
  <c r="D58" i="22" s="1"/>
  <c r="E58" i="22" s="1"/>
  <c r="P58" i="22" a="1"/>
  <c r="S151" i="22" a="1"/>
  <c r="R151" i="22" a="1"/>
  <c r="T151" i="22" a="1"/>
  <c r="O58" i="22" a="1"/>
  <c r="Q58" i="22" a="1"/>
  <c r="N58" i="22" l="1" a="1"/>
  <c r="L58" i="22" a="1"/>
  <c r="O107" i="21"/>
  <c r="P107" i="21"/>
  <c r="W105" i="21"/>
  <c r="V105" i="21"/>
  <c r="X105" i="21"/>
  <c r="N107" i="21"/>
  <c r="G152" i="22" s="1"/>
  <c r="J152" i="22" s="1"/>
  <c r="D152" i="22" s="1"/>
  <c r="E152" i="22" s="1"/>
  <c r="F152" i="22" s="1"/>
  <c r="H58" i="22"/>
  <c r="B58" i="22" s="1"/>
  <c r="I58" i="22"/>
  <c r="C58" i="22" s="1"/>
  <c r="G108" i="21" a="1"/>
  <c r="J108" i="21" a="1"/>
  <c r="K58" i="22" a="1"/>
  <c r="L152" i="22" l="1" a="1"/>
  <c r="N152" i="22" a="1"/>
  <c r="I152" i="22"/>
  <c r="C152" i="22" s="1"/>
  <c r="Q152" i="22" a="1"/>
  <c r="P152" i="22" a="1"/>
  <c r="O152" i="22" a="1"/>
  <c r="Q106" i="21" a="1"/>
  <c r="R106" i="21" a="1"/>
  <c r="H152" i="22"/>
  <c r="B152" i="22" s="1"/>
  <c r="K108" i="21"/>
  <c r="L108" i="21" s="1"/>
  <c r="T58" i="22" a="1"/>
  <c r="R58" i="22" a="1"/>
  <c r="K152" i="22" a="1"/>
  <c r="S58" i="22" a="1"/>
  <c r="S106" i="21" l="1"/>
  <c r="T106" i="21" s="1"/>
  <c r="E59" i="22" s="1"/>
  <c r="F59" i="22" s="1"/>
  <c r="G59" i="22" s="1"/>
  <c r="J59" i="22" s="1"/>
  <c r="D59" i="22" s="1"/>
  <c r="N108" i="21"/>
  <c r="P108" i="21"/>
  <c r="O108" i="21"/>
  <c r="O59" i="22" a="1"/>
  <c r="P59" i="22" a="1"/>
  <c r="G109" i="21" a="1"/>
  <c r="J109" i="21" a="1"/>
  <c r="S152" i="22" a="1"/>
  <c r="R152" i="22" a="1"/>
  <c r="T152" i="22" a="1"/>
  <c r="Q59" i="22" a="1"/>
  <c r="N59" i="22" l="1" a="1"/>
  <c r="L59" i="22" a="1"/>
  <c r="X106" i="21"/>
  <c r="V106" i="21"/>
  <c r="W106" i="21"/>
  <c r="I59" i="22"/>
  <c r="C59" i="22" s="1"/>
  <c r="G153" i="22" s="1"/>
  <c r="J153" i="22" s="1"/>
  <c r="D153" i="22" s="1"/>
  <c r="E153" i="22" s="1"/>
  <c r="F153" i="22" s="1"/>
  <c r="H59" i="22"/>
  <c r="B59" i="22" s="1"/>
  <c r="K59" i="22" a="1"/>
  <c r="N153" i="22" l="1" a="1"/>
  <c r="L153" i="22" a="1"/>
  <c r="Q153" i="22" a="1"/>
  <c r="P153" i="22" a="1"/>
  <c r="O153" i="22" a="1"/>
  <c r="R107" i="21" a="1"/>
  <c r="Q107" i="21" a="1"/>
  <c r="K109" i="21"/>
  <c r="L109" i="21" s="1"/>
  <c r="P109" i="21" s="1"/>
  <c r="H153" i="22"/>
  <c r="B153" i="22" s="1"/>
  <c r="I153" i="22"/>
  <c r="C153" i="22" s="1"/>
  <c r="T59" i="22" a="1"/>
  <c r="R59" i="22" a="1"/>
  <c r="S59" i="22" a="1"/>
  <c r="K153" i="22" a="1"/>
  <c r="O109" i="21" l="1"/>
  <c r="N109" i="21"/>
  <c r="S107" i="21"/>
  <c r="T107" i="21" s="1"/>
  <c r="F60" i="22" s="1"/>
  <c r="G60" i="22" s="1"/>
  <c r="J60" i="22" s="1"/>
  <c r="D60" i="22" s="1"/>
  <c r="E60" i="22" s="1"/>
  <c r="O60" i="22" a="1"/>
  <c r="R153" i="22" a="1"/>
  <c r="Q60" i="22" a="1"/>
  <c r="T153" i="22" a="1"/>
  <c r="S153" i="22" a="1"/>
  <c r="P60" i="22" a="1"/>
  <c r="N60" i="22" l="1" a="1"/>
  <c r="L60" i="22" a="1"/>
  <c r="J110" i="21" a="1"/>
  <c r="G110" i="21" a="1"/>
  <c r="K110" i="21" s="1"/>
  <c r="L110" i="21" s="1"/>
  <c r="W107" i="21"/>
  <c r="X107" i="21"/>
  <c r="V107" i="21"/>
  <c r="Q108" i="21" a="1"/>
  <c r="R108" i="21" a="1"/>
  <c r="E154" i="22" s="1"/>
  <c r="F154" i="22" s="1"/>
  <c r="G154" i="22" s="1"/>
  <c r="J154" i="22" s="1"/>
  <c r="D154" i="22" s="1"/>
  <c r="H60" i="22"/>
  <c r="B60" i="22" s="1"/>
  <c r="I60" i="22"/>
  <c r="C60" i="22" s="1"/>
  <c r="K60" i="22" a="1"/>
  <c r="N154" i="22" l="1" a="1"/>
  <c r="L154" i="22" a="1"/>
  <c r="I154" i="22"/>
  <c r="C154" i="22" s="1"/>
  <c r="Q154" i="22" a="1"/>
  <c r="P154" i="22" a="1"/>
  <c r="O154" i="22" a="1"/>
  <c r="N110" i="21"/>
  <c r="P110" i="21"/>
  <c r="O110" i="21"/>
  <c r="S108" i="21"/>
  <c r="T108" i="21" s="1"/>
  <c r="H154" i="22"/>
  <c r="B154" i="22" s="1"/>
  <c r="T60" i="22" a="1"/>
  <c r="R60" i="22" a="1"/>
  <c r="K154" i="22" a="1"/>
  <c r="S60" i="22" a="1"/>
  <c r="J111" i="21" l="1" a="1"/>
  <c r="G111" i="21" a="1"/>
  <c r="K111" i="21" s="1"/>
  <c r="L111" i="21" s="1"/>
  <c r="X108" i="21"/>
  <c r="V108" i="21"/>
  <c r="W108" i="21"/>
  <c r="R109" i="21" a="1"/>
  <c r="Q109" i="21" a="1"/>
  <c r="F61" i="22" s="1"/>
  <c r="E61" i="22" s="1"/>
  <c r="G61" i="22" s="1"/>
  <c r="J61" i="22" s="1"/>
  <c r="D61" i="22" s="1"/>
  <c r="Q61" i="22" a="1"/>
  <c r="P61" i="22" a="1"/>
  <c r="R154" i="22" a="1"/>
  <c r="O61" i="22" a="1"/>
  <c r="S154" i="22" a="1"/>
  <c r="T154" i="22" a="1"/>
  <c r="N61" i="22" l="1" a="1"/>
  <c r="L61" i="22" a="1"/>
  <c r="P111" i="21"/>
  <c r="N111" i="21"/>
  <c r="O111" i="21"/>
  <c r="S109" i="21"/>
  <c r="T109" i="21" s="1"/>
  <c r="G155" i="22" s="1"/>
  <c r="J155" i="22" s="1"/>
  <c r="D155" i="22" s="1"/>
  <c r="F155" i="22" s="1"/>
  <c r="E155" i="22" s="1"/>
  <c r="H61" i="22"/>
  <c r="B61" i="22" s="1"/>
  <c r="I61" i="22"/>
  <c r="C61" i="22" s="1"/>
  <c r="K61" i="22" a="1"/>
  <c r="L155" i="22" l="1" a="1"/>
  <c r="N155" i="22" a="1"/>
  <c r="Q155" i="22" a="1"/>
  <c r="P155" i="22" a="1"/>
  <c r="O155" i="22" a="1"/>
  <c r="G112" i="21" a="1"/>
  <c r="J112" i="21" a="1"/>
  <c r="X109" i="21"/>
  <c r="V109" i="21"/>
  <c r="W109" i="21"/>
  <c r="H155" i="22"/>
  <c r="B155" i="22" s="1"/>
  <c r="I155" i="22"/>
  <c r="C155" i="22" s="1"/>
  <c r="R61" i="22" a="1"/>
  <c r="T61" i="22" a="1"/>
  <c r="S61" i="22" a="1"/>
  <c r="K155" i="22" a="1"/>
  <c r="K112" i="21" l="1"/>
  <c r="L112" i="21" s="1"/>
  <c r="R110" i="21" a="1"/>
  <c r="Q110" i="21" a="1"/>
  <c r="F62" i="22" s="1"/>
  <c r="G62" i="22" s="1"/>
  <c r="J62" i="22" s="1"/>
  <c r="D62" i="22" s="1"/>
  <c r="E62" i="22" s="1"/>
  <c r="T155" i="22" a="1"/>
  <c r="P62" i="22" a="1"/>
  <c r="Q62" i="22" a="1"/>
  <c r="O62" i="22" a="1"/>
  <c r="S155" i="22" a="1"/>
  <c r="R155" i="22" a="1"/>
  <c r="S110" i="21" l="1"/>
  <c r="T110" i="21" s="1"/>
  <c r="N62" i="22" a="1"/>
  <c r="L62" i="22" a="1"/>
  <c r="N112" i="21"/>
  <c r="O112" i="21"/>
  <c r="P112" i="21"/>
  <c r="J113" i="21" a="1"/>
  <c r="G113" i="21" a="1"/>
  <c r="K113" i="21" s="1"/>
  <c r="L113" i="21" s="1"/>
  <c r="E156" i="22" s="1"/>
  <c r="G156" i="22" s="1"/>
  <c r="J156" i="22" s="1"/>
  <c r="D156" i="22" s="1"/>
  <c r="F156" i="22" s="1"/>
  <c r="H62" i="22"/>
  <c r="B62" i="22" s="1"/>
  <c r="I62" i="22"/>
  <c r="C62" i="22" s="1"/>
  <c r="K62" i="22" a="1"/>
  <c r="V110" i="21" l="1"/>
  <c r="W110" i="21"/>
  <c r="X110" i="21"/>
  <c r="L156" i="22" a="1"/>
  <c r="N156" i="22" a="1"/>
  <c r="Q156" i="22" a="1"/>
  <c r="P156" i="22" a="1"/>
  <c r="O156" i="22" a="1"/>
  <c r="I156" i="22"/>
  <c r="C156" i="22" s="1"/>
  <c r="Q111" i="21" a="1"/>
  <c r="R111" i="21" a="1"/>
  <c r="H156" i="22"/>
  <c r="B156" i="22" s="1"/>
  <c r="O113" i="21"/>
  <c r="N113" i="21"/>
  <c r="P113" i="21"/>
  <c r="K156" i="22" a="1"/>
  <c r="G114" i="21" a="1"/>
  <c r="T62" i="22" a="1"/>
  <c r="R62" i="22" a="1"/>
  <c r="S62" i="22" a="1"/>
  <c r="J114" i="21" a="1"/>
  <c r="S111" i="21" l="1"/>
  <c r="T111" i="21" s="1"/>
  <c r="F63" i="22" s="1"/>
  <c r="E63" i="22" s="1"/>
  <c r="G63" i="22" s="1"/>
  <c r="J63" i="22" s="1"/>
  <c r="D63" i="22" s="1"/>
  <c r="P63" i="22" a="1"/>
  <c r="T156" i="22" a="1"/>
  <c r="S156" i="22" a="1"/>
  <c r="Q63" i="22" a="1"/>
  <c r="O63" i="22" a="1"/>
  <c r="R156" i="22" a="1"/>
  <c r="N63" i="22" l="1" a="1"/>
  <c r="L63" i="22" a="1"/>
  <c r="V111" i="21"/>
  <c r="X111" i="21"/>
  <c r="W111" i="21"/>
  <c r="I63" i="22"/>
  <c r="C63" i="22" s="1"/>
  <c r="E157" i="22" s="1"/>
  <c r="F157" i="22" s="1"/>
  <c r="G157" i="22" s="1"/>
  <c r="J157" i="22" s="1"/>
  <c r="D157" i="22" s="1"/>
  <c r="H63" i="22"/>
  <c r="B63" i="22" s="1"/>
  <c r="K114" i="21"/>
  <c r="L114" i="21" s="1"/>
  <c r="K63" i="22" a="1"/>
  <c r="N157" i="22" l="1" a="1"/>
  <c r="L157" i="22" a="1"/>
  <c r="Q157" i="22" a="1"/>
  <c r="P157" i="22" a="1"/>
  <c r="O157" i="22" a="1"/>
  <c r="Q112" i="21" a="1"/>
  <c r="R112" i="21" a="1"/>
  <c r="I157" i="22"/>
  <c r="C157" i="22" s="1"/>
  <c r="N114" i="21"/>
  <c r="P114" i="21"/>
  <c r="O114" i="21"/>
  <c r="H157" i="22"/>
  <c r="B157" i="22" s="1"/>
  <c r="J115" i="21" a="1"/>
  <c r="K157" i="22" a="1"/>
  <c r="T63" i="22" a="1"/>
  <c r="R63" i="22" a="1"/>
  <c r="S63" i="22" a="1"/>
  <c r="G115" i="21" a="1"/>
  <c r="S112" i="21" l="1"/>
  <c r="T112" i="21" s="1"/>
  <c r="W112" i="21" s="1"/>
  <c r="F64" i="22" s="1"/>
  <c r="E64" i="22" s="1"/>
  <c r="G64" i="22" s="1"/>
  <c r="J64" i="22" s="1"/>
  <c r="D64" i="22" s="1"/>
  <c r="S157" i="22" a="1"/>
  <c r="P64" i="22" a="1"/>
  <c r="T157" i="22" a="1"/>
  <c r="R157" i="22" a="1"/>
  <c r="O64" i="22" a="1"/>
  <c r="Q64" i="22" a="1"/>
  <c r="N64" i="22" l="1" a="1"/>
  <c r="L64" i="22" a="1"/>
  <c r="X112" i="21"/>
  <c r="V112" i="21"/>
  <c r="Q113" i="21" a="1"/>
  <c r="R113" i="21" a="1"/>
  <c r="E158" i="22" s="1"/>
  <c r="G158" i="22" s="1"/>
  <c r="J158" i="22" s="1"/>
  <c r="D158" i="22" s="1"/>
  <c r="F158" i="22" s="1"/>
  <c r="H64" i="22"/>
  <c r="B64" i="22" s="1"/>
  <c r="I64" i="22"/>
  <c r="C64" i="22" s="1"/>
  <c r="K115" i="21"/>
  <c r="L115" i="21" s="1"/>
  <c r="K64" i="22" a="1"/>
  <c r="N158" i="22" l="1" a="1"/>
  <c r="L158" i="22" a="1"/>
  <c r="Q158" i="22" a="1"/>
  <c r="P158" i="22" a="1"/>
  <c r="O158" i="22" a="1"/>
  <c r="S113" i="21"/>
  <c r="T113" i="21" s="1"/>
  <c r="I158" i="22"/>
  <c r="C158" i="22" s="1"/>
  <c r="N115" i="21"/>
  <c r="P115" i="21"/>
  <c r="O115" i="21"/>
  <c r="H158" i="22"/>
  <c r="B158" i="22" s="1"/>
  <c r="R64" i="22" a="1"/>
  <c r="J116" i="21" a="1"/>
  <c r="T64" i="22" a="1"/>
  <c r="G116" i="21" a="1"/>
  <c r="K158" i="22" a="1"/>
  <c r="S64" i="22" a="1"/>
  <c r="W113" i="21" l="1"/>
  <c r="X113" i="21"/>
  <c r="V113" i="21"/>
  <c r="F65" i="22" s="1"/>
  <c r="E65" i="22" s="1"/>
  <c r="G65" i="22" s="1"/>
  <c r="J65" i="22" s="1"/>
  <c r="D65" i="22" s="1"/>
  <c r="O65" i="22" a="1"/>
  <c r="P65" i="22" a="1"/>
  <c r="T158" i="22" a="1"/>
  <c r="S158" i="22" a="1"/>
  <c r="R158" i="22" a="1"/>
  <c r="Q65" i="22" a="1"/>
  <c r="N65" i="22" l="1" a="1"/>
  <c r="L65" i="22" a="1"/>
  <c r="K116" i="21"/>
  <c r="L116" i="21" s="1"/>
  <c r="O116" i="21" s="1"/>
  <c r="R114" i="21" a="1"/>
  <c r="Q114" i="21" a="1"/>
  <c r="E159" i="22" s="1"/>
  <c r="F159" i="22" s="1"/>
  <c r="G159" i="22" s="1"/>
  <c r="J159" i="22" s="1"/>
  <c r="D159" i="22" s="1"/>
  <c r="H65" i="22"/>
  <c r="B65" i="22" s="1"/>
  <c r="I65" i="22"/>
  <c r="C65" i="22" s="1"/>
  <c r="N116" i="21"/>
  <c r="P116" i="21"/>
  <c r="K65" i="22" a="1"/>
  <c r="G117" i="21" a="1"/>
  <c r="J117" i="21" a="1"/>
  <c r="N159" i="22" l="1" a="1"/>
  <c r="L159" i="22" a="1"/>
  <c r="Q159" i="22" a="1"/>
  <c r="P159" i="22" a="1"/>
  <c r="O159" i="22" a="1"/>
  <c r="I159" i="22"/>
  <c r="C159" i="22" s="1"/>
  <c r="S114" i="21"/>
  <c r="T114" i="21" s="1"/>
  <c r="H159" i="22"/>
  <c r="B159" i="22" s="1"/>
  <c r="R65" i="22" a="1"/>
  <c r="S65" i="22" a="1"/>
  <c r="K159" i="22" a="1"/>
  <c r="T65" i="22" a="1"/>
  <c r="W114" i="21" l="1"/>
  <c r="V114" i="21"/>
  <c r="X114" i="21"/>
  <c r="E66" i="22" s="1"/>
  <c r="G66" i="22" s="1"/>
  <c r="J66" i="22" s="1"/>
  <c r="D66" i="22" s="1"/>
  <c r="F66" i="22" s="1"/>
  <c r="K117" i="21"/>
  <c r="L117" i="21" s="1"/>
  <c r="Q66" i="22" a="1"/>
  <c r="S159" i="22" a="1"/>
  <c r="O66" i="22" a="1"/>
  <c r="P66" i="22" a="1"/>
  <c r="T159" i="22" a="1"/>
  <c r="R159" i="22" a="1"/>
  <c r="N66" i="22" l="1" a="1"/>
  <c r="L66" i="22" a="1"/>
  <c r="Q115" i="21" a="1"/>
  <c r="R115" i="21" a="1"/>
  <c r="I66" i="22"/>
  <c r="C66" i="22" s="1"/>
  <c r="F160" i="22" s="1"/>
  <c r="E160" i="22" s="1"/>
  <c r="G160" i="22" s="1"/>
  <c r="J160" i="22" s="1"/>
  <c r="D160" i="22" s="1"/>
  <c r="N117" i="21"/>
  <c r="P117" i="21"/>
  <c r="O117" i="21"/>
  <c r="H66" i="22"/>
  <c r="B66" i="22" s="1"/>
  <c r="K66" i="22" a="1"/>
  <c r="G118" i="21" a="1"/>
  <c r="J118" i="21" a="1"/>
  <c r="N160" i="22" l="1" a="1"/>
  <c r="L160" i="22" a="1"/>
  <c r="Q160" i="22" a="1"/>
  <c r="P160" i="22" a="1"/>
  <c r="O160" i="22" a="1"/>
  <c r="S115" i="21"/>
  <c r="T115" i="21" s="1"/>
  <c r="I160" i="22"/>
  <c r="C160" i="22" s="1"/>
  <c r="H160" i="22"/>
  <c r="B160" i="22" s="1"/>
  <c r="T66" i="22" a="1"/>
  <c r="R66" i="22" a="1"/>
  <c r="S66" i="22" a="1"/>
  <c r="K160" i="22" a="1"/>
  <c r="X115" i="21" l="1"/>
  <c r="V115" i="21"/>
  <c r="W115" i="21"/>
  <c r="K118" i="21"/>
  <c r="L118" i="21" s="1"/>
  <c r="F67" i="22" s="1"/>
  <c r="E67" i="22" s="1"/>
  <c r="G67" i="22" s="1"/>
  <c r="J67" i="22" s="1"/>
  <c r="D67" i="22" s="1"/>
  <c r="S160" i="22" a="1"/>
  <c r="P67" i="22" a="1"/>
  <c r="Q67" i="22" a="1"/>
  <c r="O67" i="22" a="1"/>
  <c r="T160" i="22" a="1"/>
  <c r="R160" i="22" a="1"/>
  <c r="N67" i="22" l="1" a="1"/>
  <c r="L67" i="22" a="1"/>
  <c r="O118" i="21"/>
  <c r="P118" i="21"/>
  <c r="N118" i="21"/>
  <c r="Q116" i="21" a="1"/>
  <c r="R116" i="21" a="1"/>
  <c r="F161" i="22" s="1"/>
  <c r="E161" i="22" s="1"/>
  <c r="G161" i="22" s="1"/>
  <c r="J161" i="22" s="1"/>
  <c r="D161" i="22" s="1"/>
  <c r="H67" i="22"/>
  <c r="B67" i="22" s="1"/>
  <c r="I67" i="22"/>
  <c r="C67" i="22" s="1"/>
  <c r="K67" i="22" a="1"/>
  <c r="N161" i="22" l="1" a="1"/>
  <c r="L161" i="22" a="1"/>
  <c r="G119" i="21" a="1"/>
  <c r="J119" i="21" a="1"/>
  <c r="Q161" i="22" a="1"/>
  <c r="P161" i="22" a="1"/>
  <c r="O161" i="22" a="1"/>
  <c r="S116" i="21"/>
  <c r="T116" i="21" s="1"/>
  <c r="I161" i="22"/>
  <c r="C161" i="22" s="1"/>
  <c r="H161" i="22"/>
  <c r="B161" i="22" s="1"/>
  <c r="R67" i="22" a="1"/>
  <c r="S67" i="22" a="1"/>
  <c r="T67" i="22" a="1"/>
  <c r="K161" i="22" a="1"/>
  <c r="K119" i="21" l="1"/>
  <c r="L119" i="21" s="1"/>
  <c r="V116" i="21"/>
  <c r="W116" i="21"/>
  <c r="X116" i="21"/>
  <c r="G68" i="22" s="1"/>
  <c r="J68" i="22" s="1"/>
  <c r="D68" i="22" s="1"/>
  <c r="F68" i="22" s="1"/>
  <c r="E68" i="22" s="1"/>
  <c r="S161" i="22" a="1"/>
  <c r="P68" i="22" a="1"/>
  <c r="O68" i="22" a="1"/>
  <c r="T161" i="22" a="1"/>
  <c r="R161" i="22" a="1"/>
  <c r="Q68" i="22" a="1"/>
  <c r="N119" i="21" l="1"/>
  <c r="O119" i="21"/>
  <c r="P119" i="21"/>
  <c r="N68" i="22" a="1"/>
  <c r="L68" i="22" a="1"/>
  <c r="R117" i="21" a="1"/>
  <c r="Q117" i="21" a="1"/>
  <c r="F162" i="22" s="1"/>
  <c r="E162" i="22" s="1"/>
  <c r="G162" i="22" s="1"/>
  <c r="J162" i="22" s="1"/>
  <c r="D162" i="22" s="1"/>
  <c r="I68" i="22"/>
  <c r="C68" i="22" s="1"/>
  <c r="H68" i="22"/>
  <c r="B68" i="22" s="1"/>
  <c r="K68" i="22" a="1"/>
  <c r="G120" i="21" l="1" a="1"/>
  <c r="K120" i="21" s="1"/>
  <c r="L120" i="21" s="1"/>
  <c r="J120" i="21" a="1"/>
  <c r="N162" i="22" a="1"/>
  <c r="L162" i="22" a="1"/>
  <c r="Q162" i="22" a="1"/>
  <c r="P162" i="22" a="1"/>
  <c r="O162" i="22" a="1"/>
  <c r="S117" i="21"/>
  <c r="T117" i="21" s="1"/>
  <c r="I162" i="22"/>
  <c r="C162" i="22" s="1"/>
  <c r="H162" i="22"/>
  <c r="B162" i="22" s="1"/>
  <c r="R68" i="22" a="1"/>
  <c r="S68" i="22" a="1"/>
  <c r="T68" i="22" a="1"/>
  <c r="K162" i="22" a="1"/>
  <c r="O120" i="21" l="1"/>
  <c r="P120" i="21"/>
  <c r="W117" i="21"/>
  <c r="V117" i="21"/>
  <c r="X117" i="21"/>
  <c r="R118" i="21" a="1"/>
  <c r="Q118" i="21" a="1"/>
  <c r="N120" i="21"/>
  <c r="G69" i="22" s="1"/>
  <c r="J69" i="22" s="1"/>
  <c r="D69" i="22" s="1"/>
  <c r="F69" i="22" s="1"/>
  <c r="E69" i="22" s="1"/>
  <c r="J121" i="21" a="1"/>
  <c r="G121" i="21" a="1"/>
  <c r="Q69" i="22" a="1"/>
  <c r="O69" i="22" a="1"/>
  <c r="T162" i="22" a="1"/>
  <c r="S162" i="22" a="1"/>
  <c r="R162" i="22" a="1"/>
  <c r="P69" i="22" a="1"/>
  <c r="N69" i="22" l="1" a="1"/>
  <c r="L69" i="22" a="1"/>
  <c r="S118" i="21"/>
  <c r="T118" i="21" s="1"/>
  <c r="E163" i="22" s="1"/>
  <c r="F163" i="22" s="1"/>
  <c r="G163" i="22" s="1"/>
  <c r="J163" i="22" s="1"/>
  <c r="D163" i="22" s="1"/>
  <c r="H69" i="22"/>
  <c r="B69" i="22" s="1"/>
  <c r="I69" i="22"/>
  <c r="C69" i="22" s="1"/>
  <c r="K69" i="22" a="1"/>
  <c r="N163" i="22" l="1" a="1"/>
  <c r="L163" i="22" a="1"/>
  <c r="W118" i="21"/>
  <c r="V118" i="21"/>
  <c r="X118" i="21"/>
  <c r="Q163" i="22" a="1"/>
  <c r="P163" i="22" a="1"/>
  <c r="O163" i="22" a="1"/>
  <c r="R119" i="21" a="1"/>
  <c r="Q119" i="21" a="1"/>
  <c r="K121" i="21"/>
  <c r="L121" i="21" s="1"/>
  <c r="I163" i="22"/>
  <c r="C163" i="22" s="1"/>
  <c r="H163" i="22"/>
  <c r="B163" i="22" s="1"/>
  <c r="R69" i="22" a="1"/>
  <c r="S69" i="22" a="1"/>
  <c r="T69" i="22" a="1"/>
  <c r="K163" i="22" a="1"/>
  <c r="S119" i="21" l="1"/>
  <c r="T119" i="21" s="1"/>
  <c r="N121" i="21"/>
  <c r="P121" i="21"/>
  <c r="O121" i="21"/>
  <c r="G70" i="22" s="1"/>
  <c r="J70" i="22" s="1"/>
  <c r="D70" i="22" s="1"/>
  <c r="F70" i="22" s="1"/>
  <c r="E70" i="22" s="1"/>
  <c r="G122" i="21" a="1"/>
  <c r="J122" i="21" a="1"/>
  <c r="R163" i="22" a="1"/>
  <c r="T163" i="22" a="1"/>
  <c r="O70" i="22" a="1"/>
  <c r="Q70" i="22" a="1"/>
  <c r="P70" i="22" a="1"/>
  <c r="S163" i="22" a="1"/>
  <c r="N70" i="22" l="1" a="1"/>
  <c r="L70" i="22" a="1"/>
  <c r="V119" i="21"/>
  <c r="X119" i="21"/>
  <c r="W119" i="21"/>
  <c r="I70" i="22"/>
  <c r="C70" i="22" s="1"/>
  <c r="E164" i="22" s="1"/>
  <c r="F164" i="22" s="1"/>
  <c r="G164" i="22" s="1"/>
  <c r="J164" i="22" s="1"/>
  <c r="D164" i="22" s="1"/>
  <c r="H70" i="22"/>
  <c r="B70" i="22" s="1"/>
  <c r="K70" i="22" a="1"/>
  <c r="I164" i="22" l="1"/>
  <c r="C164" i="22" s="1"/>
  <c r="N164" i="22" a="1"/>
  <c r="L164" i="22" a="1"/>
  <c r="K122" i="21"/>
  <c r="L122" i="21" s="1"/>
  <c r="Q164" i="22" a="1"/>
  <c r="P164" i="22" a="1"/>
  <c r="O164" i="22" a="1"/>
  <c r="R120" i="21" a="1"/>
  <c r="Q120" i="21" a="1"/>
  <c r="H164" i="22"/>
  <c r="B164" i="22" s="1"/>
  <c r="S70" i="22" a="1"/>
  <c r="T70" i="22" a="1"/>
  <c r="R70" i="22" a="1"/>
  <c r="K164" i="22" a="1"/>
  <c r="N122" i="21" l="1"/>
  <c r="O122" i="21"/>
  <c r="P122" i="21"/>
  <c r="S120" i="21"/>
  <c r="T120" i="21" s="1"/>
  <c r="E71" i="22" s="1"/>
  <c r="G71" i="22" s="1"/>
  <c r="J71" i="22" s="1"/>
  <c r="D71" i="22" s="1"/>
  <c r="F71" i="22" s="1"/>
  <c r="R164" i="22" a="1"/>
  <c r="Q71" i="22" a="1"/>
  <c r="P71" i="22" a="1"/>
  <c r="O71" i="22" a="1"/>
  <c r="S164" i="22" a="1"/>
  <c r="T164" i="22" a="1"/>
  <c r="N71" i="22" l="1" a="1"/>
  <c r="L71" i="22" a="1"/>
  <c r="J123" i="21" a="1"/>
  <c r="G123" i="21" a="1"/>
  <c r="K123" i="21" s="1"/>
  <c r="L123" i="21" s="1"/>
  <c r="W120" i="21"/>
  <c r="X120" i="21"/>
  <c r="V120" i="21"/>
  <c r="Q121" i="21" a="1"/>
  <c r="R121" i="21" a="1"/>
  <c r="I71" i="22"/>
  <c r="C71" i="22" s="1"/>
  <c r="E165" i="22" s="1"/>
  <c r="G165" i="22" s="1"/>
  <c r="J165" i="22" s="1"/>
  <c r="D165" i="22" s="1"/>
  <c r="F165" i="22" s="1"/>
  <c r="H71" i="22"/>
  <c r="B71" i="22" s="1"/>
  <c r="K71" i="22" a="1"/>
  <c r="N165" i="22" l="1" a="1"/>
  <c r="L165" i="22" a="1"/>
  <c r="Q165" i="22" a="1"/>
  <c r="P165" i="22" a="1"/>
  <c r="O165" i="22" a="1"/>
  <c r="I165" i="22"/>
  <c r="C165" i="22" s="1"/>
  <c r="S121" i="21"/>
  <c r="T121" i="21" s="1"/>
  <c r="N123" i="21"/>
  <c r="O123" i="21"/>
  <c r="P123" i="21"/>
  <c r="H165" i="22"/>
  <c r="B165" i="22" s="1"/>
  <c r="J124" i="21" a="1"/>
  <c r="G124" i="21" a="1"/>
  <c r="K165" i="22" a="1"/>
  <c r="S71" i="22" a="1"/>
  <c r="R71" i="22" a="1"/>
  <c r="T71" i="22" a="1"/>
  <c r="X121" i="21" l="1"/>
  <c r="V121" i="21"/>
  <c r="W121" i="21"/>
  <c r="E72" i="22" s="1"/>
  <c r="G72" i="22" s="1"/>
  <c r="J72" i="22" s="1"/>
  <c r="D72" i="22" s="1"/>
  <c r="F72" i="22" s="1"/>
  <c r="P72" i="22" a="1"/>
  <c r="Q72" i="22" a="1"/>
  <c r="R165" i="22" a="1"/>
  <c r="S165" i="22" a="1"/>
  <c r="T165" i="22" a="1"/>
  <c r="O72" i="22" a="1"/>
  <c r="N72" i="22" l="1" a="1"/>
  <c r="L72" i="22" a="1"/>
  <c r="R122" i="21" a="1"/>
  <c r="Q122" i="21" a="1"/>
  <c r="K124" i="21"/>
  <c r="L124" i="21" s="1"/>
  <c r="P124" i="21" s="1"/>
  <c r="I72" i="22"/>
  <c r="C72" i="22" s="1"/>
  <c r="G166" i="22" s="1"/>
  <c r="J166" i="22" s="1"/>
  <c r="D166" i="22" s="1"/>
  <c r="F166" i="22" s="1"/>
  <c r="E166" i="22" s="1"/>
  <c r="H72" i="22"/>
  <c r="B72" i="22" s="1"/>
  <c r="K72" i="22" a="1"/>
  <c r="N166" i="22" l="1" a="1"/>
  <c r="L166" i="22" a="1"/>
  <c r="Q166" i="22" a="1"/>
  <c r="P166" i="22" a="1"/>
  <c r="O166" i="22" a="1"/>
  <c r="S122" i="21"/>
  <c r="T122" i="21" s="1"/>
  <c r="V122" i="21" s="1"/>
  <c r="O124" i="21"/>
  <c r="N124" i="21"/>
  <c r="I166" i="22"/>
  <c r="C166" i="22" s="1"/>
  <c r="H166" i="22"/>
  <c r="B166" i="22" s="1"/>
  <c r="K166" i="22" a="1"/>
  <c r="R72" i="22" a="1"/>
  <c r="S72" i="22" a="1"/>
  <c r="T72" i="22" a="1"/>
  <c r="X122" i="21" l="1"/>
  <c r="W122" i="21"/>
  <c r="J125" i="21" a="1"/>
  <c r="G125" i="21" a="1"/>
  <c r="K125" i="21" s="1"/>
  <c r="L125" i="21" s="1"/>
  <c r="R123" i="21" a="1"/>
  <c r="Q123" i="21" a="1"/>
  <c r="G73" i="22" s="1"/>
  <c r="J73" i="22" s="1"/>
  <c r="D73" i="22" s="1"/>
  <c r="F73" i="22" s="1"/>
  <c r="E73" i="22" s="1"/>
  <c r="O73" i="22" a="1"/>
  <c r="P73" i="22" a="1"/>
  <c r="S166" i="22" a="1"/>
  <c r="Q73" i="22" a="1"/>
  <c r="R166" i="22" a="1"/>
  <c r="T166" i="22" a="1"/>
  <c r="N73" i="22" l="1" a="1"/>
  <c r="L73" i="22" a="1"/>
  <c r="S123" i="21"/>
  <c r="T123" i="21" s="1"/>
  <c r="N125" i="21"/>
  <c r="P125" i="21"/>
  <c r="O125" i="21"/>
  <c r="I73" i="22"/>
  <c r="C73" i="22" s="1"/>
  <c r="G167" i="22" s="1"/>
  <c r="J167" i="22" s="1"/>
  <c r="D167" i="22" s="1"/>
  <c r="E167" i="22" s="1"/>
  <c r="F167" i="22" s="1"/>
  <c r="H73" i="22"/>
  <c r="B73" i="22" s="1"/>
  <c r="K73" i="22" a="1"/>
  <c r="N167" i="22" l="1" a="1"/>
  <c r="L167" i="22" a="1"/>
  <c r="Q167" i="22" a="1"/>
  <c r="P167" i="22" a="1"/>
  <c r="O167" i="22" a="1"/>
  <c r="V123" i="21"/>
  <c r="X123" i="21"/>
  <c r="W123" i="21"/>
  <c r="G126" i="21" a="1"/>
  <c r="J126" i="21" a="1"/>
  <c r="I167" i="22"/>
  <c r="C167" i="22" s="1"/>
  <c r="H167" i="22"/>
  <c r="B167" i="22" s="1"/>
  <c r="R73" i="22" a="1"/>
  <c r="T73" i="22" a="1"/>
  <c r="S73" i="22" a="1"/>
  <c r="K167" i="22" a="1"/>
  <c r="R124" i="21" l="1" a="1"/>
  <c r="Q124" i="21" a="1"/>
  <c r="K126" i="21"/>
  <c r="L126" i="21" s="1"/>
  <c r="F74" i="22" s="1"/>
  <c r="G74" i="22" s="1"/>
  <c r="J74" i="22" s="1"/>
  <c r="D74" i="22" s="1"/>
  <c r="E74" i="22" s="1"/>
  <c r="S167" i="22" a="1"/>
  <c r="Q74" i="22" a="1"/>
  <c r="T167" i="22" a="1"/>
  <c r="R167" i="22" a="1"/>
  <c r="P74" i="22" a="1"/>
  <c r="O74" i="22" a="1"/>
  <c r="N74" i="22" l="1" a="1"/>
  <c r="L74" i="22" a="1"/>
  <c r="S124" i="21"/>
  <c r="T124" i="21" s="1"/>
  <c r="P126" i="21"/>
  <c r="N126" i="21"/>
  <c r="O126" i="21"/>
  <c r="E168" i="22" s="1"/>
  <c r="G168" i="22" s="1"/>
  <c r="J168" i="22" s="1"/>
  <c r="D168" i="22" s="1"/>
  <c r="F168" i="22" s="1"/>
  <c r="H74" i="22"/>
  <c r="B74" i="22" s="1"/>
  <c r="I74" i="22"/>
  <c r="C74" i="22" s="1"/>
  <c r="K74" i="22" a="1"/>
  <c r="N168" i="22" l="1" a="1"/>
  <c r="L168" i="22" a="1"/>
  <c r="Q168" i="22" a="1"/>
  <c r="P168" i="22" a="1"/>
  <c r="O168" i="22" a="1"/>
  <c r="V124" i="21"/>
  <c r="X124" i="21"/>
  <c r="W124" i="21"/>
  <c r="R125" i="21" a="1"/>
  <c r="Q125" i="21" a="1"/>
  <c r="J127" i="21" a="1"/>
  <c r="G127" i="21" a="1"/>
  <c r="K127" i="21" s="1"/>
  <c r="L127" i="21" s="1"/>
  <c r="I168" i="22"/>
  <c r="C168" i="22" s="1"/>
  <c r="H168" i="22"/>
  <c r="B168" i="22" s="1"/>
  <c r="R74" i="22" a="1"/>
  <c r="T74" i="22" a="1"/>
  <c r="S74" i="22" a="1"/>
  <c r="K168" i="22" a="1"/>
  <c r="S125" i="21" l="1"/>
  <c r="T125" i="21" s="1"/>
  <c r="N127" i="21"/>
  <c r="P127" i="21"/>
  <c r="O127" i="21"/>
  <c r="F75" i="22" s="1"/>
  <c r="G75" i="22" s="1"/>
  <c r="J75" i="22" s="1"/>
  <c r="D75" i="22" s="1"/>
  <c r="E75" i="22" s="1"/>
  <c r="T168" i="22" a="1"/>
  <c r="R168" i="22" a="1"/>
  <c r="P75" i="22" a="1"/>
  <c r="Q75" i="22" a="1"/>
  <c r="O75" i="22" a="1"/>
  <c r="S168" i="22" a="1"/>
  <c r="N75" i="22" l="1" a="1"/>
  <c r="L75" i="22" a="1"/>
  <c r="W125" i="21"/>
  <c r="X125" i="21"/>
  <c r="V125" i="21"/>
  <c r="Q126" i="21" a="1"/>
  <c r="R126" i="21" a="1"/>
  <c r="J128" i="21" a="1"/>
  <c r="G128" i="21" a="1"/>
  <c r="E169" i="22" s="1"/>
  <c r="G169" i="22" s="1"/>
  <c r="J169" i="22" s="1"/>
  <c r="D169" i="22" s="1"/>
  <c r="F169" i="22" s="1"/>
  <c r="H75" i="22"/>
  <c r="B75" i="22" s="1"/>
  <c r="I75" i="22"/>
  <c r="C75" i="22" s="1"/>
  <c r="K75" i="22" a="1"/>
  <c r="N169" i="22" l="1" a="1"/>
  <c r="L169" i="22" a="1"/>
  <c r="K128" i="21"/>
  <c r="L128" i="21" s="1"/>
  <c r="Q169" i="22" a="1"/>
  <c r="P169" i="22" a="1"/>
  <c r="O169" i="22" a="1"/>
  <c r="I169" i="22"/>
  <c r="C169" i="22" s="1"/>
  <c r="S126" i="21"/>
  <c r="T126" i="21" s="1"/>
  <c r="V126" i="21" s="1"/>
  <c r="H169" i="22"/>
  <c r="B169" i="22" s="1"/>
  <c r="T75" i="22" a="1"/>
  <c r="R75" i="22" a="1"/>
  <c r="S75" i="22" a="1"/>
  <c r="K169" i="22" a="1"/>
  <c r="N128" i="21" l="1"/>
  <c r="P128" i="21"/>
  <c r="O128" i="21"/>
  <c r="R127" i="21" a="1"/>
  <c r="Q127" i="21" a="1"/>
  <c r="X126" i="21"/>
  <c r="W126" i="21"/>
  <c r="G76" i="22" s="1"/>
  <c r="J76" i="22" s="1"/>
  <c r="D76" i="22" s="1"/>
  <c r="F76" i="22" s="1"/>
  <c r="E76" i="22" s="1"/>
  <c r="T169" i="22" a="1"/>
  <c r="R169" i="22" a="1"/>
  <c r="S169" i="22" a="1"/>
  <c r="O76" i="22" a="1"/>
  <c r="P76" i="22" a="1"/>
  <c r="Q76" i="22" a="1"/>
  <c r="N76" i="22" l="1" a="1"/>
  <c r="L76" i="22" a="1"/>
  <c r="G129" i="21" a="1"/>
  <c r="J129" i="21" a="1"/>
  <c r="F170" i="22" s="1"/>
  <c r="G170" i="22" s="1"/>
  <c r="J170" i="22" s="1"/>
  <c r="D170" i="22" s="1"/>
  <c r="E170" i="22" s="1"/>
  <c r="H76" i="22"/>
  <c r="B76" i="22" s="1"/>
  <c r="I76" i="22"/>
  <c r="C76" i="22" s="1"/>
  <c r="S127" i="21"/>
  <c r="T127" i="21" s="1"/>
  <c r="K76" i="22" a="1"/>
  <c r="K129" i="21" l="1"/>
  <c r="L129" i="21" s="1"/>
  <c r="N170" i="22" a="1"/>
  <c r="L170" i="22" a="1"/>
  <c r="Q170" i="22" a="1"/>
  <c r="P170" i="22" a="1"/>
  <c r="O170" i="22" a="1"/>
  <c r="V127" i="21"/>
  <c r="X127" i="21"/>
  <c r="W127" i="21"/>
  <c r="H170" i="22"/>
  <c r="B170" i="22" s="1"/>
  <c r="I170" i="22"/>
  <c r="C170" i="22" s="1"/>
  <c r="S76" i="22" a="1"/>
  <c r="T76" i="22" a="1"/>
  <c r="R128" i="21" a="1"/>
  <c r="R76" i="22" a="1"/>
  <c r="Q128" i="21" a="1"/>
  <c r="K170" i="22" a="1"/>
  <c r="N129" i="21" l="1"/>
  <c r="P129" i="21"/>
  <c r="O129" i="21"/>
  <c r="E77" i="22" s="1"/>
  <c r="G77" i="22" s="1"/>
  <c r="J77" i="22" s="1"/>
  <c r="D77" i="22" s="1"/>
  <c r="F77" i="22" s="1"/>
  <c r="S170" i="22" a="1"/>
  <c r="T170" i="22" a="1"/>
  <c r="R170" i="22" a="1"/>
  <c r="O77" i="22" a="1"/>
  <c r="Q77" i="22" a="1"/>
  <c r="P77" i="22" a="1"/>
  <c r="G130" i="21" l="1" a="1"/>
  <c r="J130" i="21" a="1"/>
  <c r="N77" i="22" a="1"/>
  <c r="L77" i="22" a="1"/>
  <c r="S128" i="21"/>
  <c r="T128" i="21" s="1"/>
  <c r="I77" i="22"/>
  <c r="C77" i="22" s="1"/>
  <c r="E171" i="22" s="1"/>
  <c r="G171" i="22" s="1"/>
  <c r="J171" i="22" s="1"/>
  <c r="D171" i="22" s="1"/>
  <c r="F171" i="22" s="1"/>
  <c r="H77" i="22"/>
  <c r="B77" i="22" s="1"/>
  <c r="K77" i="22" a="1"/>
  <c r="K130" i="21" l="1"/>
  <c r="L130" i="21" s="1"/>
  <c r="O130" i="21" s="1"/>
  <c r="L171" i="22" a="1"/>
  <c r="N171" i="22" a="1"/>
  <c r="W128" i="21"/>
  <c r="V128" i="21"/>
  <c r="X128" i="21"/>
  <c r="Q171" i="22" a="1"/>
  <c r="P171" i="22" a="1"/>
  <c r="O171" i="22" a="1"/>
  <c r="I171" i="22"/>
  <c r="C171" i="22" s="1"/>
  <c r="P130" i="21"/>
  <c r="N130" i="21"/>
  <c r="H171" i="22"/>
  <c r="B171" i="22" s="1"/>
  <c r="K171" i="22" a="1"/>
  <c r="T77" i="22" a="1"/>
  <c r="R77" i="22" a="1"/>
  <c r="S77" i="22" a="1"/>
  <c r="R129" i="21" l="1" a="1"/>
  <c r="Q129" i="21" a="1"/>
  <c r="J131" i="21" a="1"/>
  <c r="G131" i="21" a="1"/>
  <c r="E78" i="22" s="1"/>
  <c r="G78" i="22" s="1"/>
  <c r="J78" i="22" s="1"/>
  <c r="D78" i="22" s="1"/>
  <c r="F78" i="22" s="1"/>
  <c r="Q78" i="22" a="1"/>
  <c r="S171" i="22" a="1"/>
  <c r="P78" i="22" a="1"/>
  <c r="O78" i="22" a="1"/>
  <c r="R171" i="22" a="1"/>
  <c r="T171" i="22" a="1"/>
  <c r="I78" i="22" l="1"/>
  <c r="C78" i="22" s="1"/>
  <c r="N78" i="22" a="1"/>
  <c r="L78" i="22" a="1"/>
  <c r="S129" i="21"/>
  <c r="T129" i="21" s="1"/>
  <c r="K131" i="21"/>
  <c r="L131" i="21" s="1"/>
  <c r="G172" i="22" s="1"/>
  <c r="J172" i="22" s="1"/>
  <c r="D172" i="22" s="1"/>
  <c r="F172" i="22" s="1"/>
  <c r="E172" i="22" s="1"/>
  <c r="H78" i="22"/>
  <c r="B78" i="22" s="1"/>
  <c r="K78" i="22" a="1"/>
  <c r="L172" i="22" l="1" a="1"/>
  <c r="N172" i="22" a="1"/>
  <c r="W129" i="21"/>
  <c r="V129" i="21"/>
  <c r="X129" i="21"/>
  <c r="Q172" i="22" a="1"/>
  <c r="P172" i="22" a="1"/>
  <c r="O172" i="22" a="1"/>
  <c r="Q130" i="21" a="1"/>
  <c r="R130" i="21" a="1"/>
  <c r="N131" i="21"/>
  <c r="P131" i="21"/>
  <c r="O131" i="21"/>
  <c r="J132" i="21" a="1"/>
  <c r="G132" i="21" a="1"/>
  <c r="H172" i="22"/>
  <c r="B172" i="22" s="1"/>
  <c r="I172" i="22"/>
  <c r="C172" i="22" s="1"/>
  <c r="T78" i="22" a="1"/>
  <c r="R78" i="22" a="1"/>
  <c r="K172" i="22" a="1"/>
  <c r="S78" i="22" a="1"/>
  <c r="K132" i="21" l="1"/>
  <c r="L132" i="21" s="1"/>
  <c r="S130" i="21"/>
  <c r="T130" i="21" s="1"/>
  <c r="F79" i="22" s="1"/>
  <c r="E79" i="22" s="1"/>
  <c r="G79" i="22" s="1"/>
  <c r="J79" i="22" s="1"/>
  <c r="D79" i="22" s="1"/>
  <c r="R172" i="22" a="1"/>
  <c r="P79" i="22" a="1"/>
  <c r="S172" i="22" a="1"/>
  <c r="T172" i="22" a="1"/>
  <c r="O79" i="22" a="1"/>
  <c r="Q79" i="22" a="1"/>
  <c r="N79" i="22" l="1" a="1"/>
  <c r="L79" i="22" a="1"/>
  <c r="P132" i="21"/>
  <c r="N132" i="21"/>
  <c r="O132" i="21"/>
  <c r="W130" i="21"/>
  <c r="V130" i="21"/>
  <c r="X130" i="21"/>
  <c r="J133" i="21" a="1"/>
  <c r="G133" i="21" a="1"/>
  <c r="G173" i="22" s="1"/>
  <c r="J173" i="22" s="1"/>
  <c r="D173" i="22" s="1"/>
  <c r="E173" i="22" s="1"/>
  <c r="F173" i="22" s="1"/>
  <c r="H79" i="22"/>
  <c r="B79" i="22" s="1"/>
  <c r="I79" i="22"/>
  <c r="C79" i="22" s="1"/>
  <c r="K79" i="22" a="1"/>
  <c r="N173" i="22" l="1" a="1"/>
  <c r="L173" i="22" a="1"/>
  <c r="Q173" i="22" a="1"/>
  <c r="P173" i="22" a="1"/>
  <c r="O173" i="22" a="1"/>
  <c r="R131" i="21" a="1"/>
  <c r="Q131" i="21" a="1"/>
  <c r="I173" i="22"/>
  <c r="C173" i="22" s="1"/>
  <c r="K133" i="21"/>
  <c r="L133" i="21" s="1"/>
  <c r="H173" i="22"/>
  <c r="B173" i="22" s="1"/>
  <c r="T79" i="22" a="1"/>
  <c r="R79" i="22" a="1"/>
  <c r="S79" i="22" a="1"/>
  <c r="K173" i="22" a="1"/>
  <c r="S131" i="21" l="1"/>
  <c r="T131" i="21" s="1"/>
  <c r="P133" i="21"/>
  <c r="O133" i="21"/>
  <c r="N133" i="21"/>
  <c r="F80" i="22" s="1"/>
  <c r="E80" i="22" s="1"/>
  <c r="G80" i="22" s="1"/>
  <c r="J80" i="22" s="1"/>
  <c r="D80" i="22" s="1"/>
  <c r="T173" i="22" a="1"/>
  <c r="O80" i="22" a="1"/>
  <c r="S173" i="22" a="1"/>
  <c r="Q80" i="22" a="1"/>
  <c r="R173" i="22" a="1"/>
  <c r="P80" i="22" a="1"/>
  <c r="N80" i="22" l="1" a="1"/>
  <c r="L80" i="22" a="1"/>
  <c r="W131" i="21"/>
  <c r="X131" i="21"/>
  <c r="V131" i="21"/>
  <c r="R132" i="21" a="1"/>
  <c r="Q132" i="21" a="1"/>
  <c r="J134" i="21" a="1"/>
  <c r="G134" i="21" a="1"/>
  <c r="G174" i="22" s="1"/>
  <c r="J174" i="22" s="1"/>
  <c r="D174" i="22" s="1"/>
  <c r="E174" i="22" s="1"/>
  <c r="F174" i="22" s="1"/>
  <c r="H80" i="22"/>
  <c r="B80" i="22" s="1"/>
  <c r="I80" i="22"/>
  <c r="C80" i="22" s="1"/>
  <c r="K80" i="22" a="1"/>
  <c r="N174" i="22" l="1" a="1"/>
  <c r="L174" i="22" a="1"/>
  <c r="Q174" i="22" a="1"/>
  <c r="P174" i="22" a="1"/>
  <c r="O174" i="22" a="1"/>
  <c r="S132" i="21"/>
  <c r="T132" i="21" s="1"/>
  <c r="K134" i="21"/>
  <c r="L134" i="21" s="1"/>
  <c r="I174" i="22"/>
  <c r="C174" i="22" s="1"/>
  <c r="H174" i="22"/>
  <c r="B174" i="22" s="1"/>
  <c r="T80" i="22" a="1"/>
  <c r="R80" i="22" a="1"/>
  <c r="K174" i="22" a="1"/>
  <c r="S80" i="22" a="1"/>
  <c r="W132" i="21" l="1"/>
  <c r="V132" i="21"/>
  <c r="X132" i="21"/>
  <c r="Q133" i="21" a="1"/>
  <c r="R133" i="21" a="1"/>
  <c r="O134" i="21"/>
  <c r="N134" i="21"/>
  <c r="P134" i="21"/>
  <c r="J135" i="21" a="1"/>
  <c r="G135" i="21" a="1"/>
  <c r="E81" i="22" s="1"/>
  <c r="G81" i="22" s="1"/>
  <c r="J81" i="22" s="1"/>
  <c r="D81" i="22" s="1"/>
  <c r="F81" i="22" s="1"/>
  <c r="O81" i="22" a="1"/>
  <c r="S174" i="22" a="1"/>
  <c r="Q81" i="22" a="1"/>
  <c r="T174" i="22" a="1"/>
  <c r="P81" i="22" a="1"/>
  <c r="R174" i="22" a="1"/>
  <c r="N81" i="22" l="1" a="1"/>
  <c r="L81" i="22" a="1"/>
  <c r="S133" i="21"/>
  <c r="T133" i="21" s="1"/>
  <c r="K135" i="21"/>
  <c r="L135" i="21" s="1"/>
  <c r="I81" i="22"/>
  <c r="C81" i="22" s="1"/>
  <c r="E175" i="22" s="1"/>
  <c r="F175" i="22" s="1"/>
  <c r="G175" i="22" s="1"/>
  <c r="J175" i="22" s="1"/>
  <c r="D175" i="22" s="1"/>
  <c r="H81" i="22"/>
  <c r="B81" i="22" s="1"/>
  <c r="K81" i="22" a="1"/>
  <c r="L175" i="22" l="1" a="1"/>
  <c r="N175" i="22" a="1"/>
  <c r="Q175" i="22" a="1"/>
  <c r="P175" i="22" a="1"/>
  <c r="O175" i="22" a="1"/>
  <c r="X133" i="21"/>
  <c r="V133" i="21"/>
  <c r="W133" i="21"/>
  <c r="N135" i="21"/>
  <c r="P135" i="21"/>
  <c r="O135" i="21"/>
  <c r="J136" i="21" a="1"/>
  <c r="G136" i="21" a="1"/>
  <c r="K136" i="21" s="1"/>
  <c r="L136" i="21" s="1"/>
  <c r="P136" i="21" s="1"/>
  <c r="I175" i="22"/>
  <c r="C175" i="22" s="1"/>
  <c r="H175" i="22"/>
  <c r="B175" i="22" s="1"/>
  <c r="S81" i="22" a="1"/>
  <c r="R81" i="22" a="1"/>
  <c r="K175" i="22" a="1"/>
  <c r="T81" i="22" a="1"/>
  <c r="Q134" i="21" l="1" a="1"/>
  <c r="R134" i="21" a="1"/>
  <c r="N136" i="21"/>
  <c r="O136" i="21"/>
  <c r="F82" i="22" s="1"/>
  <c r="E82" i="22" s="1"/>
  <c r="G82" i="22" s="1"/>
  <c r="J82" i="22" s="1"/>
  <c r="D82" i="22" s="1"/>
  <c r="S175" i="22" a="1"/>
  <c r="Q82" i="22" a="1"/>
  <c r="O82" i="22" a="1"/>
  <c r="R175" i="22" a="1"/>
  <c r="P82" i="22" a="1"/>
  <c r="J137" i="21" a="1"/>
  <c r="G137" i="21" a="1"/>
  <c r="T175" i="22" a="1"/>
  <c r="N82" i="22" l="1" a="1"/>
  <c r="L82" i="22" a="1"/>
  <c r="S134" i="21"/>
  <c r="T134" i="21" s="1"/>
  <c r="V134" i="21" s="1"/>
  <c r="F176" i="22" s="1"/>
  <c r="G176" i="22" s="1"/>
  <c r="J176" i="22" s="1"/>
  <c r="D176" i="22" s="1"/>
  <c r="E176" i="22" s="1"/>
  <c r="H82" i="22"/>
  <c r="B82" i="22" s="1"/>
  <c r="I82" i="22"/>
  <c r="C82" i="22" s="1"/>
  <c r="K82" i="22" a="1"/>
  <c r="N176" i="22" l="1" a="1"/>
  <c r="L176" i="22" a="1"/>
  <c r="Q176" i="22" a="1"/>
  <c r="P176" i="22" a="1"/>
  <c r="O176" i="22" a="1"/>
  <c r="W134" i="21"/>
  <c r="X134" i="21"/>
  <c r="Q135" i="21" a="1"/>
  <c r="R135" i="21" a="1"/>
  <c r="K137" i="21"/>
  <c r="L137" i="21" s="1"/>
  <c r="H176" i="22"/>
  <c r="B176" i="22" s="1"/>
  <c r="I176" i="22"/>
  <c r="C176" i="22" s="1"/>
  <c r="R82" i="22" a="1"/>
  <c r="T82" i="22" a="1"/>
  <c r="S82" i="22" a="1"/>
  <c r="K176" i="22" a="1"/>
  <c r="P137" i="21" l="1"/>
  <c r="N137" i="21"/>
  <c r="O137" i="21"/>
  <c r="S135" i="21"/>
  <c r="T135" i="21" s="1"/>
  <c r="G138" i="21" a="1"/>
  <c r="J138" i="21" a="1"/>
  <c r="F83" i="22" s="1"/>
  <c r="G83" i="22" s="1"/>
  <c r="J83" i="22" s="1"/>
  <c r="D83" i="22" s="1"/>
  <c r="E83" i="22" s="1"/>
  <c r="R176" i="22" a="1"/>
  <c r="O83" i="22" a="1"/>
  <c r="P83" i="22" a="1"/>
  <c r="Q83" i="22" a="1"/>
  <c r="S176" i="22" a="1"/>
  <c r="T176" i="22" a="1"/>
  <c r="N83" i="22" l="1" a="1"/>
  <c r="L83" i="22" a="1"/>
  <c r="X135" i="21"/>
  <c r="V135" i="21"/>
  <c r="W135" i="21"/>
  <c r="K138" i="21"/>
  <c r="L138" i="21" s="1"/>
  <c r="G177" i="22" s="1"/>
  <c r="J177" i="22" s="1"/>
  <c r="D177" i="22" s="1"/>
  <c r="E177" i="22" s="1"/>
  <c r="F177" i="22" s="1"/>
  <c r="P138" i="21"/>
  <c r="H83" i="22"/>
  <c r="B83" i="22" s="1"/>
  <c r="I83" i="22"/>
  <c r="C83" i="22" s="1"/>
  <c r="K83" i="22" a="1"/>
  <c r="N177" i="22" l="1" a="1"/>
  <c r="L177" i="22" a="1"/>
  <c r="O138" i="21"/>
  <c r="N138" i="21"/>
  <c r="Q177" i="22" a="1"/>
  <c r="P177" i="22" a="1"/>
  <c r="O177" i="22" a="1"/>
  <c r="R136" i="21" a="1"/>
  <c r="Q136" i="21" a="1"/>
  <c r="I177" i="22"/>
  <c r="C177" i="22" s="1"/>
  <c r="H177" i="22"/>
  <c r="B177" i="22" s="1"/>
  <c r="R83" i="22" a="1"/>
  <c r="S83" i="22" a="1"/>
  <c r="T83" i="22" a="1"/>
  <c r="K177" i="22" a="1"/>
  <c r="G139" i="21" l="1" a="1"/>
  <c r="K139" i="21" s="1"/>
  <c r="L139" i="21" s="1"/>
  <c r="J139" i="21" a="1"/>
  <c r="S136" i="21"/>
  <c r="T136" i="21" s="1"/>
  <c r="G84" i="22" s="1"/>
  <c r="J84" i="22" s="1"/>
  <c r="D84" i="22" s="1"/>
  <c r="F84" i="22" s="1"/>
  <c r="E84" i="22" s="1"/>
  <c r="O84" i="22" a="1"/>
  <c r="Q84" i="22" a="1"/>
  <c r="P84" i="22" a="1"/>
  <c r="T177" i="22" a="1"/>
  <c r="R177" i="22" a="1"/>
  <c r="S177" i="22" a="1"/>
  <c r="N84" i="22" l="1" a="1"/>
  <c r="L84" i="22" a="1"/>
  <c r="O139" i="21"/>
  <c r="N139" i="21"/>
  <c r="P139" i="21"/>
  <c r="X136" i="21"/>
  <c r="W136" i="21"/>
  <c r="V136" i="21"/>
  <c r="R137" i="21" a="1"/>
  <c r="Q137" i="21" a="1"/>
  <c r="F178" i="22" s="1"/>
  <c r="E178" i="22" s="1"/>
  <c r="G178" i="22" s="1"/>
  <c r="J178" i="22" s="1"/>
  <c r="D178" i="22" s="1"/>
  <c r="H84" i="22"/>
  <c r="B84" i="22" s="1"/>
  <c r="I84" i="22"/>
  <c r="C84" i="22" s="1"/>
  <c r="K84" i="22" a="1"/>
  <c r="N178" i="22" l="1" a="1"/>
  <c r="L178" i="22" a="1"/>
  <c r="J140" i="21" a="1"/>
  <c r="G140" i="21" a="1"/>
  <c r="K140" i="21" s="1"/>
  <c r="L140" i="21" s="1"/>
  <c r="Q178" i="22" a="1"/>
  <c r="P178" i="22" a="1"/>
  <c r="O178" i="22" a="1"/>
  <c r="S137" i="21"/>
  <c r="T137" i="21" s="1"/>
  <c r="I178" i="22"/>
  <c r="C178" i="22" s="1"/>
  <c r="H178" i="22"/>
  <c r="B178" i="22" s="1"/>
  <c r="R84" i="22" a="1"/>
  <c r="K178" i="22" a="1"/>
  <c r="T84" i="22" a="1"/>
  <c r="S84" i="22" a="1"/>
  <c r="W137" i="21" l="1"/>
  <c r="V137" i="21"/>
  <c r="X137" i="21"/>
  <c r="R138" i="21" a="1"/>
  <c r="Q138" i="21" a="1"/>
  <c r="E85" i="22" s="1"/>
  <c r="F85" i="22" s="1"/>
  <c r="G85" i="22" s="1"/>
  <c r="J85" i="22" s="1"/>
  <c r="D85" i="22" s="1"/>
  <c r="N140" i="21"/>
  <c r="P140" i="21"/>
  <c r="O140" i="21"/>
  <c r="T178" i="22" a="1"/>
  <c r="R178" i="22" a="1"/>
  <c r="P85" i="22" a="1"/>
  <c r="Q85" i="22" a="1"/>
  <c r="O85" i="22" a="1"/>
  <c r="G141" i="21" a="1"/>
  <c r="J141" i="21" a="1"/>
  <c r="S178" i="22" a="1"/>
  <c r="N85" i="22" l="1" a="1"/>
  <c r="L85" i="22" a="1"/>
  <c r="S138" i="21"/>
  <c r="T138" i="21" s="1"/>
  <c r="I85" i="22"/>
  <c r="C85" i="22" s="1"/>
  <c r="G179" i="22" s="1"/>
  <c r="J179" i="22" s="1"/>
  <c r="D179" i="22" s="1"/>
  <c r="E179" i="22" s="1"/>
  <c r="F179" i="22" s="1"/>
  <c r="H85" i="22"/>
  <c r="B85" i="22" s="1"/>
  <c r="K85" i="22" a="1"/>
  <c r="N179" i="22" l="1" a="1"/>
  <c r="L179" i="22" a="1"/>
  <c r="Q179" i="22" a="1"/>
  <c r="P179" i="22" a="1"/>
  <c r="O179" i="22" a="1"/>
  <c r="W138" i="21"/>
  <c r="V138" i="21"/>
  <c r="X138" i="21"/>
  <c r="R139" i="21" a="1"/>
  <c r="Q139" i="21" a="1"/>
  <c r="S139" i="21" s="1"/>
  <c r="T139" i="21" s="1"/>
  <c r="K141" i="21"/>
  <c r="L141" i="21" s="1"/>
  <c r="I179" i="22"/>
  <c r="C179" i="22" s="1"/>
  <c r="H179" i="22"/>
  <c r="B179" i="22" s="1"/>
  <c r="S85" i="22" a="1"/>
  <c r="T85" i="22" a="1"/>
  <c r="R85" i="22" a="1"/>
  <c r="K179" i="22" a="1"/>
  <c r="O141" i="21" l="1"/>
  <c r="N141" i="21"/>
  <c r="P141" i="21"/>
  <c r="X139" i="21"/>
  <c r="W139" i="21"/>
  <c r="V139" i="21"/>
  <c r="E86" i="22" s="1"/>
  <c r="G86" i="22" s="1"/>
  <c r="J86" i="22" s="1"/>
  <c r="D86" i="22" s="1"/>
  <c r="F86" i="22" s="1"/>
  <c r="S179" i="22" a="1"/>
  <c r="Q140" i="21" a="1"/>
  <c r="T179" i="22" a="1"/>
  <c r="Q86" i="22" a="1"/>
  <c r="O86" i="22" a="1"/>
  <c r="P86" i="22" a="1"/>
  <c r="R140" i="21" a="1"/>
  <c r="R179" i="22" a="1"/>
  <c r="N86" i="22" l="1" a="1"/>
  <c r="L86" i="22" a="1"/>
  <c r="J142" i="21" a="1"/>
  <c r="G142" i="21" a="1"/>
  <c r="I86" i="22"/>
  <c r="C86" i="22" s="1"/>
  <c r="F180" i="22" s="1"/>
  <c r="E180" i="22" s="1"/>
  <c r="G180" i="22" s="1"/>
  <c r="J180" i="22" s="1"/>
  <c r="D180" i="22" s="1"/>
  <c r="H86" i="22"/>
  <c r="B86" i="22" s="1"/>
  <c r="K86" i="22" a="1"/>
  <c r="N180" i="22" l="1" a="1"/>
  <c r="L180" i="22" a="1"/>
  <c r="K142" i="21"/>
  <c r="L142" i="21" s="1"/>
  <c r="Q180" i="22" a="1"/>
  <c r="P180" i="22" a="1"/>
  <c r="O180" i="22" a="1"/>
  <c r="S140" i="21"/>
  <c r="T140" i="21" s="1"/>
  <c r="I180" i="22"/>
  <c r="C180" i="22" s="1"/>
  <c r="H180" i="22"/>
  <c r="B180" i="22" s="1"/>
  <c r="S86" i="22" a="1"/>
  <c r="R86" i="22" a="1"/>
  <c r="T86" i="22" a="1"/>
  <c r="K180" i="22" a="1"/>
  <c r="O142" i="21" l="1"/>
  <c r="N142" i="21"/>
  <c r="P142" i="21"/>
  <c r="J143" i="21" a="1"/>
  <c r="G143" i="21" a="1"/>
  <c r="K143" i="21" s="1"/>
  <c r="L143" i="21" s="1"/>
  <c r="W140" i="21"/>
  <c r="X140" i="21"/>
  <c r="V140" i="21"/>
  <c r="G87" i="22" s="1"/>
  <c r="J87" i="22" s="1"/>
  <c r="D87" i="22" s="1"/>
  <c r="E87" i="22" s="1"/>
  <c r="F87" i="22" s="1"/>
  <c r="R180" i="22" a="1"/>
  <c r="S180" i="22" a="1"/>
  <c r="T180" i="22" a="1"/>
  <c r="O87" i="22" a="1"/>
  <c r="Q87" i="22" a="1"/>
  <c r="P87" i="22" a="1"/>
  <c r="N87" i="22" l="1" a="1"/>
  <c r="L87" i="22" a="1"/>
  <c r="I87" i="22"/>
  <c r="C87" i="22" s="1"/>
  <c r="N143" i="21"/>
  <c r="P143" i="21"/>
  <c r="O143" i="21"/>
  <c r="Q141" i="21" a="1"/>
  <c r="R141" i="21" a="1"/>
  <c r="G181" i="22" s="1"/>
  <c r="J181" i="22" s="1"/>
  <c r="D181" i="22" s="1"/>
  <c r="F181" i="22" s="1"/>
  <c r="E181" i="22" s="1"/>
  <c r="H87" i="22"/>
  <c r="B87" i="22" s="1"/>
  <c r="K87" i="22" a="1"/>
  <c r="N181" i="22" l="1" a="1"/>
  <c r="L181" i="22" a="1"/>
  <c r="Q181" i="22" a="1"/>
  <c r="P181" i="22" a="1"/>
  <c r="O181" i="22" a="1"/>
  <c r="J144" i="21" a="1"/>
  <c r="G144" i="21" a="1"/>
  <c r="S141" i="21"/>
  <c r="T141" i="21" s="1"/>
  <c r="H181" i="22"/>
  <c r="B181" i="22" s="1"/>
  <c r="I181" i="22"/>
  <c r="C181" i="22" s="1"/>
  <c r="S87" i="22" a="1"/>
  <c r="K181" i="22" a="1"/>
  <c r="T87" i="22" a="1"/>
  <c r="R87" i="22" a="1"/>
  <c r="K144" i="21" l="1"/>
  <c r="L144" i="21" s="1"/>
  <c r="X141" i="21"/>
  <c r="W141" i="21"/>
  <c r="V141" i="21"/>
  <c r="E88" i="22" s="1"/>
  <c r="G88" i="22" s="1"/>
  <c r="J88" i="22" s="1"/>
  <c r="D88" i="22" s="1"/>
  <c r="F88" i="22" s="1"/>
  <c r="I88" i="22" s="1"/>
  <c r="C88" i="22" s="1"/>
  <c r="T181" i="22" a="1"/>
  <c r="O88" i="22" a="1"/>
  <c r="R181" i="22" a="1"/>
  <c r="P88" i="22" a="1"/>
  <c r="Q88" i="22" a="1"/>
  <c r="S181" i="22" a="1"/>
  <c r="N88" i="22" l="1" a="1"/>
  <c r="L88" i="22" a="1"/>
  <c r="N144" i="21"/>
  <c r="P144" i="21"/>
  <c r="O144" i="21"/>
  <c r="Q142" i="21" a="1"/>
  <c r="R142" i="21" a="1"/>
  <c r="F182" i="22" s="1"/>
  <c r="G182" i="22" s="1"/>
  <c r="J182" i="22" s="1"/>
  <c r="D182" i="22" s="1"/>
  <c r="E182" i="22" s="1"/>
  <c r="H88" i="22"/>
  <c r="B88" i="22" s="1"/>
  <c r="K88" i="22" a="1"/>
  <c r="L182" i="22" l="1" a="1"/>
  <c r="N182" i="22" a="1"/>
  <c r="Q182" i="22" a="1"/>
  <c r="P182" i="22" a="1"/>
  <c r="O182" i="22" a="1"/>
  <c r="J145" i="21" a="1"/>
  <c r="G145" i="21" a="1"/>
  <c r="S142" i="21"/>
  <c r="T142" i="21" s="1"/>
  <c r="H182" i="22"/>
  <c r="B182" i="22" s="1"/>
  <c r="I182" i="22"/>
  <c r="C182" i="22" s="1"/>
  <c r="S88" i="22" a="1"/>
  <c r="K182" i="22" a="1"/>
  <c r="T88" i="22" a="1"/>
  <c r="R88" i="22" a="1"/>
  <c r="K145" i="21" l="1"/>
  <c r="L145" i="21" s="1"/>
  <c r="W142" i="21"/>
  <c r="V142" i="21"/>
  <c r="X142" i="21"/>
  <c r="R143" i="21" a="1"/>
  <c r="Q143" i="21" a="1"/>
  <c r="E89" i="22" s="1"/>
  <c r="G89" i="22" s="1"/>
  <c r="J89" i="22" s="1"/>
  <c r="D89" i="22" s="1"/>
  <c r="F89" i="22" s="1"/>
  <c r="O89" i="22" a="1"/>
  <c r="S182" i="22" a="1"/>
  <c r="Q89" i="22" a="1"/>
  <c r="T182" i="22" a="1"/>
  <c r="P89" i="22" a="1"/>
  <c r="R182" i="22" a="1"/>
  <c r="N89" i="22" l="1" a="1"/>
  <c r="L89" i="22" a="1"/>
  <c r="I89" i="22"/>
  <c r="C89" i="22" s="1"/>
  <c r="N145" i="21"/>
  <c r="P145" i="21"/>
  <c r="O145" i="21"/>
  <c r="S143" i="21"/>
  <c r="T143" i="21" s="1"/>
  <c r="G183" i="22" s="1"/>
  <c r="J183" i="22" s="1"/>
  <c r="D183" i="22" s="1"/>
  <c r="E183" i="22" s="1"/>
  <c r="F183" i="22" s="1"/>
  <c r="H89" i="22"/>
  <c r="B89" i="22" s="1"/>
  <c r="K89" i="22" a="1"/>
  <c r="L183" i="22" l="1" a="1"/>
  <c r="N183" i="22" a="1"/>
  <c r="Q183" i="22" a="1"/>
  <c r="P183" i="22" a="1"/>
  <c r="O183" i="22" a="1"/>
  <c r="G146" i="21" a="1"/>
  <c r="J146" i="21" a="1"/>
  <c r="V143" i="21"/>
  <c r="W143" i="21"/>
  <c r="X143" i="21"/>
  <c r="R144" i="21" a="1"/>
  <c r="Q144" i="21" a="1"/>
  <c r="I183" i="22"/>
  <c r="C183" i="22" s="1"/>
  <c r="H183" i="22"/>
  <c r="B183" i="22" s="1"/>
  <c r="T89" i="22" a="1"/>
  <c r="K183" i="22" a="1"/>
  <c r="R89" i="22" a="1"/>
  <c r="S89" i="22" a="1"/>
  <c r="K146" i="21" l="1"/>
  <c r="L146" i="21" s="1"/>
  <c r="S144" i="21"/>
  <c r="T144" i="21" s="1"/>
  <c r="G90" i="22" s="1"/>
  <c r="J90" i="22" s="1"/>
  <c r="D90" i="22" s="1"/>
  <c r="F90" i="22" s="1"/>
  <c r="E90" i="22" s="1"/>
  <c r="P90" i="22" a="1"/>
  <c r="O90" i="22" a="1"/>
  <c r="Q90" i="22" a="1"/>
  <c r="T183" i="22" a="1"/>
  <c r="R183" i="22" a="1"/>
  <c r="S183" i="22" a="1"/>
  <c r="L90" i="22" l="1" a="1"/>
  <c r="N90" i="22" a="1"/>
  <c r="N146" i="21"/>
  <c r="P146" i="21"/>
  <c r="O146" i="21"/>
  <c r="V144" i="21"/>
  <c r="W144" i="21"/>
  <c r="X144" i="21"/>
  <c r="F184" i="22" s="1"/>
  <c r="E184" i="22" s="1"/>
  <c r="G184" i="22" s="1"/>
  <c r="J184" i="22" s="1"/>
  <c r="D184" i="22" s="1"/>
  <c r="H90" i="22"/>
  <c r="B90" i="22" s="1"/>
  <c r="I90" i="22"/>
  <c r="C90" i="22" s="1"/>
  <c r="K90" i="22" a="1"/>
  <c r="N184" i="22" l="1" a="1"/>
  <c r="L184" i="22" a="1"/>
  <c r="G147" i="21" a="1"/>
  <c r="J147" i="21" a="1"/>
  <c r="Q184" i="22" a="1"/>
  <c r="P184" i="22" a="1"/>
  <c r="O184" i="22" a="1"/>
  <c r="R145" i="21" a="1"/>
  <c r="Q145" i="21" a="1"/>
  <c r="I184" i="22"/>
  <c r="C184" i="22" s="1"/>
  <c r="H184" i="22"/>
  <c r="B184" i="22" s="1"/>
  <c r="R90" i="22" a="1"/>
  <c r="S90" i="22" a="1"/>
  <c r="K184" i="22" a="1"/>
  <c r="T90" i="22" a="1"/>
  <c r="K147" i="21" l="1"/>
  <c r="L147" i="21" s="1"/>
  <c r="S145" i="21"/>
  <c r="T145" i="21" s="1"/>
  <c r="F91" i="22" s="1"/>
  <c r="E91" i="22" s="1"/>
  <c r="G91" i="22" s="1"/>
  <c r="J91" i="22" s="1"/>
  <c r="D91" i="22" s="1"/>
  <c r="P91" i="22" a="1"/>
  <c r="R184" i="22" a="1"/>
  <c r="Q91" i="22" a="1"/>
  <c r="O91" i="22" a="1"/>
  <c r="S184" i="22" a="1"/>
  <c r="T184" i="22" a="1"/>
  <c r="N91" i="22" l="1" a="1"/>
  <c r="L91" i="22" a="1"/>
  <c r="N147" i="21"/>
  <c r="P147" i="21"/>
  <c r="O147" i="21"/>
  <c r="W145" i="21"/>
  <c r="V145" i="21"/>
  <c r="X145" i="21"/>
  <c r="R146" i="21" a="1"/>
  <c r="Q146" i="21" a="1"/>
  <c r="S146" i="21" s="1"/>
  <c r="T146" i="21" s="1"/>
  <c r="E185" i="22" s="1"/>
  <c r="G185" i="22" s="1"/>
  <c r="J185" i="22" s="1"/>
  <c r="D185" i="22" s="1"/>
  <c r="F185" i="22" s="1"/>
  <c r="H91" i="22"/>
  <c r="B91" i="22" s="1"/>
  <c r="I91" i="22"/>
  <c r="C91" i="22" s="1"/>
  <c r="K91" i="22" a="1"/>
  <c r="N185" i="22" l="1" a="1"/>
  <c r="L185" i="22" a="1"/>
  <c r="G148" i="21" a="1"/>
  <c r="J148" i="21" a="1"/>
  <c r="Q185" i="22" a="1"/>
  <c r="P185" i="22" a="1"/>
  <c r="O185" i="22" a="1"/>
  <c r="X146" i="21"/>
  <c r="V146" i="21"/>
  <c r="W146" i="21"/>
  <c r="I185" i="22"/>
  <c r="C185" i="22" s="1"/>
  <c r="H185" i="22"/>
  <c r="B185" i="22" s="1"/>
  <c r="R91" i="22" a="1"/>
  <c r="T91" i="22" a="1"/>
  <c r="S91" i="22" a="1"/>
  <c r="K185" i="22" a="1"/>
  <c r="K148" i="21" l="1"/>
  <c r="L148" i="21" s="1"/>
  <c r="N148" i="21"/>
  <c r="P148" i="21"/>
  <c r="O148" i="21"/>
  <c r="R147" i="21" a="1"/>
  <c r="Q147" i="21" a="1"/>
  <c r="F92" i="22" s="1"/>
  <c r="E92" i="22" s="1"/>
  <c r="G92" i="22" s="1"/>
  <c r="J92" i="22" s="1"/>
  <c r="D92" i="22" s="1"/>
  <c r="Q92" i="22" a="1"/>
  <c r="O92" i="22" a="1"/>
  <c r="P92" i="22" a="1"/>
  <c r="T185" i="22" a="1"/>
  <c r="S185" i="22" a="1"/>
  <c r="R185" i="22" a="1"/>
  <c r="N92" i="22" l="1" a="1"/>
  <c r="L92" i="22" a="1"/>
  <c r="G149" i="21" a="1"/>
  <c r="J149" i="21" a="1"/>
  <c r="S147" i="21"/>
  <c r="T147" i="21" s="1"/>
  <c r="I92" i="22"/>
  <c r="C92" i="22" s="1"/>
  <c r="E186" i="22" s="1"/>
  <c r="F186" i="22" s="1"/>
  <c r="G186" i="22" s="1"/>
  <c r="J186" i="22" s="1"/>
  <c r="D186" i="22" s="1"/>
  <c r="H92" i="22"/>
  <c r="B92" i="22" s="1"/>
  <c r="K92" i="22" a="1"/>
  <c r="N186" i="22" l="1" a="1"/>
  <c r="L186" i="22" a="1"/>
  <c r="Q186" i="22" a="1"/>
  <c r="P186" i="22" a="1"/>
  <c r="O186" i="22" a="1"/>
  <c r="I186" i="22"/>
  <c r="C186" i="22" s="1"/>
  <c r="K149" i="21"/>
  <c r="L149" i="21" s="1"/>
  <c r="X147" i="21"/>
  <c r="W147" i="21"/>
  <c r="V147" i="21"/>
  <c r="Q148" i="21" a="1"/>
  <c r="R148" i="21" a="1"/>
  <c r="P149" i="21"/>
  <c r="H186" i="22"/>
  <c r="B186" i="22" s="1"/>
  <c r="R92" i="22" a="1"/>
  <c r="T92" i="22" a="1"/>
  <c r="S92" i="22" a="1"/>
  <c r="K186" i="22" a="1"/>
  <c r="O149" i="21" l="1"/>
  <c r="N149" i="21"/>
  <c r="S148" i="21"/>
  <c r="T148" i="21" s="1"/>
  <c r="F93" i="22" s="1"/>
  <c r="E93" i="22" s="1"/>
  <c r="G93" i="22" s="1"/>
  <c r="J93" i="22" s="1"/>
  <c r="D93" i="22" s="1"/>
  <c r="P93" i="22" a="1"/>
  <c r="O93" i="22" a="1"/>
  <c r="Q93" i="22" a="1"/>
  <c r="T186" i="22" a="1"/>
  <c r="S186" i="22" a="1"/>
  <c r="R186" i="22" a="1"/>
  <c r="N93" i="22" l="1" a="1"/>
  <c r="L93" i="22" a="1"/>
  <c r="G150" i="21" a="1"/>
  <c r="J150" i="21" a="1"/>
  <c r="V148" i="21"/>
  <c r="X148" i="21"/>
  <c r="W148" i="21"/>
  <c r="Q149" i="21" a="1"/>
  <c r="R149" i="21" a="1"/>
  <c r="I93" i="22"/>
  <c r="C93" i="22" s="1"/>
  <c r="E187" i="22" s="1"/>
  <c r="F187" i="22" s="1"/>
  <c r="G187" i="22" s="1"/>
  <c r="J187" i="22" s="1"/>
  <c r="D187" i="22" s="1"/>
  <c r="H93" i="22"/>
  <c r="B93" i="22" s="1"/>
  <c r="K93" i="22" a="1"/>
  <c r="K150" i="21" l="1"/>
  <c r="L150" i="21" s="1"/>
  <c r="N187" i="22" a="1"/>
  <c r="L187" i="22" a="1"/>
  <c r="O150" i="21"/>
  <c r="N150" i="21"/>
  <c r="P150" i="21"/>
  <c r="Q187" i="22" a="1"/>
  <c r="P187" i="22" a="1"/>
  <c r="O187" i="22" a="1"/>
  <c r="S149" i="21"/>
  <c r="T149" i="21" s="1"/>
  <c r="I187" i="22"/>
  <c r="C187" i="22" s="1"/>
  <c r="H187" i="22"/>
  <c r="B187" i="22" s="1"/>
  <c r="K187" i="22" a="1"/>
  <c r="T93" i="22" a="1"/>
  <c r="S93" i="22" a="1"/>
  <c r="R93" i="22" a="1"/>
  <c r="G151" i="21" l="1" a="1"/>
  <c r="J151" i="21" a="1"/>
  <c r="V149" i="21"/>
  <c r="X149" i="21"/>
  <c r="W149" i="21"/>
  <c r="E94" i="22" s="1"/>
  <c r="F94" i="22" s="1"/>
  <c r="G94" i="22" s="1"/>
  <c r="J94" i="22" s="1"/>
  <c r="D94" i="22" s="1"/>
  <c r="Q94" i="22" a="1"/>
  <c r="S187" i="22" a="1"/>
  <c r="T187" i="22" a="1"/>
  <c r="R187" i="22" a="1"/>
  <c r="O94" i="22" a="1"/>
  <c r="P94" i="22" a="1"/>
  <c r="K151" i="21" l="1"/>
  <c r="L151" i="21" s="1"/>
  <c r="N94" i="22" a="1"/>
  <c r="L94" i="22" a="1"/>
  <c r="Q150" i="21" a="1"/>
  <c r="R150" i="21" a="1"/>
  <c r="O151" i="21"/>
  <c r="N151" i="21"/>
  <c r="P151" i="21"/>
  <c r="I94" i="22"/>
  <c r="C94" i="22" s="1"/>
  <c r="E188" i="22" s="1"/>
  <c r="G188" i="22" s="1"/>
  <c r="J188" i="22" s="1"/>
  <c r="D188" i="22" s="1"/>
  <c r="F188" i="22" s="1"/>
  <c r="H94" i="22"/>
  <c r="B94" i="22" s="1"/>
  <c r="K94" i="22" a="1"/>
  <c r="N188" i="22" l="1" a="1"/>
  <c r="L188" i="22" a="1"/>
  <c r="Q188" i="22" a="1"/>
  <c r="P188" i="22" a="1"/>
  <c r="O188" i="22" a="1"/>
  <c r="S150" i="21"/>
  <c r="T150" i="21" s="1"/>
  <c r="G152" i="21" a="1"/>
  <c r="J152" i="21" a="1"/>
  <c r="I188" i="22"/>
  <c r="C188" i="22" s="1"/>
  <c r="H188" i="22"/>
  <c r="B188" i="22" s="1"/>
  <c r="S94" i="22" a="1"/>
  <c r="R94" i="22" a="1"/>
  <c r="T94" i="22" a="1"/>
  <c r="K188" i="22" a="1"/>
  <c r="K152" i="21" l="1"/>
  <c r="L152" i="21" s="1"/>
  <c r="P152" i="21" s="1"/>
  <c r="W150" i="21"/>
  <c r="V150" i="21"/>
  <c r="X150" i="21"/>
  <c r="G95" i="22" s="1"/>
  <c r="J95" i="22" s="1"/>
  <c r="D95" i="22" s="1"/>
  <c r="E95" i="22" s="1"/>
  <c r="F95" i="22" s="1"/>
  <c r="T188" i="22" a="1"/>
  <c r="S188" i="22" a="1"/>
  <c r="O95" i="22" a="1"/>
  <c r="P95" i="22" a="1"/>
  <c r="R188" i="22" a="1"/>
  <c r="Q95" i="22" a="1"/>
  <c r="N95" i="22" l="1" a="1"/>
  <c r="L95" i="22" a="1"/>
  <c r="N152" i="21"/>
  <c r="O152" i="21"/>
  <c r="Q151" i="21" a="1"/>
  <c r="R151" i="21" a="1"/>
  <c r="G153" i="21" a="1"/>
  <c r="J153" i="21" a="1"/>
  <c r="F189" i="22" s="1"/>
  <c r="E189" i="22" s="1"/>
  <c r="G189" i="22" s="1"/>
  <c r="J189" i="22" s="1"/>
  <c r="D189" i="22" s="1"/>
  <c r="H95" i="22"/>
  <c r="B95" i="22" s="1"/>
  <c r="I95" i="22"/>
  <c r="C95" i="22" s="1"/>
  <c r="K95" i="22" a="1"/>
  <c r="N189" i="22" l="1" a="1"/>
  <c r="L189" i="22" a="1"/>
  <c r="Q189" i="22" a="1"/>
  <c r="P189" i="22" a="1"/>
  <c r="O189" i="22" a="1"/>
  <c r="S151" i="21"/>
  <c r="T151" i="21" s="1"/>
  <c r="K153" i="21"/>
  <c r="L153" i="21" s="1"/>
  <c r="H189" i="22"/>
  <c r="B189" i="22" s="1"/>
  <c r="I189" i="22"/>
  <c r="C189" i="22" s="1"/>
  <c r="R95" i="22" a="1"/>
  <c r="S95" i="22" a="1"/>
  <c r="T95" i="22" a="1"/>
  <c r="K189" i="22" a="1"/>
  <c r="V151" i="21" l="1"/>
  <c r="W151" i="21"/>
  <c r="X151" i="21"/>
  <c r="P153" i="21"/>
  <c r="N153" i="21"/>
  <c r="O153" i="21"/>
  <c r="G96" i="22" s="1"/>
  <c r="J96" i="22" s="1"/>
  <c r="D96" i="22" s="1"/>
  <c r="F96" i="22" s="1"/>
  <c r="E96" i="22" s="1"/>
  <c r="P96" i="22" a="1"/>
  <c r="O96" i="22" a="1"/>
  <c r="Q96" i="22" a="1"/>
  <c r="R189" i="22" a="1"/>
  <c r="T189" i="22" a="1"/>
  <c r="S189" i="22" a="1"/>
  <c r="L96" i="22" l="1" a="1"/>
  <c r="N96" i="22" a="1"/>
  <c r="Q152" i="21" a="1"/>
  <c r="R152" i="21" a="1"/>
  <c r="G154" i="21" a="1"/>
  <c r="J154" i="21" a="1"/>
  <c r="F190" i="22" s="1"/>
  <c r="G190" i="22" s="1"/>
  <c r="J190" i="22" s="1"/>
  <c r="D190" i="22" s="1"/>
  <c r="E190" i="22" s="1"/>
  <c r="H96" i="22"/>
  <c r="B96" i="22" s="1"/>
  <c r="I96" i="22"/>
  <c r="C96" i="22" s="1"/>
  <c r="K96" i="22" a="1"/>
  <c r="L190" i="22" l="1" a="1"/>
  <c r="N190" i="22" a="1"/>
  <c r="Q190" i="22" a="1"/>
  <c r="P190" i="22" a="1"/>
  <c r="O190" i="22" a="1"/>
  <c r="S152" i="21"/>
  <c r="T152" i="21" s="1"/>
  <c r="K154" i="21"/>
  <c r="L154" i="21" s="1"/>
  <c r="H190" i="22"/>
  <c r="B190" i="22" s="1"/>
  <c r="I190" i="22"/>
  <c r="C190" i="22" s="1"/>
  <c r="T96" i="22" a="1"/>
  <c r="R96" i="22" a="1"/>
  <c r="S96" i="22" a="1"/>
  <c r="K190" i="22" a="1"/>
  <c r="P154" i="21" l="1"/>
  <c r="N154" i="21"/>
  <c r="O154" i="21"/>
  <c r="W152" i="21"/>
  <c r="V152" i="21"/>
  <c r="X152" i="21"/>
  <c r="G155" i="21" a="1"/>
  <c r="J155" i="21" a="1"/>
  <c r="Q153" i="21" a="1"/>
  <c r="R153" i="21" a="1"/>
  <c r="F97" i="22" s="1"/>
  <c r="E97" i="22" s="1"/>
  <c r="G97" i="22" s="1"/>
  <c r="J97" i="22" s="1"/>
  <c r="D97" i="22" s="1"/>
  <c r="Q97" i="22" a="1"/>
  <c r="R190" i="22" a="1"/>
  <c r="T190" i="22" a="1"/>
  <c r="P97" i="22" a="1"/>
  <c r="O97" i="22" a="1"/>
  <c r="S190" i="22" a="1"/>
  <c r="L97" i="22" l="1" a="1"/>
  <c r="N97" i="22" a="1"/>
  <c r="K155" i="21"/>
  <c r="L155" i="21" s="1"/>
  <c r="S153" i="21"/>
  <c r="T153" i="21" s="1"/>
  <c r="W153" i="21" s="1"/>
  <c r="I97" i="22"/>
  <c r="C97" i="22" s="1"/>
  <c r="G191" i="22" s="1"/>
  <c r="J191" i="22" s="1"/>
  <c r="D191" i="22" s="1"/>
  <c r="F191" i="22" s="1"/>
  <c r="E191" i="22" s="1"/>
  <c r="V153" i="21"/>
  <c r="X153" i="21"/>
  <c r="H97" i="22"/>
  <c r="B97" i="22" s="1"/>
  <c r="Q154" i="21" a="1"/>
  <c r="R154" i="21" a="1"/>
  <c r="K97" i="22" a="1"/>
  <c r="L191" i="22" l="1" a="1"/>
  <c r="N191" i="22" a="1"/>
  <c r="Q191" i="22" a="1"/>
  <c r="P191" i="22" a="1"/>
  <c r="O191" i="22" a="1"/>
  <c r="P155" i="21"/>
  <c r="N155" i="21"/>
  <c r="O155" i="21"/>
  <c r="S154" i="21" s="1"/>
  <c r="T154" i="21" s="1"/>
  <c r="W154" i="21" s="1"/>
  <c r="H191" i="22"/>
  <c r="B191" i="22" s="1"/>
  <c r="I191" i="22"/>
  <c r="C191" i="22" s="1"/>
  <c r="S97" i="22" a="1"/>
  <c r="R97" i="22" a="1"/>
  <c r="T97" i="22" a="1"/>
  <c r="K191" i="22" a="1"/>
  <c r="G156" i="21" l="1" a="1"/>
  <c r="J156" i="21" a="1"/>
  <c r="G98" i="22" s="1"/>
  <c r="J98" i="22" s="1"/>
  <c r="D98" i="22" s="1"/>
  <c r="E98" i="22" s="1"/>
  <c r="F98" i="22" s="1"/>
  <c r="V154" i="21"/>
  <c r="X154" i="21"/>
  <c r="Q155" i="21" a="1"/>
  <c r="O98" i="22" a="1"/>
  <c r="P98" i="22" a="1"/>
  <c r="Q98" i="22" a="1"/>
  <c r="R191" i="22" a="1"/>
  <c r="S191" i="22" a="1"/>
  <c r="T191" i="22" a="1"/>
  <c r="R155" i="21" a="1"/>
  <c r="N98" i="22" l="1" a="1"/>
  <c r="L98" i="22" a="1"/>
  <c r="K156" i="21"/>
  <c r="L156" i="21" s="1"/>
  <c r="G192" i="22" s="1"/>
  <c r="J192" i="22" s="1"/>
  <c r="D192" i="22" s="1"/>
  <c r="F192" i="22" s="1"/>
  <c r="E192" i="22" s="1"/>
  <c r="H98" i="22"/>
  <c r="B98" i="22" s="1"/>
  <c r="I98" i="22"/>
  <c r="C98" i="22" s="1"/>
  <c r="K98" i="22" a="1"/>
  <c r="N192" i="22" l="1" a="1"/>
  <c r="L192" i="22" a="1"/>
  <c r="Q192" i="22" a="1"/>
  <c r="P192" i="22" a="1"/>
  <c r="O192" i="22" a="1"/>
  <c r="N156" i="21"/>
  <c r="P156" i="21"/>
  <c r="O156" i="21"/>
  <c r="H192" i="22"/>
  <c r="B192" i="22" s="1"/>
  <c r="I192" i="22"/>
  <c r="C192" i="22" s="1"/>
  <c r="S155" i="21"/>
  <c r="T155" i="21" s="1"/>
  <c r="R98" i="22" a="1"/>
  <c r="T98" i="22" a="1"/>
  <c r="S98" i="22" a="1"/>
  <c r="K192" i="22" a="1"/>
  <c r="G157" i="21" l="1" a="1"/>
  <c r="J157" i="21" a="1"/>
  <c r="F99" i="22" s="1"/>
  <c r="G99" i="22" s="1"/>
  <c r="J99" i="22" s="1"/>
  <c r="D99" i="22" s="1"/>
  <c r="E99" i="22" s="1"/>
  <c r="W155" i="21"/>
  <c r="V155" i="21"/>
  <c r="X155" i="21"/>
  <c r="O99" i="22" a="1"/>
  <c r="P99" i="22" a="1"/>
  <c r="R156" i="21" a="1"/>
  <c r="Q156" i="21" a="1"/>
  <c r="R192" i="22" a="1"/>
  <c r="S192" i="22" a="1"/>
  <c r="Q99" i="22" a="1"/>
  <c r="T192" i="22" a="1"/>
  <c r="N99" i="22" l="1" a="1"/>
  <c r="L99" i="22" a="1"/>
  <c r="K157" i="21"/>
  <c r="L157" i="21" s="1"/>
  <c r="N157" i="21" s="1"/>
  <c r="G193" i="22" s="1"/>
  <c r="J193" i="22" s="1"/>
  <c r="D193" i="22" s="1"/>
  <c r="F193" i="22" s="1"/>
  <c r="E193" i="22" s="1"/>
  <c r="H99" i="22"/>
  <c r="B99" i="22" s="1"/>
  <c r="I99" i="22"/>
  <c r="C99" i="22" s="1"/>
  <c r="K99" i="22" a="1"/>
  <c r="L193" i="22" l="1" a="1"/>
  <c r="N193" i="22" a="1"/>
  <c r="Q193" i="22" a="1"/>
  <c r="P193" i="22" a="1"/>
  <c r="O193" i="22" a="1"/>
  <c r="P157" i="21"/>
  <c r="O157" i="21"/>
  <c r="J158" i="21" a="1"/>
  <c r="G158" i="21" a="1"/>
  <c r="K158" i="21" s="1"/>
  <c r="L158" i="21" s="1"/>
  <c r="H193" i="22"/>
  <c r="B193" i="22" s="1"/>
  <c r="I193" i="22"/>
  <c r="C193" i="22" s="1"/>
  <c r="S156" i="21"/>
  <c r="T156" i="21" s="1"/>
  <c r="T99" i="22" a="1"/>
  <c r="R99" i="22" a="1"/>
  <c r="S99" i="22" a="1"/>
  <c r="K193" i="22" a="1"/>
  <c r="N158" i="21" l="1"/>
  <c r="P158" i="21"/>
  <c r="O158" i="21"/>
  <c r="G159" i="21" a="1"/>
  <c r="J159" i="21" a="1"/>
  <c r="F100" i="22" s="1"/>
  <c r="E100" i="22" s="1"/>
  <c r="G100" i="22" s="1"/>
  <c r="J100" i="22" s="1"/>
  <c r="D100" i="22" s="1"/>
  <c r="V156" i="21"/>
  <c r="X156" i="21"/>
  <c r="W156" i="21"/>
  <c r="P100" i="22" a="1"/>
  <c r="T193" i="22" a="1"/>
  <c r="R193" i="22" a="1"/>
  <c r="S193" i="22" a="1"/>
  <c r="Q157" i="21" a="1"/>
  <c r="O100" i="22" a="1"/>
  <c r="R157" i="21" a="1"/>
  <c r="Q100" i="22" a="1"/>
  <c r="L100" i="22" l="1" a="1"/>
  <c r="N100" i="22" a="1"/>
  <c r="K159" i="21"/>
  <c r="L159" i="21" s="1"/>
  <c r="N159" i="21" s="1"/>
  <c r="F194" i="22" s="1"/>
  <c r="E194" i="22" s="1"/>
  <c r="G194" i="22" s="1"/>
  <c r="J194" i="22" s="1"/>
  <c r="D194" i="22" s="1"/>
  <c r="P159" i="21"/>
  <c r="O159" i="21"/>
  <c r="H100" i="22"/>
  <c r="B100" i="22" s="1"/>
  <c r="I100" i="22"/>
  <c r="C100" i="22" s="1"/>
  <c r="K100" i="22" a="1"/>
  <c r="L194" i="22" l="1" a="1"/>
  <c r="N194" i="22" a="1"/>
  <c r="J160" i="21" a="1"/>
  <c r="G160" i="21" a="1"/>
  <c r="Q194" i="22" a="1"/>
  <c r="P194" i="22" a="1"/>
  <c r="O194" i="22" a="1"/>
  <c r="S157" i="21"/>
  <c r="T157" i="21" s="1"/>
  <c r="W157" i="21" s="1"/>
  <c r="H194" i="22"/>
  <c r="B194" i="22" s="1"/>
  <c r="I194" i="22"/>
  <c r="C194" i="22" s="1"/>
  <c r="K194" i="22" a="1"/>
  <c r="S100" i="22" a="1"/>
  <c r="T100" i="22" a="1"/>
  <c r="R100" i="22" a="1"/>
  <c r="X157" i="21" l="1"/>
  <c r="V157" i="21"/>
  <c r="E101" i="22" s="1"/>
  <c r="G101" i="22" s="1"/>
  <c r="J101" i="22" s="1"/>
  <c r="D101" i="22" s="1"/>
  <c r="F101" i="22" s="1"/>
  <c r="K160" i="21"/>
  <c r="L160" i="21" s="1"/>
  <c r="Q158" i="21" a="1"/>
  <c r="R158" i="21" a="1"/>
  <c r="P101" i="22" a="1"/>
  <c r="S194" i="22" a="1"/>
  <c r="R194" i="22" a="1"/>
  <c r="T194" i="22" a="1"/>
  <c r="Q101" i="22" a="1"/>
  <c r="O101" i="22" a="1"/>
  <c r="N101" i="22" l="1" a="1"/>
  <c r="L101" i="22" a="1"/>
  <c r="I101" i="22"/>
  <c r="C101" i="22" s="1"/>
  <c r="G195" i="22" s="1"/>
  <c r="J195" i="22" s="1"/>
  <c r="D195" i="22" s="1"/>
  <c r="E195" i="22" s="1"/>
  <c r="F195" i="22" s="1"/>
  <c r="N160" i="21"/>
  <c r="P160" i="21"/>
  <c r="O160" i="21"/>
  <c r="H101" i="22"/>
  <c r="B101" i="22" s="1"/>
  <c r="G161" i="21" a="1"/>
  <c r="K101" i="22" a="1"/>
  <c r="J161" i="21" a="1"/>
  <c r="L195" i="22" l="1" a="1"/>
  <c r="N195" i="22" a="1"/>
  <c r="Q195" i="22" a="1"/>
  <c r="P195" i="22" a="1"/>
  <c r="O195" i="22" a="1"/>
  <c r="S158" i="21"/>
  <c r="T158" i="21" s="1"/>
  <c r="I195" i="22"/>
  <c r="C195" i="22" s="1"/>
  <c r="H195" i="22"/>
  <c r="B195" i="22" s="1"/>
  <c r="S101" i="22" a="1"/>
  <c r="R101" i="22" a="1"/>
  <c r="T101" i="22" a="1"/>
  <c r="K195" i="22" a="1"/>
  <c r="V158" i="21" l="1"/>
  <c r="X158" i="21"/>
  <c r="W158" i="21"/>
  <c r="K161" i="21"/>
  <c r="L161" i="21" s="1"/>
  <c r="G102" i="22" s="1"/>
  <c r="J102" i="22" s="1"/>
  <c r="D102" i="22" s="1"/>
  <c r="E102" i="22" s="1"/>
  <c r="F102" i="22" s="1"/>
  <c r="Q102" i="22" a="1"/>
  <c r="S195" i="22" a="1"/>
  <c r="T195" i="22" a="1"/>
  <c r="P102" i="22" a="1"/>
  <c r="R195" i="22" a="1"/>
  <c r="O102" i="22" a="1"/>
  <c r="N102" i="22" l="1" a="1"/>
  <c r="L102" i="22" a="1"/>
  <c r="R159" i="21" a="1"/>
  <c r="Q159" i="21" a="1"/>
  <c r="O161" i="21"/>
  <c r="N161" i="21"/>
  <c r="P161" i="21"/>
  <c r="I102" i="22"/>
  <c r="C102" i="22" s="1"/>
  <c r="G196" i="22" s="1"/>
  <c r="J196" i="22" s="1"/>
  <c r="D196" i="22" s="1"/>
  <c r="F196" i="22" s="1"/>
  <c r="E196" i="22" s="1"/>
  <c r="H102" i="22"/>
  <c r="B102" i="22" s="1"/>
  <c r="K102" i="22" a="1"/>
  <c r="L196" i="22" l="1" a="1"/>
  <c r="N196" i="22" a="1"/>
  <c r="Q196" i="22" a="1"/>
  <c r="P196" i="22" a="1"/>
  <c r="O196" i="22" a="1"/>
  <c r="S159" i="21"/>
  <c r="T159" i="21" s="1"/>
  <c r="G162" i="21" a="1"/>
  <c r="J162" i="21" a="1"/>
  <c r="I196" i="22"/>
  <c r="C196" i="22" s="1"/>
  <c r="H196" i="22"/>
  <c r="B196" i="22" s="1"/>
  <c r="S102" i="22" a="1"/>
  <c r="R102" i="22" a="1"/>
  <c r="K196" i="22" a="1"/>
  <c r="T102" i="22" a="1"/>
  <c r="W159" i="21" l="1"/>
  <c r="X159" i="21"/>
  <c r="V159" i="21"/>
  <c r="Q160" i="21" a="1"/>
  <c r="R160" i="21" a="1"/>
  <c r="K162" i="21"/>
  <c r="L162" i="21" s="1"/>
  <c r="E103" i="22" s="1"/>
  <c r="F103" i="22" s="1"/>
  <c r="G103" i="22" s="1"/>
  <c r="J103" i="22" s="1"/>
  <c r="D103" i="22" s="1"/>
  <c r="T196" i="22" a="1"/>
  <c r="P103" i="22" a="1"/>
  <c r="Q103" i="22" a="1"/>
  <c r="R196" i="22" a="1"/>
  <c r="O103" i="22" a="1"/>
  <c r="S196" i="22" a="1"/>
  <c r="N103" i="22" l="1" a="1"/>
  <c r="L103" i="22" a="1"/>
  <c r="S160" i="21"/>
  <c r="T160" i="21" s="1"/>
  <c r="N162" i="21"/>
  <c r="P162" i="21"/>
  <c r="O162" i="21"/>
  <c r="I103" i="22"/>
  <c r="C103" i="22" s="1"/>
  <c r="E197" i="22" s="1"/>
  <c r="F197" i="22" s="1"/>
  <c r="G197" i="22" s="1"/>
  <c r="J197" i="22" s="1"/>
  <c r="D197" i="22" s="1"/>
  <c r="H103" i="22"/>
  <c r="B103" i="22" s="1"/>
  <c r="K103" i="22" a="1"/>
  <c r="N197" i="22" l="1" a="1"/>
  <c r="L197" i="22" a="1"/>
  <c r="Q197" i="22" a="1"/>
  <c r="P197" i="22" a="1"/>
  <c r="O197" i="22" a="1"/>
  <c r="X160" i="21"/>
  <c r="V160" i="21"/>
  <c r="W160" i="21"/>
  <c r="G163" i="21" a="1"/>
  <c r="J163" i="21" a="1"/>
  <c r="I197" i="22"/>
  <c r="C197" i="22" s="1"/>
  <c r="H197" i="22"/>
  <c r="B197" i="22" s="1"/>
  <c r="T103" i="22" a="1"/>
  <c r="K197" i="22" a="1"/>
  <c r="S103" i="22" a="1"/>
  <c r="R103" i="22" a="1"/>
  <c r="Q161" i="21" l="1" a="1"/>
  <c r="R161" i="21" a="1"/>
  <c r="K163" i="21"/>
  <c r="L163" i="21" s="1"/>
  <c r="G104" i="22" s="1"/>
  <c r="J104" i="22" s="1"/>
  <c r="D104" i="22" s="1"/>
  <c r="E104" i="22" s="1"/>
  <c r="F104" i="22" s="1"/>
  <c r="I104" i="22" s="1"/>
  <c r="C104" i="22" s="1"/>
  <c r="O104" i="22" a="1"/>
  <c r="R197" i="22" a="1"/>
  <c r="P104" i="22" a="1"/>
  <c r="T197" i="22" a="1"/>
  <c r="Q104" i="22" a="1"/>
  <c r="S197" i="22" a="1"/>
  <c r="N104" i="22" l="1" a="1"/>
  <c r="L104" i="22" a="1"/>
  <c r="S161" i="21"/>
  <c r="T161" i="21" s="1"/>
  <c r="O163" i="21"/>
  <c r="N163" i="21"/>
  <c r="P163" i="21"/>
  <c r="F198" i="22" s="1"/>
  <c r="G198" i="22" s="1"/>
  <c r="J198" i="22" s="1"/>
  <c r="D198" i="22" s="1"/>
  <c r="E198" i="22" s="1"/>
  <c r="H104" i="22"/>
  <c r="B104" i="22" s="1"/>
  <c r="K104" i="22" a="1"/>
  <c r="N198" i="22" l="1" a="1"/>
  <c r="L198" i="22" a="1"/>
  <c r="V161" i="21"/>
  <c r="X161" i="21"/>
  <c r="W161" i="21"/>
  <c r="Q198" i="22" a="1"/>
  <c r="P198" i="22" a="1"/>
  <c r="O198" i="22" a="1"/>
  <c r="J164" i="21" a="1"/>
  <c r="G164" i="21" a="1"/>
  <c r="H198" i="22"/>
  <c r="B198" i="22" s="1"/>
  <c r="I198" i="22"/>
  <c r="C198" i="22" s="1"/>
  <c r="R104" i="22" a="1"/>
  <c r="S104" i="22" a="1"/>
  <c r="T104" i="22" a="1"/>
  <c r="K198" i="22" a="1"/>
  <c r="Q162" i="21" l="1" a="1"/>
  <c r="R162" i="21" a="1"/>
  <c r="K164" i="21"/>
  <c r="L164" i="21" s="1"/>
  <c r="E105" i="22" s="1"/>
  <c r="G105" i="22" s="1"/>
  <c r="J105" i="22" s="1"/>
  <c r="D105" i="22" s="1"/>
  <c r="F105" i="22" s="1"/>
  <c r="R198" i="22" a="1"/>
  <c r="P105" i="22" a="1"/>
  <c r="O105" i="22" a="1"/>
  <c r="T198" i="22" a="1"/>
  <c r="S198" i="22" a="1"/>
  <c r="Q105" i="22" a="1"/>
  <c r="N105" i="22" l="1" a="1"/>
  <c r="L105" i="22" a="1"/>
  <c r="S162" i="21"/>
  <c r="T162" i="21" s="1"/>
  <c r="O164" i="21"/>
  <c r="N164" i="21"/>
  <c r="P164" i="21"/>
  <c r="G165" i="21" a="1"/>
  <c r="J165" i="21" a="1"/>
  <c r="I105" i="22"/>
  <c r="C105" i="22" s="1"/>
  <c r="G199" i="22" s="1"/>
  <c r="J199" i="22" s="1"/>
  <c r="D199" i="22" s="1"/>
  <c r="F199" i="22" s="1"/>
  <c r="E199" i="22" s="1"/>
  <c r="H105" i="22"/>
  <c r="B105" i="22" s="1"/>
  <c r="K105" i="22" a="1"/>
  <c r="N199" i="22" l="1" a="1"/>
  <c r="L199" i="22" a="1"/>
  <c r="V162" i="21"/>
  <c r="X162" i="21"/>
  <c r="W162" i="21"/>
  <c r="Q199" i="22" a="1"/>
  <c r="P199" i="22" a="1"/>
  <c r="O199" i="22" a="1"/>
  <c r="K165" i="21"/>
  <c r="L165" i="21" s="1"/>
  <c r="N165" i="21" s="1"/>
  <c r="I199" i="22"/>
  <c r="C199" i="22" s="1"/>
  <c r="P165" i="21"/>
  <c r="O165" i="21"/>
  <c r="H199" i="22"/>
  <c r="B199" i="22" s="1"/>
  <c r="K199" i="22" a="1"/>
  <c r="R105" i="22" a="1"/>
  <c r="T105" i="22" a="1"/>
  <c r="S105" i="22" a="1"/>
  <c r="J166" i="21" l="1" a="1"/>
  <c r="G166" i="21" a="1"/>
  <c r="Q163" i="21" a="1"/>
  <c r="R163" i="21" a="1"/>
  <c r="F106" i="22" s="1"/>
  <c r="G106" i="22" s="1"/>
  <c r="J106" i="22" s="1"/>
  <c r="D106" i="22" s="1"/>
  <c r="E106" i="22" s="1"/>
  <c r="Q106" i="22" a="1"/>
  <c r="R199" i="22" a="1"/>
  <c r="T199" i="22" a="1"/>
  <c r="O106" i="22" a="1"/>
  <c r="S199" i="22" a="1"/>
  <c r="P106" i="22" a="1"/>
  <c r="K166" i="21" l="1"/>
  <c r="L166" i="21" s="1"/>
  <c r="N106" i="22" a="1"/>
  <c r="L106" i="22" a="1"/>
  <c r="S163" i="21"/>
  <c r="T163" i="21" s="1"/>
  <c r="G200" i="22" s="1"/>
  <c r="J200" i="22" s="1"/>
  <c r="D200" i="22" s="1"/>
  <c r="F200" i="22" s="1"/>
  <c r="E200" i="22" s="1"/>
  <c r="H106" i="22"/>
  <c r="B106" i="22" s="1"/>
  <c r="I106" i="22"/>
  <c r="C106" i="22" s="1"/>
  <c r="K106" i="22" a="1"/>
  <c r="O166" i="21" l="1"/>
  <c r="P166" i="21"/>
  <c r="N166" i="21"/>
  <c r="N200" i="22" a="1"/>
  <c r="L200" i="22" a="1"/>
  <c r="W163" i="21"/>
  <c r="V163" i="21"/>
  <c r="X163" i="21"/>
  <c r="Q200" i="22" a="1"/>
  <c r="P200" i="22" a="1"/>
  <c r="O200" i="22" a="1"/>
  <c r="R164" i="21" a="1"/>
  <c r="Q164" i="21" a="1"/>
  <c r="H200" i="22"/>
  <c r="B200" i="22" s="1"/>
  <c r="I200" i="22"/>
  <c r="C200" i="22" s="1"/>
  <c r="K200" i="22" a="1"/>
  <c r="R106" i="22" a="1"/>
  <c r="S106" i="22" a="1"/>
  <c r="T106" i="22" a="1"/>
  <c r="G167" i="21" l="1" a="1"/>
  <c r="K167" i="21" s="1"/>
  <c r="L167" i="21" s="1"/>
  <c r="J167" i="21" a="1"/>
  <c r="S164" i="21"/>
  <c r="T164" i="21" s="1"/>
  <c r="G107" i="22" s="1"/>
  <c r="J107" i="22" s="1"/>
  <c r="D107" i="22" s="1"/>
  <c r="E107" i="22" s="1"/>
  <c r="F107" i="22" s="1"/>
  <c r="S200" i="22" a="1"/>
  <c r="Q107" i="22" a="1"/>
  <c r="T200" i="22" a="1"/>
  <c r="R200" i="22" a="1"/>
  <c r="O107" i="22" a="1"/>
  <c r="P107" i="22" a="1"/>
  <c r="N107" i="22" l="1" a="1"/>
  <c r="L107" i="22" a="1"/>
  <c r="V164" i="21"/>
  <c r="X164" i="21"/>
  <c r="W164" i="21"/>
  <c r="I107" i="22"/>
  <c r="C107" i="22" s="1"/>
  <c r="E201" i="22" s="1"/>
  <c r="G201" i="22" s="1"/>
  <c r="J201" i="22" s="1"/>
  <c r="D201" i="22" s="1"/>
  <c r="F201" i="22" s="1"/>
  <c r="N167" i="21"/>
  <c r="P167" i="21"/>
  <c r="O167" i="21"/>
  <c r="H107" i="22"/>
  <c r="B107" i="22" s="1"/>
  <c r="G168" i="21" a="1"/>
  <c r="J168" i="21" a="1"/>
  <c r="K107" i="22" a="1"/>
  <c r="N201" i="22" l="1" a="1"/>
  <c r="L201" i="22" a="1"/>
  <c r="Q201" i="22" a="1"/>
  <c r="P201" i="22" a="1"/>
  <c r="O201" i="22" a="1"/>
  <c r="Q165" i="21" a="1"/>
  <c r="R165" i="21" a="1"/>
  <c r="I201" i="22"/>
  <c r="C201" i="22" s="1"/>
  <c r="H201" i="22"/>
  <c r="B201" i="22" s="1"/>
  <c r="K201" i="22" a="1"/>
  <c r="R107" i="22" a="1"/>
  <c r="T107" i="22" a="1"/>
  <c r="S107" i="22" a="1"/>
  <c r="S165" i="21" l="1"/>
  <c r="T165" i="21" s="1"/>
  <c r="F108" i="22" s="1"/>
  <c r="G108" i="22" s="1"/>
  <c r="J108" i="22" s="1"/>
  <c r="D108" i="22" s="1"/>
  <c r="E108" i="22" s="1"/>
  <c r="K168" i="21"/>
  <c r="L168" i="21" s="1"/>
  <c r="Q108" i="22" a="1"/>
  <c r="P108" i="22" a="1"/>
  <c r="S201" i="22" a="1"/>
  <c r="R201" i="22" a="1"/>
  <c r="T201" i="22" a="1"/>
  <c r="O108" i="22" a="1"/>
  <c r="N108" i="22" l="1" a="1"/>
  <c r="L108" i="22" a="1"/>
  <c r="W165" i="21"/>
  <c r="X165" i="21"/>
  <c r="V165" i="21"/>
  <c r="Q166" i="21" a="1"/>
  <c r="R166" i="21" a="1"/>
  <c r="E202" i="22" s="1"/>
  <c r="G202" i="22" s="1"/>
  <c r="J202" i="22" s="1"/>
  <c r="D202" i="22" s="1"/>
  <c r="F202" i="22" s="1"/>
  <c r="N168" i="21"/>
  <c r="P168" i="21"/>
  <c r="O168" i="21"/>
  <c r="H108" i="22"/>
  <c r="B108" i="22" s="1"/>
  <c r="I108" i="22"/>
  <c r="C108" i="22" s="1"/>
  <c r="J169" i="21" a="1"/>
  <c r="K108" i="22" a="1"/>
  <c r="G169" i="21" a="1"/>
  <c r="N202" i="22" l="1" a="1"/>
  <c r="L202" i="22" a="1"/>
  <c r="I202" i="22"/>
  <c r="C202" i="22" s="1"/>
  <c r="Q202" i="22" a="1"/>
  <c r="P202" i="22" a="1"/>
  <c r="O202" i="22" a="1"/>
  <c r="S166" i="21"/>
  <c r="T166" i="21" s="1"/>
  <c r="H202" i="22"/>
  <c r="B202" i="22" s="1"/>
  <c r="S108" i="22" a="1"/>
  <c r="R108" i="22" a="1"/>
  <c r="K202" i="22" a="1"/>
  <c r="T108" i="22" a="1"/>
  <c r="X166" i="21" l="1"/>
  <c r="V166" i="21"/>
  <c r="W166" i="21"/>
  <c r="Q167" i="21" a="1"/>
  <c r="R167" i="21" a="1"/>
  <c r="G109" i="22" s="1"/>
  <c r="J109" i="22" s="1"/>
  <c r="D109" i="22" s="1"/>
  <c r="E109" i="22" s="1"/>
  <c r="F109" i="22" s="1"/>
  <c r="K169" i="21"/>
  <c r="L169" i="21" s="1"/>
  <c r="P109" i="22" a="1"/>
  <c r="Q109" i="22" a="1"/>
  <c r="T202" i="22" a="1"/>
  <c r="R202" i="22" a="1"/>
  <c r="O109" i="22" a="1"/>
  <c r="S202" i="22" a="1"/>
  <c r="N109" i="22" l="1" a="1"/>
  <c r="L109" i="22" a="1"/>
  <c r="S167" i="21"/>
  <c r="T167" i="21" s="1"/>
  <c r="I109" i="22"/>
  <c r="C109" i="22" s="1"/>
  <c r="E203" i="22" s="1"/>
  <c r="F203" i="22" s="1"/>
  <c r="G203" i="22" s="1"/>
  <c r="J203" i="22" s="1"/>
  <c r="D203" i="22" s="1"/>
  <c r="O169" i="21"/>
  <c r="N169" i="21"/>
  <c r="P169" i="21"/>
  <c r="H109" i="22"/>
  <c r="B109" i="22" s="1"/>
  <c r="K109" i="22" a="1"/>
  <c r="J170" i="21" a="1"/>
  <c r="G170" i="21" a="1"/>
  <c r="N203" i="22" l="1" a="1"/>
  <c r="L203" i="22" a="1"/>
  <c r="Q203" i="22" a="1"/>
  <c r="P203" i="22" a="1"/>
  <c r="O203" i="22" a="1"/>
  <c r="V167" i="21"/>
  <c r="X167" i="21"/>
  <c r="W167" i="21"/>
  <c r="H203" i="22"/>
  <c r="B203" i="22" s="1"/>
  <c r="I203" i="22"/>
  <c r="C203" i="22" s="1"/>
  <c r="T109" i="22" a="1"/>
  <c r="S109" i="22" a="1"/>
  <c r="K203" i="22" a="1"/>
  <c r="R109" i="22" a="1"/>
  <c r="R168" i="21" l="1" a="1"/>
  <c r="Q168" i="21" a="1"/>
  <c r="K170" i="21"/>
  <c r="L170" i="21" s="1"/>
  <c r="F110" i="22" s="1"/>
  <c r="E110" i="22" s="1"/>
  <c r="G110" i="22" s="1"/>
  <c r="J110" i="22" s="1"/>
  <c r="D110" i="22" s="1"/>
  <c r="P170" i="21"/>
  <c r="P110" i="22" a="1"/>
  <c r="R203" i="22" a="1"/>
  <c r="T203" i="22" a="1"/>
  <c r="S203" i="22" a="1"/>
  <c r="O110" i="22" a="1"/>
  <c r="Q110" i="22" a="1"/>
  <c r="N110" i="22" l="1" a="1"/>
  <c r="L110" i="22" a="1"/>
  <c r="O170" i="21"/>
  <c r="N170" i="21"/>
  <c r="S168" i="21"/>
  <c r="T168" i="21" s="1"/>
  <c r="F204" i="22" s="1"/>
  <c r="G204" i="22" s="1"/>
  <c r="J204" i="22" s="1"/>
  <c r="D204" i="22" s="1"/>
  <c r="E204" i="22" s="1"/>
  <c r="H110" i="22"/>
  <c r="B110" i="22" s="1"/>
  <c r="I110" i="22"/>
  <c r="C110" i="22" s="1"/>
  <c r="K110" i="22" a="1"/>
  <c r="N204" i="22" l="1" a="1"/>
  <c r="L204" i="22" a="1"/>
  <c r="G171" i="21" a="1"/>
  <c r="J171" i="21" a="1"/>
  <c r="Q204" i="22" a="1"/>
  <c r="P204" i="22" a="1"/>
  <c r="O204" i="22" a="1"/>
  <c r="X168" i="21"/>
  <c r="V168" i="21"/>
  <c r="W168" i="21"/>
  <c r="Q169" i="21" a="1"/>
  <c r="R169" i="21" a="1"/>
  <c r="H204" i="22"/>
  <c r="B204" i="22" s="1"/>
  <c r="I204" i="22"/>
  <c r="C204" i="22" s="1"/>
  <c r="T110" i="22" a="1"/>
  <c r="R110" i="22" a="1"/>
  <c r="S110" i="22" a="1"/>
  <c r="K204" i="22" a="1"/>
  <c r="K171" i="21" l="1"/>
  <c r="L171" i="21" s="1"/>
  <c r="S169" i="21"/>
  <c r="T169" i="21" s="1"/>
  <c r="E111" i="22" s="1"/>
  <c r="F111" i="22" s="1"/>
  <c r="G111" i="22" s="1"/>
  <c r="J111" i="22" s="1"/>
  <c r="D111" i="22" s="1"/>
  <c r="O171" i="21"/>
  <c r="N171" i="21"/>
  <c r="P171" i="21"/>
  <c r="T204" i="22" a="1"/>
  <c r="Q111" i="22" a="1"/>
  <c r="J172" i="21" a="1"/>
  <c r="O111" i="22" a="1"/>
  <c r="P111" i="22" a="1"/>
  <c r="G172" i="21" a="1"/>
  <c r="S204" i="22" a="1"/>
  <c r="R204" i="22" a="1"/>
  <c r="N111" i="22" l="1" a="1"/>
  <c r="L111" i="22" a="1"/>
  <c r="I111" i="22"/>
  <c r="C111" i="22" s="1"/>
  <c r="W169" i="21"/>
  <c r="X169" i="21"/>
  <c r="V169" i="21"/>
  <c r="G205" i="22" s="1"/>
  <c r="J205" i="22" s="1"/>
  <c r="D205" i="22" s="1"/>
  <c r="E205" i="22" s="1"/>
  <c r="F205" i="22" s="1"/>
  <c r="H111" i="22"/>
  <c r="B111" i="22" s="1"/>
  <c r="K111" i="22" a="1"/>
  <c r="N205" i="22" l="1" a="1"/>
  <c r="L205" i="22" a="1"/>
  <c r="Q205" i="22" a="1"/>
  <c r="P205" i="22" a="1"/>
  <c r="O205" i="22" a="1"/>
  <c r="I205" i="22"/>
  <c r="C205" i="22" s="1"/>
  <c r="Q170" i="21" a="1"/>
  <c r="R170" i="21" a="1"/>
  <c r="K172" i="21"/>
  <c r="L172" i="21" s="1"/>
  <c r="O172" i="21" s="1"/>
  <c r="H205" i="22"/>
  <c r="B205" i="22" s="1"/>
  <c r="T111" i="22" a="1"/>
  <c r="S111" i="22" a="1"/>
  <c r="K205" i="22" a="1"/>
  <c r="R111" i="22" a="1"/>
  <c r="S170" i="21" l="1"/>
  <c r="T170" i="21" s="1"/>
  <c r="P172" i="21"/>
  <c r="N172" i="21"/>
  <c r="F112" i="22" s="1"/>
  <c r="G112" i="22" s="1"/>
  <c r="J112" i="22" s="1"/>
  <c r="D112" i="22" s="1"/>
  <c r="E112" i="22" s="1"/>
  <c r="R205" i="22" a="1"/>
  <c r="Q112" i="22" a="1"/>
  <c r="J173" i="21" a="1"/>
  <c r="G173" i="21" a="1"/>
  <c r="T205" i="22" a="1"/>
  <c r="O112" i="22" a="1"/>
  <c r="S205" i="22" a="1"/>
  <c r="P112" i="22" a="1"/>
  <c r="N112" i="22" l="1" a="1"/>
  <c r="L112" i="22" a="1"/>
  <c r="W170" i="21"/>
  <c r="V170" i="21"/>
  <c r="X170" i="21"/>
  <c r="I112" i="22"/>
  <c r="C112" i="22" s="1"/>
  <c r="G206" i="22" s="1"/>
  <c r="J206" i="22" s="1"/>
  <c r="D206" i="22" s="1"/>
  <c r="E206" i="22" s="1"/>
  <c r="F206" i="22" s="1"/>
  <c r="H112" i="22"/>
  <c r="B112" i="22" s="1"/>
  <c r="K112" i="22" a="1"/>
  <c r="N206" i="22" l="1" a="1"/>
  <c r="L206" i="22" a="1"/>
  <c r="Q206" i="22" a="1"/>
  <c r="P206" i="22" a="1"/>
  <c r="O206" i="22" a="1"/>
  <c r="Q171" i="21" a="1"/>
  <c r="R171" i="21" a="1"/>
  <c r="K173" i="21"/>
  <c r="L173" i="21" s="1"/>
  <c r="P173" i="21" s="1"/>
  <c r="I206" i="22"/>
  <c r="C206" i="22" s="1"/>
  <c r="H206" i="22"/>
  <c r="B206" i="22" s="1"/>
  <c r="R112" i="22" a="1"/>
  <c r="T112" i="22" a="1"/>
  <c r="S112" i="22" a="1"/>
  <c r="K206" i="22" a="1"/>
  <c r="N173" i="21" l="1"/>
  <c r="O173" i="21"/>
  <c r="S171" i="21"/>
  <c r="T171" i="21" s="1"/>
  <c r="G174" i="21" a="1"/>
  <c r="J174" i="21" a="1"/>
  <c r="F113" i="22" s="1"/>
  <c r="E113" i="22" s="1"/>
  <c r="G113" i="22" s="1"/>
  <c r="J113" i="22" s="1"/>
  <c r="D113" i="22" s="1"/>
  <c r="R206" i="22" a="1"/>
  <c r="P113" i="22" a="1"/>
  <c r="S206" i="22" a="1"/>
  <c r="O113" i="22" a="1"/>
  <c r="Q113" i="22" a="1"/>
  <c r="T206" i="22" a="1"/>
  <c r="N113" i="22" l="1" a="1"/>
  <c r="L113" i="22" a="1"/>
  <c r="V171" i="21"/>
  <c r="W171" i="21"/>
  <c r="X171" i="21"/>
  <c r="Q172" i="21" a="1"/>
  <c r="R172" i="21" a="1"/>
  <c r="K174" i="21"/>
  <c r="L174" i="21" s="1"/>
  <c r="E207" i="22" s="1"/>
  <c r="G207" i="22" s="1"/>
  <c r="J207" i="22" s="1"/>
  <c r="D207" i="22" s="1"/>
  <c r="F207" i="22" s="1"/>
  <c r="H113" i="22"/>
  <c r="B113" i="22" s="1"/>
  <c r="I113" i="22"/>
  <c r="C113" i="22" s="1"/>
  <c r="K113" i="22" a="1"/>
  <c r="N207" i="22" l="1" a="1"/>
  <c r="L207" i="22" a="1"/>
  <c r="I207" i="22"/>
  <c r="C207" i="22" s="1"/>
  <c r="Q207" i="22" a="1"/>
  <c r="P207" i="22" a="1"/>
  <c r="O207" i="22" a="1"/>
  <c r="S172" i="21"/>
  <c r="T172" i="21" s="1"/>
  <c r="P174" i="21"/>
  <c r="N174" i="21"/>
  <c r="O174" i="21"/>
  <c r="H207" i="22"/>
  <c r="B207" i="22" s="1"/>
  <c r="K207" i="22" a="1"/>
  <c r="S113" i="22" a="1"/>
  <c r="T113" i="22" a="1"/>
  <c r="R113" i="22" a="1"/>
  <c r="W172" i="21" l="1"/>
  <c r="X172" i="21"/>
  <c r="V172" i="21"/>
  <c r="Q173" i="21" a="1"/>
  <c r="R173" i="21" a="1"/>
  <c r="G175" i="21" a="1"/>
  <c r="J175" i="21" a="1"/>
  <c r="G114" i="22" s="1"/>
  <c r="J114" i="22" s="1"/>
  <c r="D114" i="22" s="1"/>
  <c r="E114" i="22" s="1"/>
  <c r="F114" i="22" s="1"/>
  <c r="R207" i="22" a="1"/>
  <c r="P114" i="22" a="1"/>
  <c r="O114" i="22" a="1"/>
  <c r="S207" i="22" a="1"/>
  <c r="Q114" i="22" a="1"/>
  <c r="T207" i="22" a="1"/>
  <c r="N114" i="22" l="1" a="1"/>
  <c r="L114" i="22" a="1"/>
  <c r="I114" i="22"/>
  <c r="C114" i="22" s="1"/>
  <c r="S173" i="21"/>
  <c r="T173" i="21" s="1"/>
  <c r="K175" i="21"/>
  <c r="L175" i="21" s="1"/>
  <c r="E208" i="22" s="1"/>
  <c r="G208" i="22" s="1"/>
  <c r="J208" i="22" s="1"/>
  <c r="D208" i="22" s="1"/>
  <c r="F208" i="22" s="1"/>
  <c r="I208" i="22" s="1"/>
  <c r="C208" i="22" s="1"/>
  <c r="H114" i="22"/>
  <c r="B114" i="22" s="1"/>
  <c r="K114" i="22" a="1"/>
  <c r="N208" i="22" l="1" a="1"/>
  <c r="L208" i="22" a="1"/>
  <c r="Q208" i="22" a="1"/>
  <c r="P208" i="22" a="1"/>
  <c r="O208" i="22" a="1"/>
  <c r="V173" i="21"/>
  <c r="X173" i="21"/>
  <c r="W173" i="21"/>
  <c r="P175" i="21"/>
  <c r="O175" i="21"/>
  <c r="N175" i="21"/>
  <c r="R174" i="21" a="1"/>
  <c r="Q174" i="21" a="1"/>
  <c r="G176" i="21" a="1"/>
  <c r="J176" i="21" a="1"/>
  <c r="H208" i="22"/>
  <c r="B208" i="22" s="1"/>
  <c r="R114" i="22" a="1"/>
  <c r="S114" i="22" a="1"/>
  <c r="K208" i="22" a="1"/>
  <c r="T114" i="22" a="1"/>
  <c r="S174" i="21" l="1"/>
  <c r="T174" i="21" s="1"/>
  <c r="X174" i="21" s="1"/>
  <c r="K176" i="21"/>
  <c r="L176" i="21" s="1"/>
  <c r="G115" i="22" s="1"/>
  <c r="J115" i="22" s="1"/>
  <c r="D115" i="22" s="1"/>
  <c r="F115" i="22" s="1"/>
  <c r="E115" i="22" s="1"/>
  <c r="P115" i="22" a="1"/>
  <c r="T208" i="22" a="1"/>
  <c r="S208" i="22" a="1"/>
  <c r="Q115" i="22" a="1"/>
  <c r="O115" i="22" a="1"/>
  <c r="R208" i="22" a="1"/>
  <c r="N115" i="22" l="1" a="1"/>
  <c r="L115" i="22" a="1"/>
  <c r="V174" i="21"/>
  <c r="W174" i="21"/>
  <c r="R175" i="21" a="1"/>
  <c r="Q175" i="21" a="1"/>
  <c r="N176" i="21"/>
  <c r="O176" i="21"/>
  <c r="P176" i="21"/>
  <c r="F209" i="22" s="1"/>
  <c r="E209" i="22" s="1"/>
  <c r="G209" i="22" s="1"/>
  <c r="J209" i="22" s="1"/>
  <c r="D209" i="22" s="1"/>
  <c r="H115" i="22"/>
  <c r="B115" i="22" s="1"/>
  <c r="I115" i="22"/>
  <c r="C115" i="22" s="1"/>
  <c r="K115" i="22" a="1"/>
  <c r="N209" i="22" l="1" a="1"/>
  <c r="L209" i="22" a="1"/>
  <c r="Q209" i="22" a="1"/>
  <c r="P209" i="22" a="1"/>
  <c r="O209" i="22" a="1"/>
  <c r="S175" i="21"/>
  <c r="T175" i="21" s="1"/>
  <c r="J177" i="21" a="1"/>
  <c r="G177" i="21" a="1"/>
  <c r="I209" i="22"/>
  <c r="C209" i="22" s="1"/>
  <c r="H209" i="22"/>
  <c r="B209" i="22" s="1"/>
  <c r="R115" i="22" a="1"/>
  <c r="S115" i="22" a="1"/>
  <c r="T115" i="22" a="1"/>
  <c r="K209" i="22" a="1"/>
  <c r="W175" i="21" l="1"/>
  <c r="X175" i="21"/>
  <c r="V175" i="21"/>
  <c r="Q176" i="21" a="1"/>
  <c r="R176" i="21" a="1"/>
  <c r="K177" i="21"/>
  <c r="L177" i="21" s="1"/>
  <c r="G116" i="22" s="1"/>
  <c r="J116" i="22" s="1"/>
  <c r="D116" i="22" s="1"/>
  <c r="F116" i="22" s="1"/>
  <c r="E116" i="22" s="1"/>
  <c r="Q116" i="22" a="1"/>
  <c r="R209" i="22" a="1"/>
  <c r="S209" i="22" a="1"/>
  <c r="T209" i="22" a="1"/>
  <c r="P116" i="22" a="1"/>
  <c r="O116" i="22" a="1"/>
  <c r="N116" i="22" l="1" a="1"/>
  <c r="L116" i="22" a="1"/>
  <c r="S176" i="21"/>
  <c r="T176" i="21" s="1"/>
  <c r="P177" i="21"/>
  <c r="O177" i="21"/>
  <c r="N177" i="21"/>
  <c r="I116" i="22"/>
  <c r="C116" i="22" s="1"/>
  <c r="G210" i="22" s="1"/>
  <c r="J210" i="22" s="1"/>
  <c r="D210" i="22" s="1"/>
  <c r="F210" i="22" s="1"/>
  <c r="E210" i="22" s="1"/>
  <c r="H116" i="22"/>
  <c r="B116" i="22" s="1"/>
  <c r="K116" i="22" a="1"/>
  <c r="N210" i="22" l="1" a="1"/>
  <c r="L210" i="22" a="1"/>
  <c r="Q210" i="22" a="1"/>
  <c r="P210" i="22" a="1"/>
  <c r="O210" i="22" a="1"/>
  <c r="V176" i="21"/>
  <c r="W176" i="21"/>
  <c r="X176" i="21"/>
  <c r="R177" i="21" a="1"/>
  <c r="Q177" i="21" a="1"/>
  <c r="J178" i="21" a="1"/>
  <c r="G178" i="21" a="1"/>
  <c r="K178" i="21" s="1"/>
  <c r="L178" i="21" s="1"/>
  <c r="I210" i="22"/>
  <c r="C210" i="22" s="1"/>
  <c r="H210" i="22"/>
  <c r="B210" i="22" s="1"/>
  <c r="R116" i="22" a="1"/>
  <c r="T116" i="22" a="1"/>
  <c r="S116" i="22" a="1"/>
  <c r="K210" i="22" a="1"/>
  <c r="S177" i="21" l="1"/>
  <c r="T177" i="21" s="1"/>
  <c r="O178" i="21"/>
  <c r="N178" i="21"/>
  <c r="P178" i="21"/>
  <c r="F117" i="22" s="1"/>
  <c r="G117" i="22" s="1"/>
  <c r="J117" i="22" s="1"/>
  <c r="D117" i="22" s="1"/>
  <c r="E117" i="22" s="1"/>
  <c r="P117" i="22" a="1"/>
  <c r="O117" i="22" a="1"/>
  <c r="Q117" i="22" a="1"/>
  <c r="R210" i="22" a="1"/>
  <c r="T210" i="22" a="1"/>
  <c r="S210" i="22" a="1"/>
  <c r="N117" i="22" l="1" a="1"/>
  <c r="L117" i="22" a="1"/>
  <c r="W177" i="21"/>
  <c r="V177" i="21"/>
  <c r="X177" i="21"/>
  <c r="G179" i="21" a="1"/>
  <c r="J179" i="21" a="1"/>
  <c r="E211" i="22" s="1"/>
  <c r="G211" i="22" s="1"/>
  <c r="J211" i="22" s="1"/>
  <c r="D211" i="22" s="1"/>
  <c r="F211" i="22" s="1"/>
  <c r="H117" i="22"/>
  <c r="B117" i="22" s="1"/>
  <c r="I117" i="22"/>
  <c r="C117" i="22" s="1"/>
  <c r="K117" i="22" a="1"/>
  <c r="L211" i="22" l="1" a="1"/>
  <c r="N211" i="22" a="1"/>
  <c r="Q211" i="22" a="1"/>
  <c r="P211" i="22" a="1"/>
  <c r="O211" i="22" a="1"/>
  <c r="Q178" i="21" a="1"/>
  <c r="R178" i="21" a="1"/>
  <c r="K179" i="21"/>
  <c r="L179" i="21" s="1"/>
  <c r="I211" i="22"/>
  <c r="C211" i="22" s="1"/>
  <c r="H211" i="22"/>
  <c r="B211" i="22" s="1"/>
  <c r="O179" i="21"/>
  <c r="N179" i="21"/>
  <c r="P179" i="21"/>
  <c r="T117" i="22" a="1"/>
  <c r="K211" i="22" a="1"/>
  <c r="G180" i="21" a="1"/>
  <c r="J180" i="21" a="1"/>
  <c r="R117" i="22" a="1"/>
  <c r="S117" i="22" a="1"/>
  <c r="S178" i="21" l="1"/>
  <c r="T178" i="21" s="1"/>
  <c r="X178" i="21" s="1"/>
  <c r="K180" i="21" s="1"/>
  <c r="L180" i="21" s="1"/>
  <c r="O180" i="21" s="1"/>
  <c r="F118" i="22" s="1"/>
  <c r="G118" i="22" s="1"/>
  <c r="J118" i="22" s="1"/>
  <c r="D118" i="22" s="1"/>
  <c r="E118" i="22" s="1"/>
  <c r="S211" i="22" a="1"/>
  <c r="O118" i="22" a="1"/>
  <c r="R211" i="22" a="1"/>
  <c r="P118" i="22" a="1"/>
  <c r="Q118" i="22" a="1"/>
  <c r="T211" i="22" a="1"/>
  <c r="N118" i="22" l="1" a="1"/>
  <c r="L118" i="22" a="1"/>
  <c r="W178" i="21"/>
  <c r="V178" i="21"/>
  <c r="E212" i="22" s="1"/>
  <c r="F212" i="22" s="1"/>
  <c r="G212" i="22" s="1"/>
  <c r="J212" i="22" s="1"/>
  <c r="D212" i="22" s="1"/>
  <c r="I118" i="22"/>
  <c r="C118" i="22" s="1"/>
  <c r="H118" i="22"/>
  <c r="B118" i="22" s="1"/>
  <c r="N180" i="21"/>
  <c r="P180" i="21"/>
  <c r="K118" i="22" a="1"/>
  <c r="J181" i="21" a="1"/>
  <c r="G181" i="21" a="1"/>
  <c r="N212" i="22" l="1" a="1"/>
  <c r="L212" i="22" a="1"/>
  <c r="Q212" i="22" a="1"/>
  <c r="P212" i="22" a="1"/>
  <c r="O212" i="22" a="1"/>
  <c r="R179" i="21" a="1"/>
  <c r="Q179" i="21" a="1"/>
  <c r="I212" i="22"/>
  <c r="C212" i="22" s="1"/>
  <c r="H212" i="22"/>
  <c r="B212" i="22" s="1"/>
  <c r="T118" i="22" a="1"/>
  <c r="S118" i="22" a="1"/>
  <c r="R118" i="22" a="1"/>
  <c r="K212" i="22" a="1"/>
  <c r="S179" i="21" l="1"/>
  <c r="T179" i="21" s="1"/>
  <c r="K181" i="21"/>
  <c r="L181" i="21" s="1"/>
  <c r="N181" i="21" s="1"/>
  <c r="F119" i="22" s="1"/>
  <c r="G119" i="22" s="1"/>
  <c r="J119" i="22" s="1"/>
  <c r="D119" i="22" s="1"/>
  <c r="E119" i="22" s="1"/>
  <c r="O119" i="22" a="1"/>
  <c r="J182" i="21" a="1"/>
  <c r="G182" i="21" a="1"/>
  <c r="T212" i="22" a="1"/>
  <c r="Q119" i="22" a="1"/>
  <c r="P119" i="22" a="1"/>
  <c r="S212" i="22" a="1"/>
  <c r="R212" i="22" a="1"/>
  <c r="N119" i="22" l="1" a="1"/>
  <c r="L119" i="22" a="1"/>
  <c r="X179" i="21"/>
  <c r="V179" i="21"/>
  <c r="W179" i="21"/>
  <c r="R180" i="21" a="1"/>
  <c r="Q180" i="21" a="1"/>
  <c r="O181" i="21"/>
  <c r="P181" i="21"/>
  <c r="F213" i="22" s="1"/>
  <c r="G213" i="22" s="1"/>
  <c r="J213" i="22" s="1"/>
  <c r="D213" i="22" s="1"/>
  <c r="E213" i="22" s="1"/>
  <c r="H119" i="22"/>
  <c r="B119" i="22" s="1"/>
  <c r="I119" i="22"/>
  <c r="C119" i="22" s="1"/>
  <c r="K119" i="22" a="1"/>
  <c r="L213" i="22" l="1" a="1"/>
  <c r="N213" i="22" a="1"/>
  <c r="Q213" i="22" a="1"/>
  <c r="P213" i="22" a="1"/>
  <c r="O213" i="22" a="1"/>
  <c r="S180" i="21"/>
  <c r="T180" i="21" s="1"/>
  <c r="I213" i="22"/>
  <c r="C213" i="22" s="1"/>
  <c r="H213" i="22"/>
  <c r="B213" i="22" s="1"/>
  <c r="K182" i="21"/>
  <c r="L182" i="21" s="1"/>
  <c r="T119" i="22" a="1"/>
  <c r="S119" i="22" a="1"/>
  <c r="K213" i="22" a="1"/>
  <c r="R119" i="22" a="1"/>
  <c r="V180" i="21" l="1"/>
  <c r="W180" i="21"/>
  <c r="X180" i="21"/>
  <c r="Q181" i="21" a="1"/>
  <c r="R181" i="21" a="1"/>
  <c r="F120" i="22" s="1"/>
  <c r="G120" i="22" s="1"/>
  <c r="J120" i="22" s="1"/>
  <c r="D120" i="22" s="1"/>
  <c r="E120" i="22" s="1"/>
  <c r="N182" i="21"/>
  <c r="P182" i="21"/>
  <c r="O182" i="21"/>
  <c r="Q120" i="22" a="1"/>
  <c r="O120" i="22" a="1"/>
  <c r="J183" i="21" a="1"/>
  <c r="G183" i="21" a="1"/>
  <c r="T213" i="22" a="1"/>
  <c r="S213" i="22" a="1"/>
  <c r="P120" i="22" a="1"/>
  <c r="R213" i="22" a="1"/>
  <c r="N120" i="22" l="1" a="1"/>
  <c r="L120" i="22" a="1"/>
  <c r="S181" i="21"/>
  <c r="T181" i="21" s="1"/>
  <c r="V181" i="21" s="1"/>
  <c r="F214" i="22" s="1"/>
  <c r="E214" i="22" s="1"/>
  <c r="G214" i="22" s="1"/>
  <c r="J214" i="22" s="1"/>
  <c r="D214" i="22" s="1"/>
  <c r="H120" i="22"/>
  <c r="B120" i="22" s="1"/>
  <c r="I120" i="22"/>
  <c r="C120" i="22" s="1"/>
  <c r="K120" i="22" a="1"/>
  <c r="N214" i="22" l="1" a="1"/>
  <c r="L214" i="22" a="1"/>
  <c r="Q214" i="22" a="1"/>
  <c r="P214" i="22" a="1"/>
  <c r="O214" i="22" a="1"/>
  <c r="Q182" i="21" a="1"/>
  <c r="R182" i="21" a="1"/>
  <c r="W181" i="21"/>
  <c r="X181" i="21"/>
  <c r="I214" i="22"/>
  <c r="C214" i="22" s="1"/>
  <c r="H214" i="22"/>
  <c r="B214" i="22" s="1"/>
  <c r="K183" i="21"/>
  <c r="L183" i="21" s="1"/>
  <c r="T120" i="22" a="1"/>
  <c r="S120" i="22" a="1"/>
  <c r="R120" i="22" a="1"/>
  <c r="K214" i="22" a="1"/>
  <c r="S182" i="21" l="1"/>
  <c r="T182" i="21" s="1"/>
  <c r="E121" i="22" s="1"/>
  <c r="F121" i="22" s="1"/>
  <c r="G121" i="22" s="1"/>
  <c r="J121" i="22" s="1"/>
  <c r="D121" i="22" s="1"/>
  <c r="N183" i="21"/>
  <c r="P183" i="21"/>
  <c r="O183" i="21"/>
  <c r="R214" i="22" a="1"/>
  <c r="Q121" i="22" a="1"/>
  <c r="T214" i="22" a="1"/>
  <c r="P121" i="22" a="1"/>
  <c r="O121" i="22" a="1"/>
  <c r="J184" i="21" a="1"/>
  <c r="G184" i="21" a="1"/>
  <c r="S214" i="22" a="1"/>
  <c r="N121" i="22" l="1" a="1"/>
  <c r="L121" i="22" a="1"/>
  <c r="X182" i="21"/>
  <c r="V182" i="21"/>
  <c r="W182" i="21"/>
  <c r="I121" i="22"/>
  <c r="C121" i="22" s="1"/>
  <c r="E215" i="22" s="1"/>
  <c r="G215" i="22" s="1"/>
  <c r="J215" i="22" s="1"/>
  <c r="D215" i="22" s="1"/>
  <c r="F215" i="22" s="1"/>
  <c r="H121" i="22"/>
  <c r="B121" i="22" s="1"/>
  <c r="K121" i="22" a="1"/>
  <c r="L215" i="22" l="1" a="1"/>
  <c r="N215" i="22" a="1"/>
  <c r="Q215" i="22" a="1"/>
  <c r="P215" i="22" a="1"/>
  <c r="O215" i="22" a="1"/>
  <c r="R183" i="21" a="1"/>
  <c r="Q183" i="21" a="1"/>
  <c r="I215" i="22"/>
  <c r="C215" i="22" s="1"/>
  <c r="H215" i="22"/>
  <c r="B215" i="22" s="1"/>
  <c r="K184" i="21"/>
  <c r="L184" i="21" s="1"/>
  <c r="R121" i="22" a="1"/>
  <c r="S121" i="22" a="1"/>
  <c r="K215" i="22" a="1"/>
  <c r="T121" i="22" a="1"/>
  <c r="S183" i="21" l="1"/>
  <c r="T183" i="21" s="1"/>
  <c r="E122" i="22" s="1"/>
  <c r="F122" i="22" s="1"/>
  <c r="G122" i="22" s="1"/>
  <c r="J122" i="22" s="1"/>
  <c r="D122" i="22" s="1"/>
  <c r="N184" i="21"/>
  <c r="P184" i="21"/>
  <c r="O184" i="21"/>
  <c r="S215" i="22" a="1"/>
  <c r="Q122" i="22" a="1"/>
  <c r="T215" i="22" a="1"/>
  <c r="O122" i="22" a="1"/>
  <c r="P122" i="22" a="1"/>
  <c r="G185" i="21" a="1"/>
  <c r="J185" i="21" a="1"/>
  <c r="R215" i="22" a="1"/>
  <c r="I122" i="22" l="1"/>
  <c r="C122" i="22" s="1"/>
  <c r="N122" i="22" a="1"/>
  <c r="L122" i="22" a="1"/>
  <c r="V183" i="21"/>
  <c r="W183" i="21"/>
  <c r="X183" i="21"/>
  <c r="G216" i="22" s="1"/>
  <c r="J216" i="22" s="1"/>
  <c r="D216" i="22" s="1"/>
  <c r="F216" i="22" s="1"/>
  <c r="E216" i="22" s="1"/>
  <c r="H122" i="22"/>
  <c r="B122" i="22" s="1"/>
  <c r="K122" i="22" a="1"/>
  <c r="L216" i="22" l="1" a="1"/>
  <c r="N216" i="22" a="1"/>
  <c r="Q216" i="22" a="1"/>
  <c r="P216" i="22" a="1"/>
  <c r="O216" i="22" a="1"/>
  <c r="R184" i="21" a="1"/>
  <c r="Q184" i="21" a="1"/>
  <c r="K185" i="21"/>
  <c r="L185" i="21" s="1"/>
  <c r="O185" i="21" s="1"/>
  <c r="I216" i="22"/>
  <c r="C216" i="22" s="1"/>
  <c r="H216" i="22"/>
  <c r="B216" i="22" s="1"/>
  <c r="R122" i="22" a="1"/>
  <c r="T122" i="22" a="1"/>
  <c r="K216" i="22" a="1"/>
  <c r="S122" i="22" a="1"/>
  <c r="S184" i="21" l="1"/>
  <c r="T184" i="21" s="1"/>
  <c r="P185" i="21"/>
  <c r="N185" i="21"/>
  <c r="G123" i="22" s="1"/>
  <c r="J123" i="22" s="1"/>
  <c r="D123" i="22" s="1"/>
  <c r="E123" i="22" s="1"/>
  <c r="F123" i="22" s="1"/>
  <c r="I123" i="22" s="1"/>
  <c r="C123" i="22" s="1"/>
  <c r="O123" i="22" a="1"/>
  <c r="Q123" i="22" a="1"/>
  <c r="J186" i="21" a="1"/>
  <c r="G186" i="21" a="1"/>
  <c r="R216" i="22" a="1"/>
  <c r="S216" i="22" a="1"/>
  <c r="T216" i="22" a="1"/>
  <c r="P123" i="22" a="1"/>
  <c r="N123" i="22" l="1" a="1"/>
  <c r="L123" i="22" a="1"/>
  <c r="X184" i="21"/>
  <c r="W184" i="21"/>
  <c r="V184" i="21"/>
  <c r="R185" i="21" a="1"/>
  <c r="Q185" i="21" a="1"/>
  <c r="S185" i="21" s="1"/>
  <c r="T185" i="21" s="1"/>
  <c r="G217" i="22" s="1"/>
  <c r="J217" i="22" s="1"/>
  <c r="D217" i="22" s="1"/>
  <c r="F217" i="22" s="1"/>
  <c r="E217" i="22" s="1"/>
  <c r="H123" i="22"/>
  <c r="B123" i="22" s="1"/>
  <c r="K123" i="22" a="1"/>
  <c r="L217" i="22" l="1" a="1"/>
  <c r="N217" i="22" a="1"/>
  <c r="Q217" i="22" a="1"/>
  <c r="P217" i="22" a="1"/>
  <c r="O217" i="22" a="1"/>
  <c r="V185" i="21"/>
  <c r="W185" i="21"/>
  <c r="X185" i="21"/>
  <c r="K186" i="21"/>
  <c r="L186" i="21" s="1"/>
  <c r="I217" i="22"/>
  <c r="C217" i="22" s="1"/>
  <c r="H217" i="22"/>
  <c r="B217" i="22" s="1"/>
  <c r="R123" i="22" a="1"/>
  <c r="K217" i="22" a="1"/>
  <c r="T123" i="22" a="1"/>
  <c r="S123" i="22" a="1"/>
  <c r="Q186" i="21" l="1" a="1"/>
  <c r="R186" i="21" a="1"/>
  <c r="O186" i="21"/>
  <c r="N186" i="21"/>
  <c r="P186" i="21"/>
  <c r="E124" i="22" s="1"/>
  <c r="G124" i="22" s="1"/>
  <c r="J124" i="22" s="1"/>
  <c r="D124" i="22" s="1"/>
  <c r="F124" i="22" s="1"/>
  <c r="O124" i="22" a="1"/>
  <c r="J187" i="21" a="1"/>
  <c r="G187" i="21" a="1"/>
  <c r="P124" i="22" a="1"/>
  <c r="R217" i="22" a="1"/>
  <c r="T217" i="22" a="1"/>
  <c r="S217" i="22" a="1"/>
  <c r="Q124" i="22" a="1"/>
  <c r="N124" i="22" l="1" a="1"/>
  <c r="L124" i="22" a="1"/>
  <c r="S186" i="21"/>
  <c r="T186" i="21" s="1"/>
  <c r="V186" i="21" s="1"/>
  <c r="I124" i="22"/>
  <c r="C124" i="22" s="1"/>
  <c r="F218" i="22" s="1"/>
  <c r="G218" i="22" s="1"/>
  <c r="J218" i="22" s="1"/>
  <c r="D218" i="22" s="1"/>
  <c r="E218" i="22" s="1"/>
  <c r="H124" i="22"/>
  <c r="B124" i="22" s="1"/>
  <c r="K124" i="22" a="1"/>
  <c r="N218" i="22" l="1" a="1"/>
  <c r="L218" i="22" a="1"/>
  <c r="Q218" i="22" a="1"/>
  <c r="P218" i="22" a="1"/>
  <c r="O218" i="22" a="1"/>
  <c r="Q187" i="21" a="1"/>
  <c r="R187" i="21" a="1"/>
  <c r="W186" i="21"/>
  <c r="X186" i="21"/>
  <c r="K187" i="21"/>
  <c r="L187" i="21" s="1"/>
  <c r="H218" i="22"/>
  <c r="B218" i="22" s="1"/>
  <c r="I218" i="22"/>
  <c r="C218" i="22" s="1"/>
  <c r="T124" i="22" a="1"/>
  <c r="R124" i="22" a="1"/>
  <c r="S124" i="22" a="1"/>
  <c r="K218" i="22" a="1"/>
  <c r="S187" i="21" l="1"/>
  <c r="T187" i="21" s="1"/>
  <c r="O187" i="21"/>
  <c r="P187" i="21"/>
  <c r="N187" i="21"/>
  <c r="F125" i="22" s="1"/>
  <c r="E125" i="22" s="1"/>
  <c r="G125" i="22" s="1"/>
  <c r="J125" i="22" s="1"/>
  <c r="D125" i="22" s="1"/>
  <c r="O125" i="22" a="1"/>
  <c r="P125" i="22" a="1"/>
  <c r="R218" i="22" a="1"/>
  <c r="T218" i="22" a="1"/>
  <c r="S218" i="22" a="1"/>
  <c r="Q125" i="22" a="1"/>
  <c r="N125" i="22" l="1" a="1"/>
  <c r="L125" i="22" a="1"/>
  <c r="W187" i="21"/>
  <c r="V187" i="21"/>
  <c r="X187" i="21"/>
  <c r="J188" i="21" a="1"/>
  <c r="G188" i="21" a="1"/>
  <c r="F219" i="22" s="1"/>
  <c r="G219" i="22" s="1"/>
  <c r="J219" i="22" s="1"/>
  <c r="D219" i="22" s="1"/>
  <c r="E219" i="22" s="1"/>
  <c r="H125" i="22"/>
  <c r="B125" i="22" s="1"/>
  <c r="I125" i="22"/>
  <c r="C125" i="22" s="1"/>
  <c r="K125" i="22" a="1"/>
  <c r="L219" i="22" l="1" a="1"/>
  <c r="N219" i="22" a="1"/>
  <c r="Q219" i="22" a="1"/>
  <c r="P219" i="22" a="1"/>
  <c r="O219" i="22" a="1"/>
  <c r="R188" i="21" a="1"/>
  <c r="Q188" i="21" a="1"/>
  <c r="K188" i="21"/>
  <c r="L188" i="21" s="1"/>
  <c r="H219" i="22"/>
  <c r="B219" i="22" s="1"/>
  <c r="I219" i="22"/>
  <c r="C219" i="22" s="1"/>
  <c r="S125" i="22" a="1"/>
  <c r="R125" i="22" a="1"/>
  <c r="K219" i="22" a="1"/>
  <c r="T125" i="22" a="1"/>
  <c r="S188" i="21" l="1"/>
  <c r="T188" i="21" s="1"/>
  <c r="O188" i="21"/>
  <c r="N188" i="21"/>
  <c r="P188" i="21"/>
  <c r="G189" i="21" a="1"/>
  <c r="J189" i="21" a="1"/>
  <c r="G126" i="22" s="1"/>
  <c r="J126" i="22" s="1"/>
  <c r="D126" i="22" s="1"/>
  <c r="E126" i="22" s="1"/>
  <c r="F126" i="22" s="1"/>
  <c r="O126" i="22" a="1"/>
  <c r="P126" i="22" a="1"/>
  <c r="Q126" i="22" a="1"/>
  <c r="S219" i="22" a="1"/>
  <c r="R219" i="22" a="1"/>
  <c r="T219" i="22" a="1"/>
  <c r="N126" i="22" l="1" a="1"/>
  <c r="L126" i="22" a="1"/>
  <c r="X188" i="21"/>
  <c r="W188" i="21"/>
  <c r="V188" i="21"/>
  <c r="K189" i="21"/>
  <c r="L189" i="21" s="1"/>
  <c r="I126" i="22"/>
  <c r="C126" i="22" s="1"/>
  <c r="G220" i="22" s="1"/>
  <c r="J220" i="22" s="1"/>
  <c r="D220" i="22" s="1"/>
  <c r="E220" i="22" s="1"/>
  <c r="F220" i="22" s="1"/>
  <c r="H126" i="22"/>
  <c r="B126" i="22" s="1"/>
  <c r="K126" i="22" a="1"/>
  <c r="L220" i="22" l="1" a="1"/>
  <c r="N220" i="22" a="1"/>
  <c r="Q220" i="22" a="1"/>
  <c r="P220" i="22" a="1"/>
  <c r="O220" i="22" a="1"/>
  <c r="R189" i="21" a="1"/>
  <c r="Q189" i="21" a="1"/>
  <c r="S189" i="21" s="1"/>
  <c r="T189" i="21" s="1"/>
  <c r="W189" i="21" s="1"/>
  <c r="I220" i="22"/>
  <c r="C220" i="22" s="1"/>
  <c r="P189" i="21"/>
  <c r="N189" i="21"/>
  <c r="O189" i="21"/>
  <c r="H220" i="22"/>
  <c r="B220" i="22" s="1"/>
  <c r="K220" i="22" a="1"/>
  <c r="T126" i="22" a="1"/>
  <c r="S126" i="22" a="1"/>
  <c r="R126" i="22" a="1"/>
  <c r="V189" i="21" l="1"/>
  <c r="X189" i="21"/>
  <c r="R190" i="21" a="1"/>
  <c r="Q190" i="21" a="1"/>
  <c r="J190" i="21" a="1"/>
  <c r="G190" i="21" a="1"/>
  <c r="E127" i="22" s="1"/>
  <c r="F127" i="22" s="1"/>
  <c r="G127" i="22" s="1"/>
  <c r="J127" i="22" s="1"/>
  <c r="D127" i="22" s="1"/>
  <c r="R220" i="22" a="1"/>
  <c r="S220" i="22" a="1"/>
  <c r="Q127" i="22" a="1"/>
  <c r="O127" i="22" a="1"/>
  <c r="P127" i="22" a="1"/>
  <c r="T220" i="22" a="1"/>
  <c r="I127" i="22" l="1"/>
  <c r="C127" i="22" s="1"/>
  <c r="N127" i="22" a="1"/>
  <c r="L127" i="22" a="1"/>
  <c r="K190" i="21"/>
  <c r="L190" i="21" s="1"/>
  <c r="F221" i="22" s="1"/>
  <c r="E221" i="22" s="1"/>
  <c r="G221" i="22" s="1"/>
  <c r="J221" i="22" s="1"/>
  <c r="D221" i="22" s="1"/>
  <c r="H127" i="22"/>
  <c r="B127" i="22" s="1"/>
  <c r="S190" i="21"/>
  <c r="T190" i="21" s="1"/>
  <c r="K127" i="22" a="1"/>
  <c r="N221" i="22" l="1" a="1"/>
  <c r="L221" i="22" a="1"/>
  <c r="Q221" i="22" a="1"/>
  <c r="P221" i="22" a="1"/>
  <c r="O221" i="22" a="1"/>
  <c r="O190" i="21"/>
  <c r="P190" i="21"/>
  <c r="N190" i="21"/>
  <c r="H221" i="22"/>
  <c r="B221" i="22" s="1"/>
  <c r="I221" i="22"/>
  <c r="C221" i="22" s="1"/>
  <c r="V190" i="21"/>
  <c r="X190" i="21"/>
  <c r="W190" i="21"/>
  <c r="R127" i="22" a="1"/>
  <c r="S127" i="22" a="1"/>
  <c r="T127" i="22" a="1"/>
  <c r="R191" i="21" a="1"/>
  <c r="Q191" i="21" a="1"/>
  <c r="K221" i="22" a="1"/>
  <c r="J191" i="21" l="1" a="1"/>
  <c r="G191" i="21" a="1"/>
  <c r="K191" i="21" s="1"/>
  <c r="L191" i="21" s="1"/>
  <c r="G128" i="22" s="1"/>
  <c r="J128" i="22" s="1"/>
  <c r="D128" i="22" s="1"/>
  <c r="F128" i="22" s="1"/>
  <c r="E128" i="22" s="1"/>
  <c r="O128" i="22" a="1"/>
  <c r="P128" i="22" a="1"/>
  <c r="S221" i="22" a="1"/>
  <c r="R221" i="22" a="1"/>
  <c r="Q128" i="22" a="1"/>
  <c r="T221" i="22" a="1"/>
  <c r="N128" i="22" l="1" a="1"/>
  <c r="L128" i="22" a="1"/>
  <c r="P191" i="21"/>
  <c r="N191" i="21"/>
  <c r="O191" i="21"/>
  <c r="E222" i="22" s="1"/>
  <c r="G222" i="22" s="1"/>
  <c r="J222" i="22" s="1"/>
  <c r="D222" i="22" s="1"/>
  <c r="F222" i="22" s="1"/>
  <c r="H128" i="22"/>
  <c r="B128" i="22" s="1"/>
  <c r="I128" i="22"/>
  <c r="C128" i="22" s="1"/>
  <c r="S191" i="21"/>
  <c r="T191" i="21" s="1"/>
  <c r="K128" i="22" a="1"/>
  <c r="I222" i="22" l="1"/>
  <c r="C222" i="22" s="1"/>
  <c r="N222" i="22" a="1"/>
  <c r="L222" i="22" a="1"/>
  <c r="Q222" i="22" a="1"/>
  <c r="P222" i="22" a="1"/>
  <c r="O222" i="22" a="1"/>
  <c r="J192" i="21" a="1"/>
  <c r="G192" i="21" a="1"/>
  <c r="H222" i="22"/>
  <c r="B222" i="22" s="1"/>
  <c r="V191" i="21"/>
  <c r="X191" i="21"/>
  <c r="W191" i="21"/>
  <c r="R128" i="22" a="1"/>
  <c r="S128" i="22" a="1"/>
  <c r="K222" i="22" a="1"/>
  <c r="Q192" i="21" a="1"/>
  <c r="R192" i="21" a="1"/>
  <c r="T128" i="22" a="1"/>
  <c r="K192" i="21" l="1"/>
  <c r="L192" i="21" s="1"/>
  <c r="F129" i="22" s="1"/>
  <c r="E129" i="22" s="1"/>
  <c r="G129" i="22" s="1"/>
  <c r="J129" i="22" s="1"/>
  <c r="D129" i="22" s="1"/>
  <c r="Q129" i="22" a="1"/>
  <c r="P129" i="22" a="1"/>
  <c r="O129" i="22" a="1"/>
  <c r="R222" i="22" a="1"/>
  <c r="T222" i="22" a="1"/>
  <c r="S222" i="22" a="1"/>
  <c r="N129" i="22" l="1" a="1"/>
  <c r="L129" i="22" a="1"/>
  <c r="N192" i="21"/>
  <c r="P192" i="21"/>
  <c r="O192" i="21"/>
  <c r="S192" i="21"/>
  <c r="T192" i="21" s="1"/>
  <c r="W192" i="21" s="1"/>
  <c r="F223" i="22" s="1"/>
  <c r="G223" i="22" s="1"/>
  <c r="J223" i="22" s="1"/>
  <c r="D223" i="22" s="1"/>
  <c r="E223" i="22" s="1"/>
  <c r="H129" i="22"/>
  <c r="B129" i="22" s="1"/>
  <c r="I129" i="22"/>
  <c r="C129" i="22" s="1"/>
  <c r="K129" i="22" a="1"/>
  <c r="N223" i="22" l="1" a="1"/>
  <c r="L223" i="22" a="1"/>
  <c r="Q223" i="22" a="1"/>
  <c r="P223" i="22" a="1"/>
  <c r="O223" i="22" a="1"/>
  <c r="G193" i="21" a="1"/>
  <c r="J193" i="21" a="1"/>
  <c r="X192" i="21"/>
  <c r="V192" i="21"/>
  <c r="H223" i="22"/>
  <c r="B223" i="22" s="1"/>
  <c r="I223" i="22"/>
  <c r="C223" i="22" s="1"/>
  <c r="R193" i="21" a="1"/>
  <c r="Q193" i="21" a="1"/>
  <c r="K223" i="22" a="1"/>
  <c r="T129" i="22" a="1"/>
  <c r="S129" i="22" a="1"/>
  <c r="R129" i="22" a="1"/>
  <c r="K193" i="21" l="1"/>
  <c r="L193" i="21" s="1"/>
  <c r="G130" i="22" s="1"/>
  <c r="J130" i="22" s="1"/>
  <c r="D130" i="22" s="1"/>
  <c r="E130" i="22" s="1"/>
  <c r="F130" i="22" s="1"/>
  <c r="I130" i="22" s="1"/>
  <c r="C130" i="22" s="1"/>
  <c r="Q130" i="22" a="1"/>
  <c r="P130" i="22" a="1"/>
  <c r="T223" i="22" a="1"/>
  <c r="S223" i="22" a="1"/>
  <c r="O130" i="22" a="1"/>
  <c r="R223" i="22" a="1"/>
  <c r="N193" i="21" l="1"/>
  <c r="P193" i="21"/>
  <c r="O193" i="21"/>
  <c r="N130" i="22" a="1"/>
  <c r="L130" i="22" a="1"/>
  <c r="G194" i="21" a="1"/>
  <c r="J194" i="21" a="1"/>
  <c r="S193" i="21"/>
  <c r="T193" i="21" s="1"/>
  <c r="F224" i="22" s="1"/>
  <c r="E224" i="22" s="1"/>
  <c r="G224" i="22" s="1"/>
  <c r="J224" i="22" s="1"/>
  <c r="D224" i="22" s="1"/>
  <c r="H130" i="22"/>
  <c r="B130" i="22" s="1"/>
  <c r="K130" i="22" a="1"/>
  <c r="N224" i="22" l="1" a="1"/>
  <c r="L224" i="22" a="1"/>
  <c r="Q224" i="22" a="1"/>
  <c r="P224" i="22" a="1"/>
  <c r="O224" i="22" a="1"/>
  <c r="X193" i="21"/>
  <c r="V193" i="21"/>
  <c r="W193" i="21"/>
  <c r="Q194" i="21" a="1"/>
  <c r="R194" i="21" a="1"/>
  <c r="H224" i="22"/>
  <c r="B224" i="22" s="1"/>
  <c r="I224" i="22"/>
  <c r="C224" i="22" s="1"/>
  <c r="K194" i="21"/>
  <c r="L194" i="21" s="1"/>
  <c r="T130" i="22" a="1"/>
  <c r="K224" i="22" a="1"/>
  <c r="S130" i="22" a="1"/>
  <c r="R130" i="22" a="1"/>
  <c r="S194" i="21" l="1"/>
  <c r="T194" i="21" s="1"/>
  <c r="E131" i="22" s="1"/>
  <c r="G131" i="22" s="1"/>
  <c r="J131" i="22" s="1"/>
  <c r="D131" i="22" s="1"/>
  <c r="F131" i="22" s="1"/>
  <c r="I131" i="22" s="1"/>
  <c r="C131" i="22" s="1"/>
  <c r="N194" i="21"/>
  <c r="P194" i="21"/>
  <c r="O194" i="21"/>
  <c r="J195" i="21" a="1"/>
  <c r="R224" i="22" a="1"/>
  <c r="G195" i="21" a="1"/>
  <c r="O131" i="22" a="1"/>
  <c r="P131" i="22" a="1"/>
  <c r="Q131" i="22" a="1"/>
  <c r="S224" i="22" a="1"/>
  <c r="T224" i="22" a="1"/>
  <c r="N131" i="22" l="1" a="1"/>
  <c r="L131" i="22" a="1"/>
  <c r="V194" i="21"/>
  <c r="X194" i="21"/>
  <c r="W194" i="21"/>
  <c r="G225" i="22" s="1"/>
  <c r="J225" i="22" s="1"/>
  <c r="D225" i="22" s="1"/>
  <c r="E225" i="22" s="1"/>
  <c r="F225" i="22" s="1"/>
  <c r="H131" i="22"/>
  <c r="K131" i="22" a="1"/>
  <c r="N225" i="22" l="1" a="1"/>
  <c r="L225" i="22" a="1"/>
  <c r="Q225" i="22" a="1"/>
  <c r="P225" i="22" a="1"/>
  <c r="O225" i="22" a="1"/>
  <c r="I225" i="22"/>
  <c r="C225" i="22" s="1"/>
  <c r="Q195" i="21" a="1"/>
  <c r="R195" i="21" a="1"/>
  <c r="H225" i="22"/>
  <c r="B225" i="22" s="1"/>
  <c r="K195" i="21"/>
  <c r="L195" i="21" s="1"/>
  <c r="H133" i="22"/>
  <c r="B131" i="22"/>
  <c r="S131" i="22" a="1"/>
  <c r="R131" i="22" a="1"/>
  <c r="T131" i="22" a="1"/>
  <c r="K225" i="22" a="1"/>
  <c r="S195" i="21" l="1"/>
  <c r="T195" i="21" s="1"/>
  <c r="N195" i="21"/>
  <c r="P195" i="21"/>
  <c r="O195" i="21"/>
  <c r="G196" i="21" a="1"/>
  <c r="S225" i="22" a="1"/>
  <c r="J196" i="21" a="1"/>
  <c r="R225" i="22" a="1"/>
  <c r="T225" i="22" a="1"/>
  <c r="W195" i="21" l="1"/>
  <c r="X195" i="21"/>
  <c r="V195" i="21"/>
  <c r="E226" i="22" s="1"/>
  <c r="F226" i="22" s="1"/>
  <c r="G226" i="22" s="1"/>
  <c r="J226" i="22" s="1"/>
  <c r="D226" i="22" s="1"/>
  <c r="I226" i="22" l="1"/>
  <c r="C226" i="22" s="1"/>
  <c r="N226" i="22" a="1"/>
  <c r="L226" i="22" a="1"/>
  <c r="Q226" i="22" a="1"/>
  <c r="P226" i="22" a="1"/>
  <c r="O226" i="22" a="1"/>
  <c r="Q196" i="21" a="1"/>
  <c r="R196" i="21" a="1"/>
  <c r="K196" i="21"/>
  <c r="L196" i="21" s="1"/>
  <c r="O196" i="21" s="1"/>
  <c r="H226" i="22"/>
  <c r="B226" i="22" s="1"/>
  <c r="K226" i="22" a="1"/>
  <c r="S196" i="21" l="1"/>
  <c r="T196" i="21" s="1"/>
  <c r="W196" i="21" s="1"/>
  <c r="P196" i="21"/>
  <c r="N196" i="21"/>
  <c r="J197" i="21" a="1"/>
  <c r="R226" i="22" a="1"/>
  <c r="S226" i="22" a="1"/>
  <c r="G197" i="21" a="1"/>
  <c r="T226" i="22" a="1"/>
  <c r="V196" i="21" l="1"/>
  <c r="X196" i="21"/>
  <c r="R197" i="21" a="1"/>
  <c r="Q197" i="21" a="1"/>
  <c r="G227" i="22" s="1"/>
  <c r="J227" i="22" s="1"/>
  <c r="D227" i="22" s="1"/>
  <c r="F227" i="22" s="1"/>
  <c r="E227" i="22" s="1"/>
  <c r="N227" i="22" l="1" a="1"/>
  <c r="L227" i="22" a="1"/>
  <c r="S197" i="21"/>
  <c r="T197" i="21" s="1"/>
  <c r="Q227" i="22" a="1"/>
  <c r="P227" i="22" a="1"/>
  <c r="O227" i="22" a="1"/>
  <c r="K197" i="21"/>
  <c r="L197" i="21" s="1"/>
  <c r="H227" i="22"/>
  <c r="B227" i="22" s="1"/>
  <c r="I227" i="22"/>
  <c r="C227" i="22" s="1"/>
  <c r="K227" i="22" a="1"/>
  <c r="V197" i="21" l="1"/>
  <c r="X197" i="21"/>
  <c r="W197" i="21"/>
  <c r="N197" i="21"/>
  <c r="O197" i="21"/>
  <c r="P197" i="21"/>
  <c r="R198" i="21" a="1"/>
  <c r="Q198" i="21" a="1"/>
  <c r="G198" i="21" a="1"/>
  <c r="J198" i="21" a="1"/>
  <c r="S227" i="22" a="1"/>
  <c r="T227" i="22" a="1"/>
  <c r="R227" i="22" a="1"/>
  <c r="S198" i="21" l="1"/>
  <c r="T198" i="21" s="1"/>
  <c r="K198" i="21"/>
  <c r="L198" i="21" s="1"/>
  <c r="V198" i="21" l="1"/>
  <c r="X198" i="21"/>
  <c r="W198" i="21"/>
  <c r="P198" i="21"/>
  <c r="N198" i="21"/>
  <c r="O198" i="21"/>
  <c r="Q199" i="21" l="1" a="1"/>
  <c r="R199" i="21" a="1"/>
  <c r="J199" i="21" a="1"/>
  <c r="G199" i="21" a="1"/>
  <c r="K199" i="21" s="1"/>
  <c r="L199" i="21" s="1"/>
  <c r="S199" i="21" l="1"/>
  <c r="T199" i="21" s="1"/>
  <c r="N199" i="21"/>
  <c r="O199" i="21"/>
  <c r="P199" i="21"/>
  <c r="X199" i="21" l="1"/>
  <c r="V199" i="21"/>
  <c r="W199" i="21"/>
  <c r="R200" i="21" a="1"/>
  <c r="Q200" i="21" a="1"/>
  <c r="J200" i="21" a="1"/>
  <c r="G200" i="21" a="1"/>
  <c r="K200" i="21" s="1"/>
  <c r="L200" i="21" s="1"/>
  <c r="S200" i="21" l="1"/>
  <c r="T200" i="21" s="1"/>
  <c r="P200" i="21"/>
  <c r="N200" i="21"/>
  <c r="O200" i="21"/>
  <c r="J201" i="21" a="1"/>
  <c r="G201" i="21" a="1"/>
  <c r="W200" i="21" l="1"/>
  <c r="X200" i="21"/>
  <c r="V200" i="21"/>
  <c r="K201" i="21" s="1"/>
  <c r="L201" i="21" s="1"/>
  <c r="O201" i="21" s="1"/>
  <c r="Q201" i="21" l="1" a="1"/>
  <c r="R201" i="21" a="1"/>
  <c r="N201" i="21"/>
  <c r="P201" i="21"/>
  <c r="J202" i="21" a="1"/>
  <c r="G202" i="21" a="1"/>
  <c r="S201" i="21" l="1"/>
  <c r="T201" i="21" s="1"/>
  <c r="X201" i="21" l="1"/>
  <c r="V201" i="21"/>
  <c r="W201" i="21"/>
  <c r="Q202" i="21" a="1"/>
  <c r="R202" i="21" a="1"/>
  <c r="K202" i="21"/>
  <c r="L202" i="21" s="1"/>
  <c r="N202" i="21" s="1"/>
  <c r="J203" i="21" a="1"/>
  <c r="G203" i="21" a="1"/>
  <c r="S202" i="21" l="1"/>
  <c r="T202" i="21" s="1"/>
  <c r="W202" i="21" s="1"/>
  <c r="O202" i="21"/>
  <c r="P202" i="21"/>
  <c r="X202" i="21" l="1"/>
  <c r="V202" i="21"/>
  <c r="R203" i="21" a="1"/>
  <c r="Q203" i="21" a="1"/>
  <c r="S203" i="21" s="1"/>
  <c r="T203" i="21" s="1"/>
  <c r="K203" i="21"/>
  <c r="L203" i="21" s="1"/>
  <c r="X203" i="21" l="1"/>
  <c r="V203" i="21"/>
  <c r="W203" i="21"/>
  <c r="N203" i="21"/>
  <c r="P203" i="21"/>
  <c r="O203" i="21"/>
  <c r="J204" i="21" a="1"/>
  <c r="G204" i="21" a="1"/>
  <c r="Q204" i="21" l="1" a="1"/>
  <c r="R204" i="21" a="1"/>
  <c r="S204" i="21" l="1"/>
  <c r="T204" i="21" s="1"/>
  <c r="X204" i="21" s="1"/>
  <c r="K204" i="21"/>
  <c r="L204" i="21" s="1"/>
  <c r="V204" i="21" l="1"/>
  <c r="W204" i="21"/>
  <c r="R205" i="21" a="1"/>
  <c r="Q205" i="21" a="1"/>
  <c r="S205" i="21" s="1"/>
  <c r="T205" i="21" s="1"/>
  <c r="N204" i="21"/>
  <c r="P204" i="21"/>
  <c r="O204" i="21"/>
  <c r="J205" i="21" a="1"/>
  <c r="G205" i="21" a="1"/>
  <c r="V205" i="21" l="1"/>
  <c r="W205" i="21"/>
  <c r="X205" i="21"/>
  <c r="Q206" i="21" l="1" a="1"/>
  <c r="R206" i="21" a="1"/>
  <c r="K205" i="21"/>
  <c r="L205" i="21" s="1"/>
  <c r="S206" i="21" l="1"/>
  <c r="T206" i="21" s="1"/>
  <c r="N205" i="21"/>
  <c r="P205" i="21"/>
  <c r="O205" i="21"/>
  <c r="G206" i="21" a="1"/>
  <c r="J206" i="21" a="1"/>
  <c r="V206" i="21" l="1"/>
  <c r="X206" i="21"/>
  <c r="W206" i="21"/>
  <c r="R207" i="21" l="1" a="1"/>
  <c r="Q207" i="21" a="1"/>
  <c r="S207" i="21" s="1"/>
  <c r="T207" i="21" s="1"/>
  <c r="K206" i="21"/>
  <c r="L206" i="21" s="1"/>
  <c r="X207" i="21" l="1"/>
  <c r="V207" i="21"/>
  <c r="W207" i="21"/>
  <c r="N206" i="21"/>
  <c r="P206" i="21"/>
  <c r="O206" i="21"/>
  <c r="G207" i="21" a="1"/>
  <c r="J207" i="21" a="1"/>
  <c r="R208" i="21" l="1" a="1"/>
  <c r="Q208" i="21" a="1"/>
  <c r="K207" i="21" s="1"/>
  <c r="L207" i="21" s="1"/>
  <c r="O207" i="21" s="1"/>
  <c r="S208" i="21" l="1"/>
  <c r="T208" i="21" s="1"/>
  <c r="N207" i="21"/>
  <c r="P207" i="21"/>
  <c r="G208" i="21" a="1"/>
  <c r="J208" i="21" a="1"/>
  <c r="V208" i="21" l="1"/>
  <c r="W208" i="21"/>
  <c r="X208" i="21"/>
  <c r="R209" i="21" l="1" a="1"/>
  <c r="Q209" i="21" a="1"/>
  <c r="K208" i="21"/>
  <c r="L208" i="21" s="1"/>
  <c r="N208" i="21" s="1"/>
  <c r="G209" i="21" a="1"/>
  <c r="J209" i="21" a="1"/>
  <c r="S209" i="21" l="1"/>
  <c r="T209" i="21" s="1"/>
  <c r="W209" i="21" s="1"/>
  <c r="X209" i="21"/>
  <c r="V209" i="21"/>
  <c r="O208" i="21"/>
  <c r="P208" i="21"/>
  <c r="K209" i="21" s="1"/>
  <c r="L209" i="21" s="1"/>
  <c r="R210" i="21" l="1" a="1"/>
  <c r="Q210" i="21" a="1"/>
  <c r="O209" i="21"/>
  <c r="N209" i="21"/>
  <c r="P209" i="21"/>
  <c r="J210" i="21" a="1"/>
  <c r="G210" i="21" a="1"/>
  <c r="S210" i="21" l="1"/>
  <c r="T210" i="21" s="1"/>
  <c r="X210" i="21" l="1"/>
  <c r="W210" i="21"/>
  <c r="V210" i="21"/>
  <c r="Q211" i="21" a="1"/>
  <c r="R211" i="21" a="1"/>
  <c r="K210" i="21"/>
  <c r="L210" i="21" s="1"/>
  <c r="S211" i="21" l="1"/>
  <c r="T211" i="21" s="1"/>
  <c r="N210" i="21"/>
  <c r="P210" i="21"/>
  <c r="O210" i="21"/>
  <c r="J211" i="21" a="1"/>
  <c r="G211" i="21" a="1"/>
  <c r="W211" i="21" l="1"/>
  <c r="X211" i="21"/>
  <c r="V211" i="21"/>
  <c r="Q212" i="21" l="1" a="1"/>
  <c r="R212" i="21" a="1"/>
  <c r="K211" i="21"/>
  <c r="L211" i="21" s="1"/>
  <c r="S212" i="21" l="1"/>
  <c r="T212" i="21" s="1"/>
  <c r="O211" i="21"/>
  <c r="N211" i="21"/>
  <c r="P211" i="21"/>
  <c r="G212" i="21" a="1"/>
  <c r="J212" i="21" a="1"/>
  <c r="W212" i="21" l="1"/>
  <c r="X212" i="21"/>
  <c r="V212" i="21"/>
  <c r="Q213" i="21" l="1" a="1"/>
  <c r="R213" i="21" a="1"/>
  <c r="K212" i="21"/>
  <c r="L212" i="21" s="1"/>
  <c r="O212" i="21" s="1"/>
  <c r="S213" i="21" l="1"/>
  <c r="T213" i="21" s="1"/>
  <c r="P212" i="21"/>
  <c r="N212" i="21"/>
  <c r="J213" i="21" a="1"/>
  <c r="G213" i="21" a="1"/>
  <c r="W213" i="21" l="1"/>
  <c r="X213" i="21"/>
  <c r="V213" i="21"/>
  <c r="R214" i="21" l="1" a="1"/>
  <c r="Q214" i="21" a="1"/>
  <c r="K213" i="21"/>
  <c r="L213" i="21" s="1"/>
  <c r="O213" i="21" l="1"/>
  <c r="P213" i="21"/>
  <c r="N213" i="21"/>
  <c r="S214" i="21"/>
  <c r="T214" i="21" s="1"/>
  <c r="W214" i="21" s="1"/>
  <c r="G214" i="21" a="1"/>
  <c r="J214" i="21" a="1"/>
  <c r="X214" i="21" l="1"/>
  <c r="V214" i="21"/>
  <c r="Q215" i="21" a="1"/>
  <c r="R215" i="21" a="1"/>
  <c r="K214" i="21"/>
  <c r="L214" i="21" s="1"/>
  <c r="P214" i="21" s="1"/>
  <c r="O214" i="21" l="1"/>
  <c r="N214" i="21"/>
  <c r="S215" i="21"/>
  <c r="T215" i="21" s="1"/>
  <c r="J215" i="21" l="1" a="1"/>
  <c r="G215" i="21" a="1"/>
  <c r="V215" i="21"/>
  <c r="X215" i="21"/>
  <c r="W215" i="21"/>
  <c r="R216" i="21" a="1"/>
  <c r="Q216" i="21" a="1"/>
  <c r="K215" i="21" l="1"/>
  <c r="L215" i="21" s="1"/>
  <c r="S216" i="21"/>
  <c r="T216" i="21" s="1"/>
  <c r="O215" i="21" l="1"/>
  <c r="N215" i="21"/>
  <c r="P215" i="21"/>
  <c r="V216" i="21"/>
  <c r="W216" i="21"/>
  <c r="X216" i="21"/>
  <c r="J216" i="21" a="1"/>
  <c r="G216" i="21" a="1"/>
  <c r="K216" i="21" s="1"/>
  <c r="L216" i="21" s="1"/>
  <c r="N216" i="21" s="1"/>
  <c r="Q217" i="21" l="1" a="1"/>
  <c r="R217" i="21" a="1"/>
  <c r="J217" i="21" a="1"/>
  <c r="G217" i="21" a="1"/>
  <c r="O216" i="21"/>
  <c r="P216" i="21"/>
  <c r="S217" i="21" l="1"/>
  <c r="T217" i="21" s="1"/>
  <c r="K217" i="21"/>
  <c r="L217" i="21" s="1"/>
  <c r="V217" i="21" l="1"/>
  <c r="X217" i="21"/>
  <c r="W217" i="21"/>
  <c r="O217" i="21"/>
  <c r="N217" i="21"/>
  <c r="P217" i="21"/>
  <c r="Q218" i="21" l="1" a="1"/>
  <c r="R218" i="21" a="1"/>
  <c r="G218" i="21" a="1"/>
  <c r="J218" i="21" a="1"/>
  <c r="S218" i="21" l="1"/>
  <c r="T218" i="21" s="1"/>
  <c r="K218" i="21"/>
  <c r="L218" i="21" s="1"/>
  <c r="W218" i="21" l="1"/>
  <c r="X218" i="21"/>
  <c r="V218" i="21"/>
  <c r="N218" i="21"/>
  <c r="P218" i="21"/>
  <c r="O218" i="21"/>
  <c r="R219" i="21" l="1" a="1"/>
  <c r="Q219" i="21" a="1"/>
  <c r="G219" i="21" a="1"/>
  <c r="J219" i="21" a="1"/>
  <c r="S219" i="21" l="1"/>
  <c r="T219" i="21" s="1"/>
  <c r="W219" i="21" s="1"/>
  <c r="K219" i="21"/>
  <c r="L219" i="21" s="1"/>
  <c r="X219" i="21" l="1"/>
  <c r="V219" i="21"/>
  <c r="Q220" i="21" a="1"/>
  <c r="R220" i="21" a="1"/>
  <c r="O219" i="21"/>
  <c r="N219" i="21"/>
  <c r="P219" i="21"/>
  <c r="S220" i="21" l="1"/>
  <c r="T220" i="21" s="1"/>
  <c r="X220" i="21" s="1"/>
  <c r="G220" i="21" a="1"/>
  <c r="J220" i="21" a="1"/>
  <c r="W220" i="21" l="1"/>
  <c r="V220" i="21"/>
  <c r="R221" i="21" a="1"/>
  <c r="Q221" i="21" a="1"/>
  <c r="K220" i="21"/>
  <c r="L220" i="21" s="1"/>
  <c r="S221" i="21" l="1"/>
  <c r="T221" i="21" s="1"/>
  <c r="O220" i="21"/>
  <c r="P220" i="21"/>
  <c r="N220" i="21"/>
  <c r="W221" i="21" l="1"/>
  <c r="X221" i="21"/>
  <c r="V221" i="21"/>
  <c r="J221" i="21" a="1"/>
  <c r="G221" i="21" a="1"/>
  <c r="K221" i="21" s="1"/>
  <c r="L221" i="21" s="1"/>
  <c r="Q222" i="21" l="1" a="1"/>
  <c r="R222" i="21" a="1"/>
  <c r="P221" i="21"/>
  <c r="N221" i="21"/>
  <c r="O221" i="21"/>
  <c r="S222" i="21" l="1"/>
  <c r="T222" i="21" s="1"/>
  <c r="J222" i="21" a="1"/>
  <c r="G222" i="21" a="1"/>
  <c r="K222" i="21" s="1"/>
  <c r="L222" i="21" s="1"/>
  <c r="V222" i="21" l="1"/>
  <c r="X222" i="21"/>
  <c r="W222" i="21"/>
  <c r="N222" i="21"/>
  <c r="O222" i="21"/>
  <c r="P222" i="21"/>
  <c r="R223" i="21" l="1" a="1"/>
  <c r="Q223" i="21" a="1"/>
  <c r="S223" i="21" s="1"/>
  <c r="T223" i="21" s="1"/>
  <c r="J223" i="21" a="1"/>
  <c r="G223" i="21" a="1"/>
  <c r="K223" i="21" s="1"/>
  <c r="L223" i="21" s="1"/>
  <c r="V223" i="21" l="1"/>
  <c r="W223" i="21"/>
  <c r="X223" i="21"/>
  <c r="Q224" i="21" a="1"/>
  <c r="R224" i="21" a="1"/>
  <c r="O223" i="21"/>
  <c r="N223" i="21"/>
  <c r="P223" i="21"/>
  <c r="S224" i="21" l="1"/>
  <c r="T224" i="21" s="1"/>
  <c r="G224" i="21" a="1"/>
  <c r="J224" i="21" a="1"/>
  <c r="W224" i="21" l="1"/>
  <c r="V224" i="21"/>
  <c r="X224" i="21"/>
  <c r="K224" i="21"/>
  <c r="L224" i="21" s="1"/>
  <c r="O224" i="21"/>
  <c r="Q225" i="21" l="1" a="1"/>
  <c r="S225" i="21" s="1"/>
  <c r="T225" i="21" s="1"/>
  <c r="W225" i="21" s="1"/>
  <c r="R225" i="21" a="1"/>
  <c r="N224" i="21"/>
  <c r="P224" i="21"/>
  <c r="G225" i="21" a="1"/>
  <c r="J225" i="21" a="1"/>
  <c r="X225" i="21" l="1"/>
  <c r="V225" i="21"/>
  <c r="K225" i="21"/>
  <c r="L225" i="21" s="1"/>
  <c r="Q226" i="21" a="1"/>
  <c r="R226" i="21" a="1"/>
  <c r="O225" i="21"/>
  <c r="N225" i="21"/>
  <c r="P225" i="21"/>
  <c r="J226" i="21" a="1"/>
  <c r="G226" i="21" a="1"/>
  <c r="S226" i="21" l="1"/>
  <c r="T226" i="21" s="1"/>
  <c r="K226" i="21" s="1"/>
  <c r="L226" i="21" s="1"/>
  <c r="O226" i="21" s="1"/>
  <c r="V226" i="21" l="1"/>
  <c r="X226" i="21"/>
  <c r="W226" i="21"/>
  <c r="N226" i="21"/>
  <c r="P226" i="21"/>
  <c r="G227" i="21" a="1"/>
  <c r="J227" i="21" a="1"/>
  <c r="R227" i="21" l="1" a="1"/>
  <c r="Q227" i="21" a="1"/>
  <c r="S227" i="21" s="1"/>
  <c r="T227" i="21" s="1"/>
  <c r="W227" i="21" s="1"/>
  <c r="X227" i="21" l="1"/>
  <c r="V227" i="21"/>
  <c r="K227" i="21"/>
  <c r="L227" i="21" s="1"/>
  <c r="Q228" i="21" a="1"/>
  <c r="R228" i="21" a="1"/>
  <c r="N227" i="21"/>
  <c r="P227" i="21"/>
  <c r="O227" i="21"/>
  <c r="J228" i="21" a="1"/>
  <c r="G228" i="21" a="1"/>
  <c r="S228" i="21" l="1"/>
  <c r="T228" i="21" s="1"/>
  <c r="V228" i="21" s="1"/>
  <c r="R229" i="21" a="1"/>
  <c r="Q229" i="21" a="1"/>
  <c r="W228" i="21" l="1"/>
  <c r="X228" i="21"/>
  <c r="K228" i="21"/>
  <c r="L228" i="21" s="1"/>
  <c r="O228" i="21" l="1"/>
  <c r="N228" i="21"/>
  <c r="P228" i="21"/>
  <c r="S229" i="21"/>
  <c r="T229" i="21" s="1"/>
  <c r="G229" i="21" a="1"/>
  <c r="J229" i="21" a="1"/>
  <c r="K229" i="21" s="1"/>
  <c r="L229" i="21" s="1"/>
  <c r="V229" i="21"/>
  <c r="X229" i="21"/>
  <c r="W229" i="21"/>
  <c r="Q230" i="21" a="1"/>
  <c r="R230" i="21" a="1"/>
  <c r="O229" i="21"/>
  <c r="N229" i="21"/>
  <c r="P229" i="21"/>
  <c r="J230" i="21" a="1"/>
  <c r="G230" i="21" a="1"/>
  <c r="S230" i="21"/>
  <c r="T230" i="21" s="1"/>
  <c r="V230" i="21" l="1"/>
  <c r="X230" i="21"/>
  <c r="W230" i="21"/>
  <c r="K230" i="21"/>
  <c r="L230" i="21" s="1"/>
  <c r="R231" i="21" a="1"/>
  <c r="Q231" i="21" a="1"/>
  <c r="N230" i="21"/>
  <c r="P230" i="21"/>
  <c r="O230" i="21"/>
  <c r="G231" i="21" a="1"/>
  <c r="J231" i="21" a="1"/>
  <c r="S231" i="21"/>
  <c r="T231" i="21" s="1"/>
  <c r="K231" i="21" l="1"/>
  <c r="L231" i="21" s="1"/>
  <c r="W231" i="21"/>
  <c r="V231" i="21"/>
  <c r="X231" i="21"/>
  <c r="Q232" i="21" a="1"/>
  <c r="R232" i="21" a="1"/>
  <c r="O231" i="21" l="1"/>
  <c r="N231" i="21"/>
  <c r="P231" i="21"/>
  <c r="S232" i="21" s="1"/>
  <c r="T232" i="21" s="1"/>
  <c r="W232" i="21" s="1"/>
  <c r="J232" i="21" l="1" a="1"/>
  <c r="G232" i="21" a="1"/>
  <c r="V232" i="21"/>
  <c r="X232" i="21"/>
  <c r="R233" i="21" a="1"/>
  <c r="Q233" i="21" a="1"/>
  <c r="K232" i="21" l="1"/>
  <c r="L232" i="21" s="1"/>
  <c r="N232" i="21" l="1"/>
  <c r="O232" i="21"/>
  <c r="P232" i="21"/>
  <c r="S233" i="21"/>
  <c r="T233" i="21" s="1"/>
  <c r="G233" i="21" l="1" a="1"/>
  <c r="J233" i="21" a="1"/>
  <c r="V233" i="21"/>
  <c r="X233" i="21"/>
  <c r="W233" i="21"/>
  <c r="Q234" i="21" a="1"/>
  <c r="R234" i="21" a="1"/>
  <c r="K233" i="21" l="1"/>
  <c r="L233" i="21" s="1"/>
  <c r="O233" i="21" l="1"/>
  <c r="N233" i="21"/>
  <c r="P233" i="21"/>
  <c r="S234" i="21"/>
  <c r="T234" i="21" s="1"/>
  <c r="J234" i="21" l="1" a="1"/>
  <c r="G234" i="21" a="1"/>
  <c r="K234" i="21" s="1"/>
  <c r="L234" i="21" s="1"/>
  <c r="V234" i="21"/>
  <c r="X234" i="21"/>
  <c r="W234" i="21"/>
  <c r="R235" i="21" a="1"/>
  <c r="Q235" i="21" a="1"/>
  <c r="O234" i="21" l="1"/>
  <c r="P234" i="21"/>
  <c r="N234" i="21"/>
  <c r="G235" i="21" l="1" a="1"/>
  <c r="J235" i="21" a="1"/>
  <c r="S235" i="21"/>
  <c r="T235" i="21" s="1"/>
  <c r="W235" i="21" s="1"/>
  <c r="K235" i="21" l="1"/>
  <c r="L235" i="21" s="1"/>
  <c r="X235" i="21"/>
  <c r="V235" i="21"/>
  <c r="Q236" i="21" a="1"/>
  <c r="R236" i="21" a="1"/>
  <c r="N235" i="21" l="1"/>
  <c r="P235" i="21"/>
  <c r="O235" i="21"/>
  <c r="G236" i="21" l="1" a="1"/>
  <c r="J236" i="21" a="1"/>
  <c r="S236" i="21"/>
  <c r="T236" i="21" s="1"/>
  <c r="K236" i="21" l="1"/>
  <c r="L236" i="21" s="1"/>
  <c r="W236" i="21"/>
  <c r="X236" i="21"/>
  <c r="V236" i="21"/>
  <c r="N236" i="21" l="1"/>
  <c r="P236" i="21"/>
  <c r="O236" i="21"/>
  <c r="B27" i="21"/>
  <c r="Q237" i="21" a="1"/>
  <c r="R237" i="21" a="1"/>
  <c r="B22" i="21" l="1"/>
  <c r="J237" i="21" a="1"/>
  <c r="G237" i="21" a="1"/>
  <c r="S237" i="21"/>
  <c r="T237" i="21" s="1"/>
  <c r="K237" i="21" l="1"/>
  <c r="L237" i="21" s="1"/>
  <c r="W237" i="21"/>
  <c r="V237" i="21"/>
  <c r="X237" i="21"/>
  <c r="P237" i="21" l="1"/>
  <c r="N237" i="21"/>
  <c r="O237" i="21"/>
  <c r="J238" i="21" a="1"/>
  <c r="G238" i="21" a="1"/>
  <c r="R238" i="21" a="1"/>
  <c r="Q238" i="21" a="1"/>
  <c r="S238" i="21" s="1"/>
  <c r="T238" i="21" s="1"/>
  <c r="K238" i="21" l="1"/>
  <c r="L238" i="21" s="1"/>
  <c r="N238" i="21" s="1"/>
  <c r="V238" i="21"/>
  <c r="X238" i="21"/>
  <c r="W238" i="21"/>
  <c r="O238" i="21" l="1"/>
  <c r="P238" i="21"/>
  <c r="G239" i="21" a="1"/>
  <c r="J239" i="21" a="1"/>
  <c r="R239" i="21" a="1"/>
  <c r="Q239" i="21" a="1"/>
  <c r="S239" i="21" s="1"/>
  <c r="T239" i="21" s="1"/>
  <c r="K239" i="21" l="1"/>
  <c r="L239" i="21" s="1"/>
  <c r="W239" i="21"/>
  <c r="V239" i="21"/>
  <c r="X239" i="21"/>
  <c r="O239" i="21" l="1"/>
  <c r="P239" i="21"/>
  <c r="N239" i="21"/>
  <c r="J240" i="21" a="1"/>
  <c r="G240" i="21" a="1"/>
  <c r="K240" i="21" s="1"/>
  <c r="L240" i="21" s="1"/>
  <c r="R240" i="21" a="1"/>
  <c r="Q240" i="21" a="1"/>
  <c r="S240" i="21" s="1"/>
  <c r="T240" i="21" s="1"/>
  <c r="N240" i="21" l="1"/>
  <c r="P240" i="21"/>
  <c r="O240" i="21"/>
  <c r="V240" i="21"/>
  <c r="X240" i="21"/>
  <c r="W240" i="21"/>
  <c r="Q241" i="21" a="1"/>
  <c r="R241" i="21" a="1"/>
  <c r="G241" i="21" l="1" a="1"/>
  <c r="J241" i="21" a="1"/>
  <c r="K241" i="21" l="1"/>
  <c r="L241" i="21" s="1"/>
  <c r="P241" i="21" s="1"/>
  <c r="S241" i="21"/>
  <c r="T241" i="21" s="1"/>
  <c r="O241" i="21" l="1"/>
  <c r="N241" i="21"/>
  <c r="W241" i="21"/>
  <c r="V241" i="21"/>
  <c r="X241" i="21"/>
  <c r="J242" i="21" l="1" a="1"/>
  <c r="G242" i="21" a="1"/>
  <c r="Q242" i="21" a="1"/>
  <c r="R242" i="21" a="1"/>
  <c r="K242" i="21" l="1"/>
  <c r="L242" i="21" s="1"/>
  <c r="S242" i="21"/>
  <c r="T242" i="21" s="1"/>
  <c r="X242" i="21" s="1"/>
  <c r="O242" i="21" l="1"/>
  <c r="N242" i="21"/>
  <c r="P242" i="21"/>
  <c r="G243" i="21" a="1"/>
  <c r="J243" i="21" a="1"/>
  <c r="V242" i="21"/>
  <c r="W242" i="21"/>
  <c r="Q243" i="21" a="1"/>
  <c r="R243" i="21" a="1"/>
  <c r="K243" i="21" l="1"/>
  <c r="L243" i="21" s="1"/>
  <c r="N243" i="21" s="1"/>
  <c r="S243" i="21"/>
  <c r="T243" i="21" s="1"/>
  <c r="P243" i="21"/>
  <c r="O243" i="21"/>
  <c r="J244" i="21" l="1" a="1"/>
  <c r="G244" i="21" a="1"/>
  <c r="W243" i="21"/>
  <c r="X243" i="21"/>
  <c r="V243" i="21"/>
  <c r="Q244" i="21" l="1" a="1"/>
  <c r="R244" i="21" a="1"/>
  <c r="K244" i="21"/>
  <c r="L244" i="21" s="1"/>
  <c r="O244" i="21" s="1"/>
  <c r="S244" i="21" l="1"/>
  <c r="T244" i="21" s="1"/>
  <c r="P244" i="21"/>
  <c r="N244" i="21"/>
  <c r="J245" i="21" a="1"/>
  <c r="G245" i="21" a="1"/>
  <c r="X244" i="21" l="1"/>
  <c r="W244" i="21"/>
  <c r="V244" i="21"/>
  <c r="Q245" i="21" l="1" a="1"/>
  <c r="R245" i="21" a="1"/>
  <c r="K245" i="21"/>
  <c r="L245" i="21" s="1"/>
  <c r="P245" i="21" s="1"/>
  <c r="S245" i="21" l="1"/>
  <c r="T245" i="21" s="1"/>
  <c r="O245" i="21"/>
  <c r="N245" i="21"/>
  <c r="V245" i="21" l="1"/>
  <c r="X245" i="21"/>
  <c r="W245" i="21"/>
  <c r="J246" i="21" a="1"/>
  <c r="G246" i="21" a="1"/>
  <c r="K246" i="21" s="1"/>
  <c r="L246" i="21" s="1"/>
  <c r="Q246" i="21" l="1" a="1"/>
  <c r="R246" i="21" a="1"/>
  <c r="P246" i="21"/>
  <c r="N246" i="21"/>
  <c r="O246" i="21"/>
  <c r="S246" i="21" l="1"/>
  <c r="T246" i="21" s="1"/>
  <c r="J247" i="21" a="1"/>
  <c r="G247" i="21" a="1"/>
  <c r="K247" i="21" s="1"/>
  <c r="L247" i="21" s="1"/>
  <c r="V246" i="21" l="1"/>
  <c r="X246" i="21"/>
  <c r="W246" i="21"/>
  <c r="O247" i="21"/>
  <c r="P247" i="21"/>
  <c r="N247" i="21"/>
  <c r="Q247" i="21" l="1" a="1"/>
  <c r="R247" i="21" a="1"/>
  <c r="J248" i="21" a="1"/>
  <c r="G248" i="21" a="1"/>
  <c r="K248" i="21" s="1"/>
  <c r="L248" i="21" s="1"/>
  <c r="S247" i="21" l="1"/>
  <c r="T247" i="21" s="1"/>
  <c r="O248" i="21"/>
  <c r="N248" i="21"/>
  <c r="P248" i="21"/>
  <c r="J249" i="21" a="1"/>
  <c r="G249" i="21" a="1"/>
  <c r="W247" i="21" l="1"/>
  <c r="X247" i="21"/>
  <c r="V247" i="21"/>
  <c r="R248" i="21" a="1"/>
  <c r="Q248" i="21" a="1"/>
  <c r="S248" i="21" s="1"/>
  <c r="T248" i="21" s="1"/>
  <c r="W248" i="21" l="1"/>
  <c r="X248" i="21"/>
  <c r="V248" i="21"/>
  <c r="K249" i="21"/>
  <c r="L249" i="21" s="1"/>
  <c r="R249" i="21" l="1" a="1"/>
  <c r="Q249" i="21" a="1"/>
  <c r="N249" i="21"/>
  <c r="P249" i="21"/>
  <c r="O249" i="21"/>
  <c r="G250" i="21" a="1"/>
  <c r="J250" i="21" a="1"/>
  <c r="S249" i="21" l="1"/>
  <c r="T249" i="21" s="1"/>
  <c r="X249" i="21" l="1"/>
  <c r="V249" i="21"/>
  <c r="W249" i="21"/>
  <c r="R250" i="21" a="1"/>
  <c r="Q250" i="21" a="1"/>
  <c r="S250" i="21" s="1"/>
  <c r="T250" i="21" s="1"/>
  <c r="K250" i="21"/>
  <c r="L250" i="21" s="1"/>
  <c r="W250" i="21" l="1"/>
  <c r="X250" i="21"/>
  <c r="V250" i="21"/>
  <c r="N250" i="21"/>
  <c r="P250" i="21"/>
  <c r="O250" i="21"/>
  <c r="J251" i="21" a="1"/>
  <c r="G251" i="21" a="1"/>
  <c r="R251" i="21" l="1" a="1"/>
  <c r="Q251" i="21" a="1"/>
  <c r="S251" i="21" l="1"/>
  <c r="T251" i="21" s="1"/>
  <c r="K251" i="21"/>
  <c r="L251" i="21" s="1"/>
  <c r="W251" i="21" l="1"/>
  <c r="V251" i="21"/>
  <c r="X251" i="21"/>
  <c r="R252" i="21" a="1"/>
  <c r="Q252" i="21" a="1"/>
  <c r="S252" i="21" s="1"/>
  <c r="T252" i="21" s="1"/>
  <c r="N251" i="21"/>
  <c r="P251" i="21"/>
  <c r="O251" i="21"/>
  <c r="J252" i="21" a="1"/>
  <c r="G252" i="21" a="1"/>
  <c r="V252" i="21" l="1"/>
  <c r="X252" i="21"/>
  <c r="W252" i="21"/>
  <c r="K252" i="21" l="1"/>
  <c r="L252" i="21" s="1"/>
  <c r="Q253" i="21" a="1"/>
  <c r="R253" i="21" a="1"/>
  <c r="O252" i="21" l="1"/>
  <c r="N252" i="21"/>
  <c r="P252" i="21"/>
  <c r="S253" i="21"/>
  <c r="T253" i="21" s="1"/>
  <c r="G253" i="21" l="1" a="1"/>
  <c r="J253" i="21" a="1"/>
  <c r="W253" i="21"/>
  <c r="X253" i="21"/>
  <c r="V253" i="21"/>
  <c r="K253" i="21" l="1"/>
  <c r="L253" i="21" s="1"/>
  <c r="O253" i="21" s="1"/>
  <c r="R254" i="21" a="1"/>
  <c r="Q254" i="21" a="1"/>
  <c r="N253" i="21"/>
  <c r="P253" i="21"/>
  <c r="J254" i="21" a="1"/>
  <c r="G254" i="21" a="1"/>
  <c r="S254" i="21" l="1"/>
  <c r="T254" i="21" s="1"/>
  <c r="W254" i="21" s="1"/>
  <c r="V254" i="21" l="1"/>
  <c r="X254" i="21"/>
  <c r="Q255" i="21" a="1"/>
  <c r="R255" i="21" a="1"/>
  <c r="K254" i="21"/>
  <c r="L254" i="21" s="1"/>
  <c r="S255" i="21" l="1"/>
  <c r="T255" i="21" s="1"/>
  <c r="N254" i="21"/>
  <c r="P254" i="21"/>
  <c r="O254" i="21"/>
  <c r="G255" i="21" a="1"/>
  <c r="J255" i="21" a="1"/>
  <c r="V255" i="21" l="1"/>
  <c r="X255" i="21"/>
  <c r="W255" i="21"/>
  <c r="Q256" i="21" a="1"/>
  <c r="R256" i="21" a="1"/>
  <c r="S256" i="21" l="1"/>
  <c r="T256" i="21" s="1"/>
  <c r="K255" i="21"/>
  <c r="L255" i="21" s="1"/>
  <c r="W256" i="21" l="1"/>
  <c r="X256" i="21"/>
  <c r="V256" i="21"/>
  <c r="N255" i="21"/>
  <c r="P255" i="21"/>
  <c r="O255" i="21"/>
  <c r="G256" i="21" a="1"/>
  <c r="J256" i="21" a="1"/>
  <c r="R257" i="21" l="1" a="1"/>
  <c r="Q257" i="21" a="1"/>
  <c r="K256" i="21" s="1"/>
  <c r="L256" i="21" s="1"/>
  <c r="S257" i="21" l="1"/>
  <c r="T257" i="21" s="1"/>
  <c r="O256" i="21"/>
  <c r="N256" i="21"/>
  <c r="P256" i="21"/>
  <c r="J257" i="21" a="1"/>
  <c r="G257" i="21" a="1"/>
  <c r="W257" i="21" l="1"/>
  <c r="X257" i="21"/>
  <c r="V257" i="21"/>
  <c r="Q258" i="21" a="1"/>
  <c r="R258" i="21" a="1"/>
  <c r="S258" i="21" l="1"/>
  <c r="T258" i="21" s="1"/>
  <c r="K257" i="21"/>
  <c r="L257" i="21" s="1"/>
  <c r="W258" i="21" l="1"/>
  <c r="V258" i="21"/>
  <c r="X258" i="21"/>
  <c r="N257" i="21"/>
  <c r="P257" i="21"/>
  <c r="O257" i="21"/>
  <c r="G258" i="21" a="1"/>
  <c r="J258" i="21" a="1"/>
  <c r="R259" i="21" l="1" a="1"/>
  <c r="Q259" i="21" a="1"/>
  <c r="S259" i="21" s="1"/>
  <c r="T259" i="21" s="1"/>
  <c r="W259" i="21" l="1"/>
  <c r="X259" i="21"/>
  <c r="V259" i="21"/>
  <c r="K258" i="21"/>
  <c r="L258" i="21" s="1"/>
  <c r="Q260" i="21" l="1" a="1"/>
  <c r="R260" i="21" a="1"/>
  <c r="O258" i="21"/>
  <c r="N258" i="21"/>
  <c r="P258" i="21"/>
  <c r="J259" i="21" a="1"/>
  <c r="G259" i="21" a="1"/>
  <c r="S260" i="21" l="1"/>
  <c r="T260" i="21" s="1"/>
  <c r="V260" i="21" l="1"/>
  <c r="X260" i="21"/>
  <c r="W260" i="21"/>
  <c r="K259" i="21"/>
  <c r="L259" i="21" s="1"/>
  <c r="P259" i="21" s="1"/>
  <c r="R261" i="21" l="1" a="1"/>
  <c r="Q261" i="21" a="1"/>
  <c r="O259" i="21"/>
  <c r="N259" i="21"/>
  <c r="S261" i="21" l="1"/>
  <c r="T261" i="21" s="1"/>
  <c r="V261" i="21" s="1"/>
  <c r="G260" i="21" a="1"/>
  <c r="J260" i="21" a="1"/>
  <c r="W261" i="21" l="1"/>
  <c r="X261" i="21"/>
  <c r="K260" i="21"/>
  <c r="L260" i="21" s="1"/>
  <c r="Q262" i="21" a="1"/>
  <c r="R262" i="21" a="1"/>
  <c r="O260" i="21" l="1"/>
  <c r="P260" i="21"/>
  <c r="N260" i="21"/>
  <c r="G261" i="21" a="1"/>
  <c r="J261" i="21" a="1"/>
  <c r="S262" i="21"/>
  <c r="T262" i="21" s="1"/>
  <c r="W262" i="21" l="1"/>
  <c r="V262" i="21"/>
  <c r="X262" i="21"/>
  <c r="K261" i="21"/>
  <c r="L261" i="21" s="1"/>
  <c r="R263" i="21" l="1" a="1"/>
  <c r="Q263" i="21" a="1"/>
  <c r="O261" i="21"/>
  <c r="N261" i="21"/>
  <c r="P261" i="21"/>
  <c r="S263" i="21" l="1"/>
  <c r="T263" i="21" s="1"/>
  <c r="J262" i="21" a="1"/>
  <c r="G262" i="21" a="1"/>
  <c r="X263" i="21" l="1"/>
  <c r="W263" i="21"/>
  <c r="V263" i="21"/>
  <c r="K262" i="21"/>
  <c r="L262" i="21" s="1"/>
  <c r="R264" i="21" a="1"/>
  <c r="Q264" i="21" a="1"/>
  <c r="S264" i="21" s="1"/>
  <c r="T264" i="21" s="1"/>
  <c r="W264" i="21" s="1"/>
  <c r="N262" i="21" l="1"/>
  <c r="O262" i="21"/>
  <c r="P262" i="21"/>
  <c r="J263" i="21" a="1"/>
  <c r="G263" i="21" a="1"/>
  <c r="K263" i="21" s="1"/>
  <c r="L263" i="21" s="1"/>
  <c r="X264" i="21"/>
  <c r="V264" i="21"/>
  <c r="Q265" i="21" a="1"/>
  <c r="R265" i="21" a="1"/>
  <c r="N263" i="21"/>
  <c r="P263" i="21"/>
  <c r="O263" i="21"/>
  <c r="G264" i="21" a="1"/>
  <c r="J264" i="21" a="1"/>
  <c r="S265" i="21" l="1"/>
  <c r="T265" i="21" s="1"/>
  <c r="W265" i="21" s="1"/>
  <c r="V265" i="21" l="1"/>
  <c r="X265" i="21"/>
  <c r="Q266" i="21" a="1"/>
  <c r="R266" i="21" a="1"/>
  <c r="K264" i="21"/>
  <c r="L264" i="21" s="1"/>
  <c r="O264" i="21" s="1"/>
  <c r="P264" i="21" l="1"/>
  <c r="N264" i="21"/>
  <c r="S266" i="21"/>
  <c r="T266" i="21" s="1"/>
  <c r="J265" i="21" a="1"/>
  <c r="G265" i="21" a="1"/>
  <c r="V266" i="21"/>
  <c r="X266" i="21"/>
  <c r="W266" i="21"/>
  <c r="Q267" i="21" a="1"/>
  <c r="R267" i="21" a="1"/>
  <c r="K265" i="21" l="1"/>
  <c r="L265" i="21" s="1"/>
  <c r="P265" i="21" l="1"/>
  <c r="O265" i="21"/>
  <c r="N265" i="21"/>
  <c r="S267" i="21"/>
  <c r="T267" i="21" s="1"/>
  <c r="J266" i="21" l="1" a="1"/>
  <c r="G266" i="21" a="1"/>
  <c r="V267" i="21"/>
  <c r="X267" i="21"/>
  <c r="W267" i="21"/>
  <c r="Q268" i="21" a="1"/>
  <c r="R268" i="21" a="1"/>
  <c r="K266" i="21" l="1"/>
  <c r="L266" i="21" s="1"/>
  <c r="S268" i="21" s="1"/>
  <c r="T268" i="21" s="1"/>
  <c r="W268" i="21" s="1"/>
  <c r="P266" i="21" l="1"/>
  <c r="N266" i="21"/>
  <c r="O266" i="21"/>
  <c r="J267" i="21" a="1"/>
  <c r="G267" i="21" a="1"/>
  <c r="K267" i="21" s="1"/>
  <c r="L267" i="21" s="1"/>
  <c r="V268" i="21"/>
  <c r="X268" i="21"/>
  <c r="R269" i="21" a="1"/>
  <c r="Q269" i="21" a="1"/>
  <c r="O267" i="21" l="1"/>
  <c r="P267" i="21"/>
  <c r="N267" i="21"/>
  <c r="J268" i="21" l="1" a="1"/>
  <c r="G268" i="21" a="1"/>
  <c r="K268" i="21" s="1"/>
  <c r="L268" i="21" s="1"/>
  <c r="S269" i="21"/>
  <c r="T269" i="21" s="1"/>
  <c r="P268" i="21" l="1"/>
  <c r="N268" i="21"/>
  <c r="O268" i="21"/>
  <c r="V269" i="21"/>
  <c r="X269" i="21"/>
  <c r="W269" i="21"/>
  <c r="R270" i="21" a="1"/>
  <c r="Q270" i="21" a="1"/>
  <c r="G269" i="21" l="1" a="1"/>
  <c r="J269" i="21" a="1"/>
  <c r="S270" i="21" s="1"/>
  <c r="T270" i="21" s="1"/>
  <c r="W270" i="21" s="1"/>
  <c r="K269" i="21" l="1"/>
  <c r="L269" i="21" s="1"/>
  <c r="V270" i="21"/>
  <c r="X270" i="21"/>
  <c r="Q271" i="21" a="1"/>
  <c r="R271" i="21" a="1"/>
  <c r="N269" i="21" l="1"/>
  <c r="O269" i="21"/>
  <c r="P269" i="21"/>
  <c r="S271" i="21" s="1"/>
  <c r="T271" i="21" s="1"/>
  <c r="G270" i="21" l="1" a="1"/>
  <c r="J270" i="21" a="1"/>
  <c r="V271" i="21"/>
  <c r="X271" i="21"/>
  <c r="W271" i="21"/>
  <c r="R272" i="21" a="1"/>
  <c r="Q272" i="21" a="1"/>
  <c r="K270" i="21" l="1"/>
  <c r="L270" i="21" s="1"/>
  <c r="S272" i="21" s="1"/>
  <c r="T272" i="21" s="1"/>
  <c r="W272" i="21" s="1"/>
  <c r="O270" i="21" l="1"/>
  <c r="N270" i="21"/>
  <c r="P270" i="21"/>
  <c r="V272" i="21"/>
  <c r="X272" i="21"/>
  <c r="R273" i="21" a="1"/>
  <c r="Q273" i="21" a="1"/>
  <c r="G271" i="21" l="1" a="1"/>
  <c r="J271" i="21" a="1"/>
  <c r="K271" i="21" l="1"/>
  <c r="L271" i="21" s="1"/>
  <c r="S273" i="21"/>
  <c r="T273" i="21" s="1"/>
  <c r="N271" i="21" l="1"/>
  <c r="P271" i="21"/>
  <c r="O271" i="21"/>
  <c r="V273" i="21"/>
  <c r="X273" i="21"/>
  <c r="W273" i="21"/>
  <c r="R274" i="21" a="1"/>
  <c r="Q274" i="21" a="1"/>
  <c r="G272" i="21" l="1" a="1"/>
  <c r="J272" i="21" a="1"/>
  <c r="K272" i="21" l="1"/>
  <c r="L272" i="21" s="1"/>
  <c r="S274" i="21"/>
  <c r="T274" i="21" s="1"/>
  <c r="N272" i="21" l="1"/>
  <c r="P272" i="21"/>
  <c r="O272" i="21"/>
  <c r="V274" i="21"/>
  <c r="X274" i="21"/>
  <c r="W274" i="21"/>
  <c r="R275" i="21" a="1"/>
  <c r="Q275" i="21" a="1"/>
  <c r="G273" i="21" l="1" a="1"/>
  <c r="J273" i="21" a="1"/>
  <c r="K273" i="21" l="1"/>
  <c r="L273" i="21" s="1"/>
  <c r="S275" i="21"/>
  <c r="T275" i="21" s="1"/>
  <c r="N273" i="21" l="1"/>
  <c r="P273" i="21"/>
  <c r="O273" i="21"/>
  <c r="V275" i="21"/>
  <c r="X275" i="21"/>
  <c r="W275" i="21"/>
  <c r="R276" i="21" a="1"/>
  <c r="Q276" i="21" a="1"/>
  <c r="G274" i="21" l="1" a="1"/>
  <c r="J274" i="21" a="1"/>
  <c r="K274" i="21" l="1"/>
  <c r="L274" i="21" s="1"/>
  <c r="S276" i="21"/>
  <c r="T276" i="21" s="1"/>
  <c r="N274" i="21" l="1"/>
  <c r="P274" i="21"/>
  <c r="O274" i="21"/>
  <c r="V276" i="21"/>
  <c r="X276" i="21"/>
  <c r="W276" i="21"/>
  <c r="Q277" i="21" a="1"/>
  <c r="R277" i="21" a="1"/>
  <c r="J275" i="21" l="1" a="1"/>
  <c r="G275" i="21" a="1"/>
  <c r="K275" i="21" s="1"/>
  <c r="L275" i="21" s="1"/>
  <c r="S277" i="21" s="1"/>
  <c r="T277" i="21" s="1"/>
  <c r="W277" i="21" s="1"/>
  <c r="P275" i="21" l="1"/>
  <c r="N275" i="21"/>
  <c r="O275" i="21"/>
  <c r="V277" i="21"/>
  <c r="X277" i="21"/>
  <c r="Q278" i="21" a="1"/>
  <c r="R278" i="21" a="1"/>
  <c r="G276" i="21" l="1" a="1"/>
  <c r="J276" i="21" a="1"/>
  <c r="K276" i="21" l="1"/>
  <c r="L276" i="21" s="1"/>
  <c r="S278" i="21"/>
  <c r="T278" i="21" s="1"/>
  <c r="N276" i="21" l="1"/>
  <c r="P276" i="21"/>
  <c r="O276" i="21"/>
  <c r="V278" i="21"/>
  <c r="X278" i="21"/>
  <c r="W278" i="21"/>
  <c r="R279" i="21" a="1"/>
  <c r="Q279" i="21" a="1"/>
  <c r="J277" i="21" l="1" a="1"/>
  <c r="G277" i="21" a="1"/>
  <c r="K277" i="21" s="1"/>
  <c r="L277" i="21" s="1"/>
  <c r="S279" i="21" l="1"/>
  <c r="T279" i="21" s="1"/>
  <c r="O277" i="21"/>
  <c r="P277" i="21"/>
  <c r="N277" i="21"/>
  <c r="W279" i="21" l="1"/>
  <c r="X279" i="21"/>
  <c r="V279" i="21"/>
  <c r="G278" i="21" a="1"/>
  <c r="J278" i="21" a="1"/>
  <c r="R280" i="21" l="1" a="1"/>
  <c r="Q280" i="21" a="1"/>
  <c r="K278" i="21"/>
  <c r="L278" i="21" s="1"/>
  <c r="N278" i="21" s="1"/>
  <c r="S280" i="21" l="1"/>
  <c r="T280" i="21" s="1"/>
  <c r="O278" i="21"/>
  <c r="P278" i="21"/>
  <c r="J279" i="21" a="1"/>
  <c r="G279" i="21" a="1"/>
  <c r="K279" i="21" s="1"/>
  <c r="L279" i="21" s="1"/>
  <c r="V280" i="21" l="1"/>
  <c r="W280" i="21"/>
  <c r="X280" i="21"/>
  <c r="Q281" i="21" a="1"/>
  <c r="R281" i="21" a="1"/>
  <c r="P279" i="21"/>
  <c r="N279" i="21"/>
  <c r="O279" i="21"/>
  <c r="S281" i="21" l="1"/>
  <c r="T281" i="21" s="1"/>
  <c r="W281" i="21" s="1"/>
  <c r="J280" i="21" a="1"/>
  <c r="G280" i="21" a="1"/>
  <c r="K280" i="21" s="1"/>
  <c r="L280" i="21" s="1"/>
  <c r="V281" i="21" l="1"/>
  <c r="X281" i="21"/>
  <c r="R282" i="21" a="1"/>
  <c r="Q282" i="21" a="1"/>
  <c r="O280" i="21"/>
  <c r="P280" i="21"/>
  <c r="N280" i="21"/>
  <c r="J281" i="21" l="1" a="1"/>
  <c r="G281" i="21" a="1"/>
  <c r="S282" i="21"/>
  <c r="T282" i="21" s="1"/>
  <c r="X282" i="21" s="1"/>
  <c r="W282" i="21" l="1"/>
  <c r="V282" i="21"/>
  <c r="K281" i="21"/>
  <c r="L281" i="21" s="1"/>
  <c r="Q283" i="21" l="1" a="1"/>
  <c r="R283" i="21" a="1"/>
  <c r="P281" i="21"/>
  <c r="N281" i="21"/>
  <c r="O281" i="21"/>
  <c r="G282" i="21" a="1"/>
  <c r="J282" i="21" a="1"/>
  <c r="S283" i="21" l="1"/>
  <c r="T283" i="21" s="1"/>
  <c r="K282" i="21"/>
  <c r="L282" i="21" s="1"/>
  <c r="V283" i="21" l="1"/>
  <c r="X283" i="21"/>
  <c r="W283" i="21"/>
  <c r="O282" i="21"/>
  <c r="P282" i="21"/>
  <c r="N282" i="21"/>
  <c r="G283" i="21" a="1"/>
  <c r="J283" i="21" a="1"/>
  <c r="Q284" i="21" l="1" a="1"/>
  <c r="R284" i="21" a="1"/>
  <c r="K283" i="21"/>
  <c r="L283" i="21" s="1"/>
  <c r="N283" i="21" s="1"/>
  <c r="S284" i="21" l="1"/>
  <c r="T284" i="21" s="1"/>
  <c r="O283" i="21"/>
  <c r="P283" i="21"/>
  <c r="G284" i="21" a="1"/>
  <c r="J284" i="21" a="1"/>
  <c r="V284" i="21" l="1"/>
  <c r="X284" i="21"/>
  <c r="W284" i="21"/>
  <c r="K284" i="21"/>
  <c r="L284" i="21" s="1"/>
  <c r="N284" i="21" s="1"/>
  <c r="R285" i="21" l="1" a="1"/>
  <c r="Q285" i="21" a="1"/>
  <c r="O284" i="21"/>
  <c r="P284" i="21"/>
  <c r="J285" i="21" a="1"/>
  <c r="G285" i="21" a="1"/>
  <c r="K285" i="21" s="1"/>
  <c r="L285" i="21" s="1"/>
  <c r="S285" i="21" l="1"/>
  <c r="T285" i="21" s="1"/>
  <c r="P285" i="21"/>
  <c r="N285" i="21"/>
  <c r="O285" i="21"/>
  <c r="V285" i="21" l="1"/>
  <c r="X285" i="21"/>
  <c r="W285" i="21"/>
  <c r="R286" i="21" a="1"/>
  <c r="Q286" i="21" a="1"/>
  <c r="S286" i="21" s="1"/>
  <c r="T286" i="21" s="1"/>
  <c r="W286" i="21" s="1"/>
  <c r="G286" i="21" a="1"/>
  <c r="J286" i="21" a="1"/>
  <c r="K286" i="21" l="1"/>
  <c r="L286" i="21" s="1"/>
  <c r="V286" i="21"/>
  <c r="X286" i="21"/>
  <c r="R287" i="21" a="1"/>
  <c r="Q287" i="21" a="1"/>
  <c r="O286" i="21" l="1"/>
  <c r="N286" i="21"/>
  <c r="P286" i="21"/>
  <c r="G287" i="21" a="1"/>
  <c r="J287" i="21" a="1"/>
  <c r="K287" i="21" l="1"/>
  <c r="L287" i="21" s="1"/>
  <c r="S287" i="21"/>
  <c r="T287" i="21" s="1"/>
  <c r="W287" i="21" s="1"/>
  <c r="V287" i="21" l="1"/>
  <c r="X287" i="21"/>
  <c r="N287" i="21"/>
  <c r="P287" i="21"/>
  <c r="O287" i="21"/>
  <c r="Q288" i="21" a="1"/>
  <c r="R288" i="21" a="1"/>
  <c r="G288" i="21" l="1" a="1"/>
  <c r="J288" i="21" a="1"/>
  <c r="S288" i="21"/>
  <c r="T288" i="21" s="1"/>
  <c r="W288" i="21" s="1"/>
  <c r="K288" i="21" l="1"/>
  <c r="L288" i="21" s="1"/>
  <c r="X288" i="21"/>
  <c r="V288" i="21"/>
  <c r="G80" i="21" s="1"/>
  <c r="O288" i="21"/>
  <c r="N288" i="21" l="1"/>
  <c r="G75" i="21" s="1"/>
  <c r="P28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Profile-app</author>
    <author>RICHARD BRAITHWAITE</author>
  </authors>
  <commentList>
    <comment ref="A10" authorId="0" shapeId="0" xr:uid="{1CB0DFD4-73D8-4693-B8C6-CC7BF4FA6AF4}">
      <text>
        <r>
          <rPr>
            <b/>
            <sz val="8"/>
            <color indexed="81"/>
            <rFont val="Tahoma"/>
            <family val="2"/>
          </rPr>
          <t>Braithwaite:</t>
        </r>
        <r>
          <rPr>
            <sz val="8"/>
            <color indexed="81"/>
            <rFont val="Tahoma"/>
            <family val="2"/>
          </rPr>
          <t xml:space="preserve">
Adjust to equate displacement to calculated weight in loaded condition</t>
        </r>
      </text>
    </comment>
    <comment ref="A43" authorId="1" shapeId="0" xr:uid="{DEF0BC1D-047D-4AFB-BA43-EFC7D1CDFD64}">
      <text>
        <r>
          <rPr>
            <b/>
            <sz val="9"/>
            <color indexed="81"/>
            <rFont val="Tahoma"/>
            <family val="2"/>
          </rPr>
          <t>RICHARD BRAITHWAITE:</t>
        </r>
        <r>
          <rPr>
            <sz val="9"/>
            <color indexed="81"/>
            <rFont val="Tahoma"/>
            <family val="2"/>
          </rPr>
          <t xml:space="preserve">
Trust
Thranites</t>
        </r>
      </text>
    </comment>
    <comment ref="A44" authorId="1" shapeId="0" xr:uid="{C90D5C36-CF71-4568-A368-39182AEF7FC5}">
      <text>
        <r>
          <rPr>
            <b/>
            <sz val="9"/>
            <color indexed="81"/>
            <rFont val="Tahoma"/>
            <family val="2"/>
          </rPr>
          <t>RICHARD BRAITHWAITE:</t>
        </r>
        <r>
          <rPr>
            <sz val="9"/>
            <color indexed="81"/>
            <rFont val="Tahoma"/>
            <family val="2"/>
          </rPr>
          <t xml:space="preserve">
Derived = uses Olympias trials data
Holtrop
Delft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RICHARD BRAITHWAITE</author>
  </authors>
  <commentList>
    <comment ref="H7" authorId="0" shapeId="0" xr:uid="{C55F9D8B-08F0-4E2A-9BCB-C72BBAACAD6F}">
      <text>
        <r>
          <rPr>
            <b/>
            <sz val="9"/>
            <color indexed="81"/>
            <rFont val="Tahoma"/>
            <family val="2"/>
          </rPr>
          <t>RICHARD BRAITHWAITE:</t>
        </r>
        <r>
          <rPr>
            <sz val="9"/>
            <color indexed="81"/>
            <rFont val="Tahoma"/>
            <family val="2"/>
          </rPr>
          <t xml:space="preserve">
scaled with hull surface area to reflect the same frame spacing as Olympias (required to fit oar spacing) and then multiplied by depth^1.333 to reflect reduced span and hence scantlings of frames</t>
        </r>
      </text>
    </comment>
    <comment ref="F84" authorId="0" shapeId="0" xr:uid="{9928C2B2-1B8F-4087-B631-2A4D40DFBF5C}">
      <text>
        <r>
          <rPr>
            <b/>
            <sz val="9"/>
            <color indexed="81"/>
            <rFont val="Tahoma"/>
            <family val="2"/>
          </rPr>
          <t>RICHARD BRAITHWAITE:</t>
        </r>
        <r>
          <rPr>
            <sz val="9"/>
            <color indexed="81"/>
            <rFont val="Tahoma"/>
            <family val="2"/>
          </rPr>
          <t xml:space="preserve">
The inclining report calculates a vcg of 1.575 , could this be from the hull datum rather than USK?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<sst xmlns="http://schemas.openxmlformats.org/spreadsheetml/2006/main" count="1059" uniqueCount="409">
  <si>
    <t>Load Draught</t>
  </si>
  <si>
    <t>Design Draught (scales hull)</t>
  </si>
  <si>
    <t>Design Hull Geometry Definition Table (following transformation)</t>
  </si>
  <si>
    <t>Offset Data at equally spaced waterlines</t>
  </si>
  <si>
    <t>BOJEAN</t>
  </si>
  <si>
    <t>Vertical Moment</t>
  </si>
  <si>
    <t>Horizontal Moment</t>
  </si>
  <si>
    <t>Section Girth</t>
  </si>
  <si>
    <t>Z=</t>
  </si>
  <si>
    <t>Hydrostatics to Load Waterline</t>
  </si>
  <si>
    <t>Beam at Waterline</t>
  </si>
  <si>
    <t>OFFSET TABLE FOR TRANSFORMED DESIGN (At equally spaced waterlines and sections)</t>
  </si>
  <si>
    <t>LINES FOR TRANSFORMED DESIGN</t>
  </si>
  <si>
    <t>Hullform</t>
  </si>
  <si>
    <t xml:space="preserve">Load Draught </t>
  </si>
  <si>
    <t>OFFSET TABLE FOR BASIS DESIGN (At equally spaced waterlines and sections)</t>
  </si>
  <si>
    <t>Hydrostatics to Basis Design Waterline</t>
  </si>
  <si>
    <t>SAC at DWL</t>
  </si>
  <si>
    <t>Whole Hull</t>
  </si>
  <si>
    <t>Forebody</t>
  </si>
  <si>
    <t>Afterbody</t>
  </si>
  <si>
    <t>SM(2)</t>
  </si>
  <si>
    <t>Cpf</t>
  </si>
  <si>
    <t>Cpa</t>
  </si>
  <si>
    <t>Centroid</t>
  </si>
  <si>
    <t>LCB movement factor</t>
  </si>
  <si>
    <t>New Hull</t>
  </si>
  <si>
    <t>Basis</t>
  </si>
  <si>
    <t>from AP</t>
  </si>
  <si>
    <t>from midships as a proportion of LWL/2</t>
  </si>
  <si>
    <t>Basis Hull Geometry (copy)</t>
  </si>
  <si>
    <t>Midship Section factor</t>
  </si>
  <si>
    <t>Cw</t>
  </si>
  <si>
    <t>Author: Richard Braithwaite</t>
  </si>
  <si>
    <t>PROJECT:</t>
  </si>
  <si>
    <t>Beam (Waterline)</t>
  </si>
  <si>
    <t>REVISION HISTORY</t>
  </si>
  <si>
    <t>Length(Waterline)</t>
  </si>
  <si>
    <t xml:space="preserve"> </t>
  </si>
  <si>
    <t>This function fits a series of cubic splines to the data with the gradients made continuous at the nodes. The function is set up so that the end slope conditions are relaxed.</t>
  </si>
  <si>
    <t>This function uses Lagrange quadratic interpolation to divide the range into groups of three. Slope is discontinuous at odd nodes enabling the user to nominate points of slope discontinuity (eg chines in boat sections).</t>
  </si>
  <si>
    <t>CUBIC(X,Y,X1)</t>
  </si>
  <si>
    <t>Interpolate(X,Y,X1)</t>
  </si>
  <si>
    <t>Number of Sections defined</t>
  </si>
  <si>
    <t>SECTION NUMBER:</t>
  </si>
  <si>
    <t>Data</t>
  </si>
  <si>
    <t>Number:</t>
  </si>
  <si>
    <t>Point</t>
  </si>
  <si>
    <t>X  =</t>
  </si>
  <si>
    <t>Z</t>
  </si>
  <si>
    <t>Y</t>
  </si>
  <si>
    <t>Hull Depth</t>
  </si>
  <si>
    <t>WL</t>
  </si>
  <si>
    <t>No</t>
  </si>
  <si>
    <t>Z Offset</t>
  </si>
  <si>
    <t>HMOM</t>
  </si>
  <si>
    <t>VMOM</t>
  </si>
  <si>
    <t>Station</t>
  </si>
  <si>
    <t>X coord</t>
  </si>
  <si>
    <t>Waterline Offset</t>
  </si>
  <si>
    <t>Bonjean</t>
  </si>
  <si>
    <t>m</t>
  </si>
  <si>
    <t>SM</t>
  </si>
  <si>
    <t>Displacement</t>
  </si>
  <si>
    <t>m3</t>
  </si>
  <si>
    <t>Vert. Mom. Area</t>
  </si>
  <si>
    <t>Long. Mom. Area</t>
  </si>
  <si>
    <t>Waterplane Area</t>
  </si>
  <si>
    <t>LCB</t>
  </si>
  <si>
    <t>VCB</t>
  </si>
  <si>
    <t>Water Density</t>
  </si>
  <si>
    <r>
      <t>J</t>
    </r>
    <r>
      <rPr>
        <vertAlign val="subscript"/>
        <sz val="10"/>
        <rFont val="Arial"/>
        <family val="2"/>
      </rPr>
      <t>T</t>
    </r>
  </si>
  <si>
    <r>
      <t>BM</t>
    </r>
    <r>
      <rPr>
        <vertAlign val="subscript"/>
        <sz val="10"/>
        <rFont val="Arial"/>
        <family val="2"/>
      </rPr>
      <t>T</t>
    </r>
  </si>
  <si>
    <t>CB</t>
  </si>
  <si>
    <t>CM</t>
  </si>
  <si>
    <t>m2</t>
  </si>
  <si>
    <t>Ship Name:</t>
  </si>
  <si>
    <t>Midship Section Area</t>
  </si>
  <si>
    <t>CP</t>
  </si>
  <si>
    <r>
      <t>BM</t>
    </r>
    <r>
      <rPr>
        <vertAlign val="subscript"/>
        <sz val="10"/>
        <rFont val="Arial"/>
        <family val="2"/>
      </rPr>
      <t>L</t>
    </r>
  </si>
  <si>
    <r>
      <t>J</t>
    </r>
    <r>
      <rPr>
        <vertAlign val="subscript"/>
        <sz val="10"/>
        <rFont val="Arial"/>
        <family val="2"/>
      </rPr>
      <t>L</t>
    </r>
  </si>
  <si>
    <t>LCF</t>
  </si>
  <si>
    <t>X (from LCF)</t>
  </si>
  <si>
    <t>Aft</t>
  </si>
  <si>
    <t>Forward</t>
  </si>
  <si>
    <t>Interval</t>
  </si>
  <si>
    <t>Hull Length between Perps.</t>
  </si>
  <si>
    <t>Girth</t>
  </si>
  <si>
    <t>WSA</t>
  </si>
  <si>
    <t>DISPLACEMENT (Moulded)</t>
  </si>
  <si>
    <t>Mean Skin Thickness</t>
  </si>
  <si>
    <t>INTRODUCTION</t>
  </si>
  <si>
    <t>INTERPOLATION FUNCTIONS USED:</t>
  </si>
  <si>
    <t>Offset data can be entered for up to 21 sections and is in the form. For each section the x coordinate should be enterd together with up to 27 pairs of Z and Y coordinates to define the section geometry. If there are any chines or slope discontinuities in the section shape it is important to ensure that these fall at odd nodes to ensure that the shape is correctly interpolated. Examination of the Body Plan sheet will confirm that the section gometry is being correctly modelled. The spreadsheet assumes that these offsets are for moulded dimensions and allows for a mean skin thickness to be entered to allow calculation of full displacement. If external offsets are used this skin thickness should be set to zero.</t>
  </si>
  <si>
    <t>tons/m3</t>
  </si>
  <si>
    <t>Bilge factor:</t>
  </si>
  <si>
    <t>Basis Hull Geometry Definition Table</t>
  </si>
  <si>
    <t>Beam</t>
  </si>
  <si>
    <t>After Body</t>
  </si>
  <si>
    <t>Cp</t>
  </si>
  <si>
    <t xml:space="preserve">Fore Body </t>
  </si>
  <si>
    <t>MIDSHIP</t>
  </si>
  <si>
    <t>centroid</t>
  </si>
  <si>
    <t>from midships</t>
  </si>
  <si>
    <t>CP change</t>
  </si>
  <si>
    <t>Depth</t>
  </si>
  <si>
    <t>Design Draught</t>
  </si>
  <si>
    <t>Increase Aft Cp by</t>
  </si>
  <si>
    <t>IncreaseFwd Cp by</t>
  </si>
  <si>
    <r>
      <t>KM</t>
    </r>
    <r>
      <rPr>
        <vertAlign val="subscript"/>
        <sz val="10"/>
        <rFont val="Arial"/>
        <family val="2"/>
      </rPr>
      <t>T</t>
    </r>
  </si>
  <si>
    <t>The Ship Axis system used by this spreadsheet is as shown below with the origin at the aft perpendicular:</t>
  </si>
  <si>
    <t>BASIS HULL INPUT DATA</t>
  </si>
  <si>
    <t>HULL TRANSFORMATIONS</t>
  </si>
  <si>
    <t>Transformations as follows:</t>
  </si>
  <si>
    <t>Beam: Linear Transformation based on Maximum Beam</t>
  </si>
  <si>
    <t>Length: Linear Transormation based on LBP</t>
  </si>
  <si>
    <t>Depth and Draught: scaled separately from the design waterline</t>
  </si>
  <si>
    <t>Version 1</t>
  </si>
  <si>
    <t>Spreadsheet allows the variation of a basis vessel hull form</t>
  </si>
  <si>
    <t>Forward and Aft Prismatic: Both are directly controlled separately by entering the required change (e.g to change the overall prismatic from 0.61 to 0.62 enter 0.01 as the increase for both fore and aft Cp.</t>
  </si>
  <si>
    <t>LCB: controlled by "swinging the Section Area curve". A factor is entered (try +/- 0.1 at first). A desired LCB can be ontained by goalseeking the LCB to the desired value by changing the LCB movement factor.</t>
  </si>
  <si>
    <t>Midship Section Area Coefficient: Enter a facor (try +/-10 to start). Again a desired coeficient can be obtained by using the goal seek command</t>
  </si>
  <si>
    <r>
      <t xml:space="preserve">The results of the tranasformations can be reviewed on the </t>
    </r>
    <r>
      <rPr>
        <b/>
        <sz val="10"/>
        <rFont val="Arial"/>
        <family val="2"/>
      </rPr>
      <t>Lines</t>
    </r>
    <r>
      <rPr>
        <sz val="10"/>
        <rFont val="Arial"/>
        <family val="2"/>
      </rPr>
      <t xml:space="preserve"> sheet.</t>
    </r>
  </si>
  <si>
    <r>
      <t xml:space="preserve">Offset data and Principal ship particulars should be entered in the </t>
    </r>
    <r>
      <rPr>
        <b/>
        <sz val="10"/>
        <rFont val="Arial"/>
        <family val="2"/>
      </rPr>
      <t>Basis Hull</t>
    </r>
    <r>
      <rPr>
        <sz val="10"/>
        <rFont val="Arial"/>
        <family val="2"/>
      </rPr>
      <t xml:space="preserve"> sheet.</t>
    </r>
  </si>
  <si>
    <t>Hydrostatics to Design Waterline</t>
  </si>
  <si>
    <t>Length (LWL) m</t>
  </si>
  <si>
    <t>Beam (BWL) m</t>
  </si>
  <si>
    <t>Depth m</t>
  </si>
  <si>
    <t xml:space="preserve">               %LWL fwd of midships</t>
  </si>
  <si>
    <t>Draught m</t>
  </si>
  <si>
    <t>DWL</t>
  </si>
  <si>
    <t>Load WL</t>
  </si>
  <si>
    <t>Hull</t>
  </si>
  <si>
    <t>CUBIC2(X,Y,X1)</t>
  </si>
  <si>
    <t>A modified version of CUBIC more suited to interpolation of lines plans.</t>
  </si>
  <si>
    <t>replaced cubic2 with cubic</t>
  </si>
  <si>
    <t>HULL</t>
  </si>
  <si>
    <t>Shell and supporting Structure</t>
  </si>
  <si>
    <t>Bulkheads</t>
  </si>
  <si>
    <t>Hull Decks</t>
  </si>
  <si>
    <t>Hull Platforms and Flats</t>
  </si>
  <si>
    <t>Superstucture</t>
  </si>
  <si>
    <t>Special structures</t>
  </si>
  <si>
    <t>Foundations</t>
  </si>
  <si>
    <t>PROPULSION</t>
  </si>
  <si>
    <t>ELECTRICAL</t>
  </si>
  <si>
    <t>AUXILLIARY SYSTEMS</t>
  </si>
  <si>
    <t>OUTFIT AND FURNISHINGS</t>
  </si>
  <si>
    <t xml:space="preserve">Masts </t>
  </si>
  <si>
    <t>ARMAMENT</t>
  </si>
  <si>
    <t>CONTROL&amp;COMMS</t>
  </si>
  <si>
    <t>VARIABLE LOAD</t>
  </si>
  <si>
    <t>Keel and Stem</t>
  </si>
  <si>
    <t>Weight</t>
  </si>
  <si>
    <t>VCG</t>
  </si>
  <si>
    <t>Hull Planking</t>
  </si>
  <si>
    <t>Hull Frames and Stringers</t>
  </si>
  <si>
    <t>Upper Forecastle</t>
  </si>
  <si>
    <t>foredeck</t>
  </si>
  <si>
    <t>Gangway and Aft Deck</t>
  </si>
  <si>
    <t>Ram Supporting Structure</t>
  </si>
  <si>
    <t>Thalmian Thole Carlings</t>
  </si>
  <si>
    <t>Zygian Thole Carlings</t>
  </si>
  <si>
    <t>Rudders &amp; Tillers</t>
  </si>
  <si>
    <t>Foremast Step</t>
  </si>
  <si>
    <t>Mainmast Step</t>
  </si>
  <si>
    <t>MainSail</t>
  </si>
  <si>
    <t>Foresail</t>
  </si>
  <si>
    <t>Rigging</t>
  </si>
  <si>
    <t>Triarch Seat</t>
  </si>
  <si>
    <t>Ram</t>
  </si>
  <si>
    <t>Trierarch</t>
  </si>
  <si>
    <t>Other</t>
  </si>
  <si>
    <t>Design</t>
  </si>
  <si>
    <t>Foremast</t>
  </si>
  <si>
    <t>Foremast yard</t>
  </si>
  <si>
    <t>Main Mast</t>
  </si>
  <si>
    <t>Mainmast Yard</t>
  </si>
  <si>
    <t>LIGHTSHIP</t>
  </si>
  <si>
    <t>FULL LOAD DISPLACEMENT</t>
  </si>
  <si>
    <t>moment</t>
  </si>
  <si>
    <t>WEIGHT GROUP</t>
  </si>
  <si>
    <t>Hypozomata</t>
  </si>
  <si>
    <t>Other variable load provisions etc</t>
  </si>
  <si>
    <t>Blocks and deadeyes</t>
  </si>
  <si>
    <t>Anchors</t>
  </si>
  <si>
    <t>Stern Platform</t>
  </si>
  <si>
    <t>Javelins and weapons</t>
  </si>
  <si>
    <t>moulded</t>
  </si>
  <si>
    <t>Extreme</t>
  </si>
  <si>
    <t>DISPLACEMENT (extreme)</t>
  </si>
  <si>
    <t>extreme</t>
  </si>
  <si>
    <t>Inclining Lightship</t>
  </si>
  <si>
    <t>Oarsmen Thranite</t>
  </si>
  <si>
    <t>Oarsmen Zygian</t>
  </si>
  <si>
    <t>Oarsmen Thalmian</t>
  </si>
  <si>
    <t>Beam (hull) m</t>
  </si>
  <si>
    <t>Outrigger and epotis and Threnus</t>
  </si>
  <si>
    <t xml:space="preserve">Pillars </t>
  </si>
  <si>
    <t>Oars (Thranite)</t>
  </si>
  <si>
    <t>Oars (Zygian)</t>
  </si>
  <si>
    <t>Oars (Thalmian)</t>
  </si>
  <si>
    <t>Thranite Rowers</t>
  </si>
  <si>
    <t>Zygian Rowers</t>
  </si>
  <si>
    <t>Thalmian Rowers</t>
  </si>
  <si>
    <t>Complement</t>
  </si>
  <si>
    <t>D</t>
  </si>
  <si>
    <t>Helmsman</t>
  </si>
  <si>
    <t>LWL</t>
  </si>
  <si>
    <t>BWL</t>
  </si>
  <si>
    <t>Outrigger fitted?</t>
  </si>
  <si>
    <t>(assuming that inclining exp referes to "Hull datum" which is 200 mm above USK)</t>
  </si>
  <si>
    <t>Olympias (outside of planking assumes ram structure included in hydros)</t>
  </si>
  <si>
    <t>Quarterdeck at Canopy level</t>
  </si>
  <si>
    <t>GM</t>
  </si>
  <si>
    <t>Upper Forcastle Deck fitted?</t>
  </si>
  <si>
    <t>Stern Platform fitted?</t>
  </si>
  <si>
    <t>Canopy fitted over rowers?</t>
  </si>
  <si>
    <t>Quarterdeck fitted at canopy level?</t>
  </si>
  <si>
    <t>Foremast fitted?</t>
  </si>
  <si>
    <t>Zygian thole height</t>
  </si>
  <si>
    <t>Thalmian thole height</t>
  </si>
  <si>
    <t>Thranite thole height</t>
  </si>
  <si>
    <t>Thole pins (Thranite)</t>
  </si>
  <si>
    <t>Thole pins (Zygian)</t>
  </si>
  <si>
    <t>Thole pins (Thalmian)</t>
  </si>
  <si>
    <t>RESULTS</t>
  </si>
  <si>
    <t>Displacement at load draught</t>
  </si>
  <si>
    <t>tonnes</t>
  </si>
  <si>
    <t>Weight at load draught</t>
  </si>
  <si>
    <t>Difference (weight-displacement)</t>
  </si>
  <si>
    <t>INPUTS</t>
  </si>
  <si>
    <t>Basis Ship (Olympias)</t>
  </si>
  <si>
    <t>Freeboard to lowest thole pin</t>
  </si>
  <si>
    <t>Total Surface Area of hull over LWL.</t>
  </si>
  <si>
    <t>HullSA</t>
  </si>
  <si>
    <t>Fresh Water</t>
  </si>
  <si>
    <t>Crew Effects</t>
  </si>
  <si>
    <t>Endurance</t>
  </si>
  <si>
    <t>Length Over All</t>
  </si>
  <si>
    <t>Hull Length Overall</t>
  </si>
  <si>
    <t>L/D</t>
  </si>
  <si>
    <t>N</t>
  </si>
  <si>
    <t>Set VCG's for incline condition</t>
  </si>
  <si>
    <t>days (Basis ship weight calculated on 2 days)</t>
  </si>
  <si>
    <t>y</t>
  </si>
  <si>
    <t>Misc Outfit</t>
  </si>
  <si>
    <t>GMT</t>
  </si>
  <si>
    <t>Olympias</t>
  </si>
  <si>
    <t>INPUT SETS</t>
  </si>
  <si>
    <t>Liburnian</t>
  </si>
  <si>
    <t>PentM</t>
  </si>
  <si>
    <t>PentB</t>
  </si>
  <si>
    <t>kts</t>
  </si>
  <si>
    <t>Ship Data</t>
  </si>
  <si>
    <t>Length</t>
  </si>
  <si>
    <t>Draught</t>
  </si>
  <si>
    <t>displacement (m3)</t>
  </si>
  <si>
    <t>Wetted Surface Area (m2)</t>
  </si>
  <si>
    <t>LCB from midships as percentage of LWL</t>
  </si>
  <si>
    <t>CW</t>
  </si>
  <si>
    <t>Area of bulb</t>
  </si>
  <si>
    <t>Height of Bulb</t>
  </si>
  <si>
    <t>speed (kts)</t>
  </si>
  <si>
    <t>Rudders up</t>
  </si>
  <si>
    <t>Rudders Dn</t>
  </si>
  <si>
    <t>Thranites</t>
  </si>
  <si>
    <t>Net Thrust</t>
  </si>
  <si>
    <t>Top Speeds</t>
  </si>
  <si>
    <t>Olympias Rudders up</t>
  </si>
  <si>
    <t>Olympias Rudders down</t>
  </si>
  <si>
    <t>Thrust (N)</t>
  </si>
  <si>
    <t>Power</t>
  </si>
  <si>
    <t>Time (seconds)</t>
  </si>
  <si>
    <t>Thrust</t>
  </si>
  <si>
    <t>Displacement (tonnes)</t>
  </si>
  <si>
    <t>Resistance</t>
  </si>
  <si>
    <t>Acceleration</t>
  </si>
  <si>
    <t>Speed</t>
  </si>
  <si>
    <t>Position</t>
  </si>
  <si>
    <t>DESIGN AT LOAD DRAUGHT</t>
  </si>
  <si>
    <t>Calculation of Design Resistance</t>
  </si>
  <si>
    <t>FN</t>
  </si>
  <si>
    <t>Holtrop</t>
  </si>
  <si>
    <t>RT</t>
  </si>
  <si>
    <t>KE</t>
  </si>
  <si>
    <t>APPARENT MASS + 10% Ref 1 P74</t>
  </si>
  <si>
    <t>m/s2</t>
  </si>
  <si>
    <t>m/s</t>
  </si>
  <si>
    <t>(kts)</t>
  </si>
  <si>
    <t>Energy to cause failure in Olympias structure</t>
  </si>
  <si>
    <t>J</t>
  </si>
  <si>
    <t>kJ</t>
  </si>
  <si>
    <t>Min relative speed to Ram</t>
  </si>
  <si>
    <t>Design Rudders up</t>
  </si>
  <si>
    <t>Ref 2 page 220</t>
  </si>
  <si>
    <t>References
1. J.F.Coates,S.K.Platis,J.T.Shaw The Trireme Trust Trials 1988, Oxbow Books,1990
2. B Rankov, Trireme Olympias, the Final Report, Oxbow Books 1998</t>
  </si>
  <si>
    <t>cf ref 1 p82</t>
  </si>
  <si>
    <t>POWERING CALCULATIONS</t>
  </si>
  <si>
    <t>Drag</t>
  </si>
  <si>
    <t>time</t>
  </si>
  <si>
    <t>X</t>
  </si>
  <si>
    <t>Vz</t>
  </si>
  <si>
    <t>Speed (Global Coords)</t>
  </si>
  <si>
    <t>Scenario</t>
  </si>
  <si>
    <t>Speed m/s (Ship coods)</t>
  </si>
  <si>
    <t>Oars</t>
  </si>
  <si>
    <t>Forces (ship coords)</t>
  </si>
  <si>
    <t>Timestep</t>
  </si>
  <si>
    <t>X0 (m)</t>
  </si>
  <si>
    <t>Y0(m)</t>
  </si>
  <si>
    <t>Z0 (radians)</t>
  </si>
  <si>
    <t>U</t>
  </si>
  <si>
    <t>V</t>
  </si>
  <si>
    <t>VX0</t>
  </si>
  <si>
    <t>VY0</t>
  </si>
  <si>
    <t>VZ0</t>
  </si>
  <si>
    <t>CG Position (global coords)</t>
  </si>
  <si>
    <t>Accelerations (boat axes)</t>
  </si>
  <si>
    <t>Rudder (boat axes)</t>
  </si>
  <si>
    <t>DESIGN</t>
  </si>
  <si>
    <t>CircM</t>
  </si>
  <si>
    <t>LWL / Depth Ratio</t>
  </si>
  <si>
    <t>(Note Olympias L/D= 13.5)</t>
  </si>
  <si>
    <t>Liburnian Scaling</t>
  </si>
  <si>
    <t>Trust 1988</t>
  </si>
  <si>
    <t>Crew Used</t>
  </si>
  <si>
    <t>Crew</t>
  </si>
  <si>
    <t>Number of rudders</t>
  </si>
  <si>
    <t>scale fac</t>
  </si>
  <si>
    <t>draw</t>
  </si>
  <si>
    <t>FS</t>
  </si>
  <si>
    <t>Length (m)</t>
  </si>
  <si>
    <t>Beam (m)</t>
  </si>
  <si>
    <t>Draught (m)</t>
  </si>
  <si>
    <t>Displacement (kg)</t>
  </si>
  <si>
    <t>massMomentofInertia (kgm3)</t>
  </si>
  <si>
    <t>Block Coefficient</t>
  </si>
  <si>
    <t>Rowers (number of)</t>
  </si>
  <si>
    <t>Oar Blade Lever (m)</t>
  </si>
  <si>
    <t>Rudder Area (m2)</t>
  </si>
  <si>
    <t>Rudder Length (m)</t>
  </si>
  <si>
    <t>Rudder Chord (m)</t>
  </si>
  <si>
    <t>Rudder forward from CG (m)</t>
  </si>
  <si>
    <t>Rudder angle (radians)</t>
  </si>
  <si>
    <t>Rudders Down (Y/N)</t>
  </si>
  <si>
    <t>Particulars</t>
  </si>
  <si>
    <t>Rudder latteral position (m)</t>
  </si>
  <si>
    <t>Thranite</t>
  </si>
  <si>
    <t>Ladders</t>
  </si>
  <si>
    <t>Canopy over rowers (inc pinrails)</t>
  </si>
  <si>
    <t>Forecastle bulwark</t>
  </si>
  <si>
    <t>Comment</t>
  </si>
  <si>
    <t>Rowers seats &amp; Stretcher Thranite</t>
  </si>
  <si>
    <t>Rowers seats &amp; Stretcher Zygian</t>
  </si>
  <si>
    <t>Rowers seats &amp; Stretcher Thalmian</t>
  </si>
  <si>
    <t>Rowers footrest Thranite</t>
  </si>
  <si>
    <t>Rowers Footrest Zygian</t>
  </si>
  <si>
    <t>Rowers  Footrest Thalmian</t>
  </si>
  <si>
    <t>spare Oars</t>
  </si>
  <si>
    <t>model weighed</t>
  </si>
  <si>
    <t>calculated from drawing</t>
  </si>
  <si>
    <t>Deck Beams knees and braces</t>
  </si>
  <si>
    <t>Adjustment to match inclined wt</t>
  </si>
  <si>
    <t>Helm &amp; other crew</t>
  </si>
  <si>
    <t>ref Coates</t>
  </si>
  <si>
    <t>Guess</t>
  </si>
  <si>
    <t>calculated from rigging list</t>
  </si>
  <si>
    <t>guess</t>
  </si>
  <si>
    <t>assumed 10kg/person</t>
  </si>
  <si>
    <t>75kg per person</t>
  </si>
  <si>
    <t>7 litres/person/day</t>
  </si>
  <si>
    <t>Port Pressure (-1 to 1)</t>
  </si>
  <si>
    <t>Starboard Pressure (-1 to 1)</t>
  </si>
  <si>
    <t>second</t>
  </si>
  <si>
    <t>Version V :OarForces Function introduced</t>
  </si>
  <si>
    <t>calculated</t>
  </si>
  <si>
    <t>???</t>
  </si>
  <si>
    <t>Starting position</t>
  </si>
  <si>
    <t>Rotattion (Z)</t>
  </si>
  <si>
    <t>Starting Speed (boat coords)</t>
  </si>
  <si>
    <t>U (m/s)</t>
  </si>
  <si>
    <t>Time</t>
  </si>
  <si>
    <t>Global positions</t>
  </si>
  <si>
    <t>LCB from AP</t>
  </si>
  <si>
    <t>LCF from AP</t>
  </si>
  <si>
    <t>LCB from forward Perp</t>
  </si>
  <si>
    <t>LCF from Forward Perp</t>
  </si>
  <si>
    <t>Derived</t>
  </si>
  <si>
    <t>Knots</t>
  </si>
  <si>
    <t>Rn</t>
  </si>
  <si>
    <t>OLYMPIAS</t>
  </si>
  <si>
    <t>Trials (bare hull)</t>
  </si>
  <si>
    <t>Cf</t>
  </si>
  <si>
    <t>ITTC 1957</t>
  </si>
  <si>
    <t>Wave</t>
  </si>
  <si>
    <t>Cr</t>
  </si>
  <si>
    <t>RESISTANCE (N)</t>
  </si>
  <si>
    <t>Resistance Method</t>
  </si>
  <si>
    <t>Delft</t>
  </si>
  <si>
    <t>TOTAL</t>
  </si>
  <si>
    <t>Frictional</t>
  </si>
  <si>
    <t>Pentaconter Bi</t>
  </si>
  <si>
    <t>V (m/s)</t>
  </si>
  <si>
    <t>Max Oar Thrust (single oar zero speed) (N)</t>
  </si>
  <si>
    <t>r</t>
  </si>
  <si>
    <t>CHECK RUDDER CODE (FORCES IN BOAT AXES ACCOUNTING FOR LOCAL SPEED)</t>
  </si>
  <si>
    <t>MODIFY OAR CODE CN now set to 0.8…</t>
  </si>
  <si>
    <t>SPEED SIM SETUP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</si>
</sst>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
    <numFmt numFmtId="165" formatCode="0.000"/>
    <numFmt numFmtId="166" formatCode="0.0000"/>
    <numFmt numFmtId="167" formatCode="0.000000"/>
    <numFmt numFmtId="168" formatCode="0.0"/>
  </numFmts>
  <fonts count="18" x14ac:knownFonts="1">
    <font>
      <sz val="10"/>
      <name val="Arial"/>
    </font>
    <font>
      <sz val="10"/>
      <name val="Arial"/>
      <family val="2"/>
    </font>
    <font>
      <sz val="10"/>
      <color indexed="10"/>
      <name val="Arial"/>
      <family val="2"/>
    </font>
    <font>
      <sz val="10"/>
      <name val="Arial"/>
      <family val="2"/>
    </font>
    <font>
      <b/>
      <u/>
      <sz val="10"/>
      <name val="Arial"/>
      <family val="2"/>
    </font>
    <font>
      <b/>
      <sz val="10"/>
      <name val="Arial"/>
      <family val="2"/>
    </font>
    <font>
      <b/>
      <u/>
      <sz val="12"/>
      <name val="Arial"/>
      <family val="2"/>
    </font>
    <font>
      <vertAlign val="subscript"/>
      <sz val="10"/>
      <name val="Arial"/>
      <family val="2"/>
    </font>
    <font>
      <sz val="8"/>
      <color indexed="81"/>
      <name val="Tahoma"/>
      <family val="2"/>
    </font>
    <font>
      <b/>
      <sz val="8"/>
      <color indexed="81"/>
      <name val="Tahoma"/>
      <family val="2"/>
    </font>
    <font>
      <b/>
      <u/>
      <sz val="16"/>
      <name val="Arial"/>
      <family val="2"/>
    </font>
    <font>
      <b/>
      <sz val="12"/>
      <color indexed="10"/>
      <name val="Arial"/>
      <family val="2"/>
    </font>
    <font>
      <sz val="10"/>
      <color rgb="FFFF0000"/>
      <name val="Arial"/>
      <family val="2"/>
    </font>
    <font>
      <sz val="9"/>
      <color indexed="81"/>
      <name val="Tahoma"/>
      <family val="2"/>
    </font>
    <font>
      <b/>
      <sz val="9"/>
      <color indexed="81"/>
      <name val="Tahoma"/>
      <family val="2"/>
    </font>
    <font>
      <sz val="8"/>
      <name val="Arial"/>
      <family val="2"/>
    </font>
    <font>
      <sz val="10"/>
      <color rgb="FF000000"/>
      <name val="Arial"/>
      <family val="2"/>
    </font>
    <font>
      <sz val="10"/>
      <color rgb="FF00B050"/>
      <name val="Arial"/>
      <family val="2"/>
    </font>
  </fonts>
  <fills count="6">
    <fill>
      <patternFill patternType="none"/>
    </fill>
    <fill>
      <patternFill patternType="gray125"/>
    </fill>
    <fill>
      <patternFill patternType="solid">
        <fgColor rgb="FF00B0F0"/>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00B050"/>
        <bgColor indexed="64"/>
      </patternFill>
    </fill>
  </fills>
  <borders count="7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style="thick">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s>
  <cellStyleXfs count="1">
    <xf numFmtId="0" fontId="0" fillId="0" borderId="0"/>
  </cellStyleXfs>
  <cellXfs count="318">
    <xf numFmtId="0" fontId="0" fillId="0" borderId="0" xfId="0"/>
    <xf numFmtId="0" fontId="3" fillId="0" borderId="0" xfId="0" applyFont="1"/>
    <xf numFmtId="0" fontId="0" fillId="0" borderId="0" xfId="0" applyAlignment="1">
      <alignment wrapText="1"/>
    </xf>
    <xf numFmtId="0" fontId="4" fillId="0" borderId="0" xfId="0" applyFont="1" applyAlignment="1">
      <alignment wrapText="1"/>
    </xf>
    <xf numFmtId="2" fontId="0" fillId="0" borderId="0" xfId="0" applyNumberFormat="1"/>
    <xf numFmtId="2" fontId="6" fillId="0" borderId="0" xfId="0" applyNumberFormat="1" applyFont="1"/>
    <xf numFmtId="2" fontId="0" fillId="0" borderId="1" xfId="0" applyNumberFormat="1" applyBorder="1"/>
    <xf numFmtId="2" fontId="0" fillId="0" borderId="2" xfId="0" applyNumberFormat="1" applyBorder="1"/>
    <xf numFmtId="2" fontId="0" fillId="0" borderId="3" xfId="0" applyNumberFormat="1" applyBorder="1"/>
    <xf numFmtId="2" fontId="0" fillId="0" borderId="4" xfId="0" applyNumberFormat="1" applyBorder="1"/>
    <xf numFmtId="2" fontId="0" fillId="0" borderId="5" xfId="0" applyNumberFormat="1" applyBorder="1"/>
    <xf numFmtId="2" fontId="0" fillId="0" borderId="6" xfId="0" applyNumberFormat="1" applyBorder="1"/>
    <xf numFmtId="2" fontId="0" fillId="0" borderId="7" xfId="0" applyNumberFormat="1" applyBorder="1"/>
    <xf numFmtId="2" fontId="0" fillId="0" borderId="8" xfId="0" applyNumberFormat="1" applyBorder="1"/>
    <xf numFmtId="2" fontId="0" fillId="0" borderId="2" xfId="0" applyNumberFormat="1" applyBorder="1" applyAlignment="1">
      <alignment horizontal="center"/>
    </xf>
    <xf numFmtId="2" fontId="0" fillId="0" borderId="9" xfId="0" applyNumberFormat="1" applyBorder="1"/>
    <xf numFmtId="2" fontId="0" fillId="0" borderId="10" xfId="0" applyNumberFormat="1" applyBorder="1" applyAlignment="1">
      <alignment horizontal="center"/>
    </xf>
    <xf numFmtId="2" fontId="0" fillId="0" borderId="11" xfId="0" applyNumberFormat="1" applyBorder="1" applyAlignment="1">
      <alignment horizontal="center"/>
    </xf>
    <xf numFmtId="2" fontId="0" fillId="0" borderId="12" xfId="0" applyNumberFormat="1" applyBorder="1" applyAlignment="1">
      <alignment horizontal="center"/>
    </xf>
    <xf numFmtId="166" fontId="0" fillId="0" borderId="0" xfId="0" applyNumberFormat="1"/>
    <xf numFmtId="0" fontId="6" fillId="0" borderId="0" xfId="0" applyFont="1"/>
    <xf numFmtId="165" fontId="0" fillId="0" borderId="0" xfId="0" applyNumberFormat="1"/>
    <xf numFmtId="2" fontId="2" fillId="0" borderId="0" xfId="0" applyNumberFormat="1" applyFont="1" applyProtection="1">
      <protection locked="0"/>
    </xf>
    <xf numFmtId="166" fontId="2" fillId="0" borderId="0" xfId="0" applyNumberFormat="1" applyFont="1" applyProtection="1">
      <protection locked="0"/>
    </xf>
    <xf numFmtId="2" fontId="2" fillId="0" borderId="13" xfId="0" applyNumberFormat="1" applyFont="1" applyBorder="1" applyProtection="1">
      <protection locked="0"/>
    </xf>
    <xf numFmtId="2" fontId="2" fillId="0" borderId="14" xfId="0" applyNumberFormat="1" applyFont="1" applyBorder="1" applyProtection="1">
      <protection locked="0"/>
    </xf>
    <xf numFmtId="2" fontId="2" fillId="0" borderId="15" xfId="0" applyNumberFormat="1" applyFont="1" applyBorder="1" applyProtection="1">
      <protection locked="0"/>
    </xf>
    <xf numFmtId="2" fontId="2" fillId="0" borderId="16" xfId="0" applyNumberFormat="1" applyFont="1" applyBorder="1" applyProtection="1">
      <protection locked="0"/>
    </xf>
    <xf numFmtId="2" fontId="2" fillId="0" borderId="17" xfId="0" applyNumberFormat="1" applyFont="1" applyBorder="1" applyProtection="1">
      <protection locked="0"/>
    </xf>
    <xf numFmtId="2" fontId="2" fillId="0" borderId="18" xfId="0" applyNumberFormat="1" applyFont="1" applyBorder="1" applyProtection="1">
      <protection locked="0"/>
    </xf>
    <xf numFmtId="2" fontId="2" fillId="0" borderId="3" xfId="0" applyNumberFormat="1" applyFont="1" applyBorder="1" applyAlignment="1" applyProtection="1">
      <alignment horizontal="center"/>
      <protection locked="0"/>
    </xf>
    <xf numFmtId="165" fontId="2" fillId="0" borderId="0" xfId="0" applyNumberFormat="1" applyFont="1"/>
    <xf numFmtId="2" fontId="2" fillId="0" borderId="0" xfId="0" applyNumberFormat="1" applyFont="1"/>
    <xf numFmtId="0" fontId="5" fillId="0" borderId="0" xfId="0" applyFont="1" applyAlignment="1">
      <alignment wrapText="1"/>
    </xf>
    <xf numFmtId="0" fontId="3" fillId="0" borderId="0" xfId="0" applyFont="1" applyAlignment="1">
      <alignment wrapText="1"/>
    </xf>
    <xf numFmtId="2" fontId="1" fillId="0" borderId="1" xfId="0" applyNumberFormat="1" applyFont="1" applyBorder="1"/>
    <xf numFmtId="2" fontId="1" fillId="0" borderId="2" xfId="0" applyNumberFormat="1" applyFont="1" applyBorder="1"/>
    <xf numFmtId="2" fontId="1" fillId="0" borderId="3" xfId="0" applyNumberFormat="1" applyFont="1" applyBorder="1"/>
    <xf numFmtId="2" fontId="1" fillId="0" borderId="0" xfId="0" applyNumberFormat="1" applyFont="1"/>
    <xf numFmtId="2" fontId="1" fillId="0" borderId="5" xfId="0" applyNumberFormat="1" applyFont="1" applyBorder="1"/>
    <xf numFmtId="2" fontId="1" fillId="0" borderId="6" xfId="0" applyNumberFormat="1" applyFont="1" applyBorder="1"/>
    <xf numFmtId="2" fontId="1" fillId="0" borderId="2" xfId="0" applyNumberFormat="1" applyFont="1" applyBorder="1" applyAlignment="1">
      <alignment horizontal="center"/>
    </xf>
    <xf numFmtId="2" fontId="1" fillId="0" borderId="3" xfId="0" applyNumberFormat="1" applyFont="1" applyBorder="1" applyAlignment="1" applyProtection="1">
      <alignment horizontal="center"/>
      <protection locked="0"/>
    </xf>
    <xf numFmtId="2" fontId="1" fillId="0" borderId="9" xfId="0" applyNumberFormat="1" applyFont="1" applyBorder="1"/>
    <xf numFmtId="2" fontId="1" fillId="0" borderId="10" xfId="0" applyNumberFormat="1" applyFont="1" applyBorder="1" applyAlignment="1">
      <alignment horizontal="center"/>
    </xf>
    <xf numFmtId="2" fontId="1" fillId="0" borderId="11" xfId="0" applyNumberFormat="1" applyFont="1" applyBorder="1" applyAlignment="1">
      <alignment horizontal="center"/>
    </xf>
    <xf numFmtId="2" fontId="1" fillId="0" borderId="12" xfId="0" applyNumberFormat="1" applyFont="1" applyBorder="1" applyAlignment="1">
      <alignment horizontal="center"/>
    </xf>
    <xf numFmtId="2" fontId="1" fillId="0" borderId="13" xfId="0" applyNumberFormat="1" applyFont="1" applyBorder="1" applyProtection="1">
      <protection locked="0"/>
    </xf>
    <xf numFmtId="2" fontId="1" fillId="0" borderId="14" xfId="0" applyNumberFormat="1" applyFont="1" applyBorder="1" applyProtection="1">
      <protection locked="0"/>
    </xf>
    <xf numFmtId="2" fontId="1" fillId="0" borderId="0" xfId="0" applyNumberFormat="1" applyFont="1" applyProtection="1">
      <protection locked="0"/>
    </xf>
    <xf numFmtId="2" fontId="1" fillId="0" borderId="16" xfId="0" applyNumberFormat="1" applyFont="1" applyBorder="1" applyProtection="1">
      <protection locked="0"/>
    </xf>
    <xf numFmtId="2" fontId="1" fillId="0" borderId="17" xfId="0" applyNumberFormat="1" applyFont="1" applyBorder="1" applyProtection="1">
      <protection locked="0"/>
    </xf>
    <xf numFmtId="167" fontId="0" fillId="0" borderId="0" xfId="0" applyNumberFormat="1"/>
    <xf numFmtId="164" fontId="1" fillId="0" borderId="3" xfId="0" applyNumberFormat="1" applyFont="1" applyBorder="1"/>
    <xf numFmtId="166" fontId="1" fillId="0" borderId="3" xfId="0" applyNumberFormat="1" applyFont="1" applyBorder="1"/>
    <xf numFmtId="166" fontId="1" fillId="0" borderId="3" xfId="0" applyNumberFormat="1" applyFont="1" applyBorder="1" applyAlignment="1" applyProtection="1">
      <alignment horizontal="center"/>
      <protection locked="0"/>
    </xf>
    <xf numFmtId="2" fontId="0" fillId="0" borderId="19" xfId="0" applyNumberFormat="1" applyBorder="1"/>
    <xf numFmtId="2" fontId="0" fillId="0" borderId="20" xfId="0" applyNumberFormat="1" applyBorder="1"/>
    <xf numFmtId="2" fontId="0" fillId="0" borderId="21" xfId="0" applyNumberFormat="1" applyBorder="1"/>
    <xf numFmtId="2" fontId="0" fillId="0" borderId="22" xfId="0" applyNumberFormat="1" applyBorder="1"/>
    <xf numFmtId="2" fontId="0" fillId="0" borderId="23" xfId="0" applyNumberFormat="1" applyBorder="1"/>
    <xf numFmtId="2" fontId="0" fillId="0" borderId="24" xfId="0" applyNumberFormat="1" applyBorder="1"/>
    <xf numFmtId="0" fontId="2" fillId="0" borderId="0" xfId="0" applyFont="1"/>
    <xf numFmtId="2" fontId="3" fillId="0" borderId="0" xfId="0" applyNumberFormat="1" applyFont="1" applyProtection="1">
      <protection locked="0"/>
    </xf>
    <xf numFmtId="166" fontId="3" fillId="0" borderId="0" xfId="0" applyNumberFormat="1" applyFont="1" applyProtection="1">
      <protection locked="0"/>
    </xf>
    <xf numFmtId="2" fontId="3" fillId="0" borderId="0" xfId="0" applyNumberFormat="1" applyFont="1"/>
    <xf numFmtId="165" fontId="3" fillId="0" borderId="0" xfId="0" applyNumberFormat="1" applyFont="1"/>
    <xf numFmtId="1" fontId="0" fillId="0" borderId="0" xfId="0" applyNumberFormat="1"/>
    <xf numFmtId="0" fontId="0" fillId="0" borderId="19" xfId="0" applyBorder="1"/>
    <xf numFmtId="166" fontId="0" fillId="0" borderId="19" xfId="0" applyNumberFormat="1" applyBorder="1"/>
    <xf numFmtId="166" fontId="0" fillId="0" borderId="25" xfId="0" applyNumberFormat="1" applyBorder="1"/>
    <xf numFmtId="2" fontId="0" fillId="0" borderId="26" xfId="0" applyNumberFormat="1" applyBorder="1"/>
    <xf numFmtId="0" fontId="0" fillId="0" borderId="27" xfId="0" applyBorder="1"/>
    <xf numFmtId="0" fontId="0" fillId="0" borderId="20" xfId="0" applyBorder="1"/>
    <xf numFmtId="2" fontId="0" fillId="0" borderId="28" xfId="0" applyNumberFormat="1" applyBorder="1"/>
    <xf numFmtId="0" fontId="0" fillId="0" borderId="29" xfId="0" applyBorder="1"/>
    <xf numFmtId="166" fontId="0" fillId="0" borderId="30" xfId="0" applyNumberFormat="1" applyBorder="1"/>
    <xf numFmtId="166" fontId="0" fillId="0" borderId="31" xfId="0" applyNumberFormat="1" applyBorder="1"/>
    <xf numFmtId="1" fontId="0" fillId="0" borderId="32" xfId="0" applyNumberFormat="1" applyBorder="1"/>
    <xf numFmtId="166" fontId="0" fillId="0" borderId="33" xfId="0" applyNumberFormat="1" applyBorder="1"/>
    <xf numFmtId="1" fontId="0" fillId="0" borderId="34" xfId="0" applyNumberFormat="1" applyBorder="1"/>
    <xf numFmtId="166" fontId="0" fillId="0" borderId="21" xfId="0" applyNumberFormat="1" applyBorder="1"/>
    <xf numFmtId="1" fontId="0" fillId="0" borderId="28" xfId="0" applyNumberFormat="1" applyBorder="1"/>
    <xf numFmtId="166" fontId="0" fillId="0" borderId="23" xfId="0" applyNumberFormat="1" applyBorder="1"/>
    <xf numFmtId="2" fontId="4" fillId="0" borderId="0" xfId="0" applyNumberFormat="1" applyFont="1"/>
    <xf numFmtId="165" fontId="0" fillId="0" borderId="19" xfId="0" applyNumberFormat="1" applyBorder="1"/>
    <xf numFmtId="1" fontId="0" fillId="0" borderId="26" xfId="0" applyNumberFormat="1" applyBorder="1"/>
    <xf numFmtId="166" fontId="0" fillId="0" borderId="27" xfId="0" applyNumberFormat="1" applyBorder="1"/>
    <xf numFmtId="2" fontId="0" fillId="0" borderId="34" xfId="0" applyNumberFormat="1" applyBorder="1"/>
    <xf numFmtId="165" fontId="0" fillId="0" borderId="22" xfId="0" applyNumberFormat="1" applyBorder="1"/>
    <xf numFmtId="166" fontId="0" fillId="0" borderId="22" xfId="0" applyNumberFormat="1" applyBorder="1"/>
    <xf numFmtId="1" fontId="5" fillId="0" borderId="0" xfId="0" applyNumberFormat="1" applyFont="1"/>
    <xf numFmtId="0" fontId="0" fillId="0" borderId="26" xfId="0" applyBorder="1"/>
    <xf numFmtId="0" fontId="0" fillId="0" borderId="34" xfId="0" applyBorder="1"/>
    <xf numFmtId="0" fontId="0" fillId="0" borderId="21" xfId="0" applyBorder="1"/>
    <xf numFmtId="0" fontId="0" fillId="0" borderId="28" xfId="0" applyBorder="1"/>
    <xf numFmtId="0" fontId="0" fillId="0" borderId="22" xfId="0" applyBorder="1"/>
    <xf numFmtId="0" fontId="10" fillId="0" borderId="0" xfId="0" applyFont="1"/>
    <xf numFmtId="0" fontId="5" fillId="0" borderId="0" xfId="0" applyFont="1"/>
    <xf numFmtId="2" fontId="5" fillId="0" borderId="0" xfId="0" applyNumberFormat="1" applyFont="1"/>
    <xf numFmtId="0" fontId="0" fillId="0" borderId="25" xfId="0" applyBorder="1"/>
    <xf numFmtId="0" fontId="3" fillId="0" borderId="19" xfId="0" applyFont="1" applyBorder="1"/>
    <xf numFmtId="0" fontId="0" fillId="0" borderId="32" xfId="0" applyBorder="1"/>
    <xf numFmtId="0" fontId="0" fillId="0" borderId="19" xfId="0" applyBorder="1" applyAlignment="1">
      <alignment wrapText="1"/>
    </xf>
    <xf numFmtId="0" fontId="11" fillId="0" borderId="0" xfId="0" applyFont="1"/>
    <xf numFmtId="0" fontId="3" fillId="0" borderId="27" xfId="0" applyFont="1" applyBorder="1"/>
    <xf numFmtId="0" fontId="3" fillId="0" borderId="21" xfId="0" applyFont="1" applyBorder="1"/>
    <xf numFmtId="2" fontId="3" fillId="0" borderId="21" xfId="0" applyNumberFormat="1" applyFont="1" applyBorder="1"/>
    <xf numFmtId="0" fontId="3" fillId="0" borderId="20" xfId="0" applyFont="1" applyBorder="1"/>
    <xf numFmtId="2" fontId="3" fillId="0" borderId="22" xfId="0" applyNumberFormat="1" applyFont="1" applyBorder="1"/>
    <xf numFmtId="2" fontId="3" fillId="0" borderId="23" xfId="0" applyNumberFormat="1" applyFont="1" applyBorder="1"/>
    <xf numFmtId="2" fontId="3" fillId="0" borderId="13" xfId="0" applyNumberFormat="1" applyFont="1" applyBorder="1" applyProtection="1">
      <protection locked="0"/>
    </xf>
    <xf numFmtId="2" fontId="3" fillId="0" borderId="3" xfId="0" applyNumberFormat="1" applyFont="1" applyBorder="1" applyAlignment="1" applyProtection="1">
      <alignment horizontal="center"/>
      <protection locked="0"/>
    </xf>
    <xf numFmtId="2" fontId="3" fillId="0" borderId="14" xfId="0" applyNumberFormat="1" applyFont="1" applyBorder="1" applyProtection="1">
      <protection locked="0"/>
    </xf>
    <xf numFmtId="166" fontId="3" fillId="0" borderId="14" xfId="0" applyNumberFormat="1" applyFont="1" applyBorder="1" applyProtection="1">
      <protection locked="0"/>
    </xf>
    <xf numFmtId="2" fontId="3" fillId="0" borderId="15" xfId="0" applyNumberFormat="1" applyFont="1" applyBorder="1" applyProtection="1">
      <protection locked="0"/>
    </xf>
    <xf numFmtId="2" fontId="3" fillId="0" borderId="16" xfId="0" applyNumberFormat="1" applyFont="1" applyBorder="1" applyProtection="1">
      <protection locked="0"/>
    </xf>
    <xf numFmtId="2" fontId="3" fillId="0" borderId="17" xfId="0" applyNumberFormat="1" applyFont="1" applyBorder="1" applyProtection="1">
      <protection locked="0"/>
    </xf>
    <xf numFmtId="166" fontId="3" fillId="0" borderId="17" xfId="0" applyNumberFormat="1" applyFont="1" applyBorder="1" applyProtection="1">
      <protection locked="0"/>
    </xf>
    <xf numFmtId="2" fontId="3" fillId="0" borderId="18" xfId="0" applyNumberFormat="1" applyFont="1" applyBorder="1" applyProtection="1">
      <protection locked="0"/>
    </xf>
    <xf numFmtId="2" fontId="3" fillId="0" borderId="35" xfId="0" applyNumberFormat="1" applyFont="1" applyBorder="1" applyProtection="1">
      <protection locked="0"/>
    </xf>
    <xf numFmtId="2" fontId="3" fillId="0" borderId="36" xfId="0" applyNumberFormat="1" applyFont="1" applyBorder="1" applyProtection="1">
      <protection locked="0"/>
    </xf>
    <xf numFmtId="2" fontId="3" fillId="0" borderId="37" xfId="0" applyNumberFormat="1" applyFont="1" applyBorder="1" applyProtection="1">
      <protection locked="0"/>
    </xf>
    <xf numFmtId="2" fontId="3" fillId="0" borderId="38" xfId="0" applyNumberFormat="1" applyFont="1" applyBorder="1" applyProtection="1">
      <protection locked="0"/>
    </xf>
    <xf numFmtId="2" fontId="3" fillId="0" borderId="39" xfId="0" applyNumberFormat="1" applyFont="1" applyBorder="1" applyProtection="1">
      <protection locked="0"/>
    </xf>
    <xf numFmtId="2" fontId="3" fillId="0" borderId="40" xfId="0" applyNumberFormat="1" applyFont="1" applyBorder="1" applyProtection="1">
      <protection locked="0"/>
    </xf>
    <xf numFmtId="168" fontId="0" fillId="0" borderId="19" xfId="0" applyNumberFormat="1" applyBorder="1"/>
    <xf numFmtId="10" fontId="0" fillId="0" borderId="19" xfId="0" applyNumberFormat="1" applyBorder="1"/>
    <xf numFmtId="0" fontId="0" fillId="0" borderId="41" xfId="0" applyBorder="1"/>
    <xf numFmtId="0" fontId="0" fillId="0" borderId="18" xfId="0" applyBorder="1"/>
    <xf numFmtId="0" fontId="0" fillId="0" borderId="42" xfId="0" applyBorder="1"/>
    <xf numFmtId="0" fontId="0" fillId="0" borderId="36" xfId="0" applyBorder="1"/>
    <xf numFmtId="0" fontId="0" fillId="0" borderId="1" xfId="0" applyBorder="1"/>
    <xf numFmtId="0" fontId="0" fillId="0" borderId="9" xfId="0" applyBorder="1"/>
    <xf numFmtId="0" fontId="0" fillId="0" borderId="43" xfId="0" applyBorder="1"/>
    <xf numFmtId="0" fontId="0" fillId="0" borderId="8" xfId="0" applyBorder="1"/>
    <xf numFmtId="2" fontId="0" fillId="0" borderId="27" xfId="0" applyNumberFormat="1" applyBorder="1"/>
    <xf numFmtId="165" fontId="0" fillId="0" borderId="21" xfId="0" applyNumberFormat="1" applyBorder="1"/>
    <xf numFmtId="10" fontId="0" fillId="0" borderId="21" xfId="0" applyNumberFormat="1" applyBorder="1"/>
    <xf numFmtId="165" fontId="3" fillId="0" borderId="21" xfId="0" applyNumberFormat="1" applyFont="1" applyBorder="1"/>
    <xf numFmtId="165" fontId="0" fillId="0" borderId="23" xfId="0" applyNumberFormat="1" applyBorder="1"/>
    <xf numFmtId="168" fontId="0" fillId="0" borderId="21" xfId="0" applyNumberFormat="1" applyBorder="1"/>
    <xf numFmtId="2" fontId="2" fillId="0" borderId="44" xfId="0" applyNumberFormat="1" applyFont="1" applyBorder="1" applyProtection="1">
      <protection locked="0"/>
    </xf>
    <xf numFmtId="2" fontId="0" fillId="0" borderId="45" xfId="0" applyNumberFormat="1" applyBorder="1" applyProtection="1">
      <protection locked="0"/>
    </xf>
    <xf numFmtId="2" fontId="2" fillId="0" borderId="35" xfId="0" applyNumberFormat="1" applyFont="1" applyBorder="1" applyProtection="1">
      <protection locked="0"/>
    </xf>
    <xf numFmtId="2" fontId="2" fillId="0" borderId="36" xfId="0" applyNumberFormat="1" applyFont="1" applyBorder="1" applyProtection="1">
      <protection locked="0"/>
    </xf>
    <xf numFmtId="2" fontId="2" fillId="0" borderId="37" xfId="0" applyNumberFormat="1" applyFont="1" applyBorder="1" applyProtection="1">
      <protection locked="0"/>
    </xf>
    <xf numFmtId="2" fontId="2" fillId="0" borderId="38" xfId="0" applyNumberFormat="1" applyFont="1" applyBorder="1" applyProtection="1">
      <protection locked="0"/>
    </xf>
    <xf numFmtId="2" fontId="2" fillId="0" borderId="40" xfId="0" applyNumberFormat="1" applyFont="1" applyBorder="1" applyProtection="1">
      <protection locked="0"/>
    </xf>
    <xf numFmtId="2" fontId="2" fillId="0" borderId="45" xfId="0" applyNumberFormat="1" applyFont="1" applyBorder="1" applyProtection="1">
      <protection locked="0"/>
    </xf>
    <xf numFmtId="2" fontId="0" fillId="0" borderId="18" xfId="0" applyNumberFormat="1" applyBorder="1" applyProtection="1">
      <protection locked="0"/>
    </xf>
    <xf numFmtId="166" fontId="2" fillId="0" borderId="38" xfId="0" applyNumberFormat="1" applyFont="1" applyBorder="1" applyProtection="1">
      <protection locked="0"/>
    </xf>
    <xf numFmtId="166" fontId="2" fillId="0" borderId="15" xfId="0" applyNumberFormat="1" applyFont="1" applyBorder="1" applyProtection="1">
      <protection locked="0"/>
    </xf>
    <xf numFmtId="166" fontId="2" fillId="0" borderId="18" xfId="0" applyNumberFormat="1" applyFont="1" applyBorder="1" applyProtection="1">
      <protection locked="0"/>
    </xf>
    <xf numFmtId="0" fontId="0" fillId="2" borderId="19" xfId="0" applyFill="1" applyBorder="1"/>
    <xf numFmtId="1" fontId="0" fillId="0" borderId="19" xfId="0" applyNumberFormat="1" applyBorder="1"/>
    <xf numFmtId="0" fontId="0" fillId="0" borderId="46" xfId="0" applyBorder="1"/>
    <xf numFmtId="0" fontId="0" fillId="2" borderId="46" xfId="0" applyFill="1" applyBorder="1"/>
    <xf numFmtId="0" fontId="3" fillId="0" borderId="46" xfId="0" applyFont="1" applyBorder="1"/>
    <xf numFmtId="0" fontId="3" fillId="0" borderId="44" xfId="0" applyFont="1" applyBorder="1"/>
    <xf numFmtId="1" fontId="0" fillId="0" borderId="25" xfId="0" applyNumberFormat="1" applyBorder="1"/>
    <xf numFmtId="0" fontId="0" fillId="0" borderId="48" xfId="0" applyBorder="1"/>
    <xf numFmtId="1" fontId="0" fillId="2" borderId="34" xfId="0" applyNumberFormat="1" applyFill="1" applyBorder="1"/>
    <xf numFmtId="1" fontId="0" fillId="2" borderId="21" xfId="0" applyNumberFormat="1" applyFill="1" applyBorder="1"/>
    <xf numFmtId="1" fontId="0" fillId="0" borderId="21" xfId="0" applyNumberFormat="1" applyBorder="1"/>
    <xf numFmtId="1" fontId="0" fillId="0" borderId="39" xfId="0" applyNumberFormat="1" applyBorder="1"/>
    <xf numFmtId="1" fontId="0" fillId="2" borderId="28" xfId="0" applyNumberFormat="1" applyFill="1" applyBorder="1"/>
    <xf numFmtId="1" fontId="0" fillId="2" borderId="23" xfId="0" applyNumberFormat="1" applyFill="1" applyBorder="1"/>
    <xf numFmtId="0" fontId="0" fillId="2" borderId="25" xfId="0" applyFill="1" applyBorder="1"/>
    <xf numFmtId="0" fontId="0" fillId="2" borderId="49" xfId="0" applyFill="1" applyBorder="1"/>
    <xf numFmtId="1" fontId="0" fillId="2" borderId="32" xfId="0" applyNumberFormat="1" applyFill="1" applyBorder="1"/>
    <xf numFmtId="1" fontId="0" fillId="2" borderId="33" xfId="0" applyNumberFormat="1" applyFill="1" applyBorder="1"/>
    <xf numFmtId="0" fontId="0" fillId="0" borderId="10" xfId="0" applyBorder="1"/>
    <xf numFmtId="0" fontId="0" fillId="0" borderId="11" xfId="0" applyBorder="1"/>
    <xf numFmtId="0" fontId="0" fillId="0" borderId="50" xfId="0" applyBorder="1"/>
    <xf numFmtId="0" fontId="0" fillId="0" borderId="12" xfId="0" applyBorder="1"/>
    <xf numFmtId="2" fontId="1" fillId="0" borderId="5" xfId="0" applyNumberFormat="1" applyFont="1" applyBorder="1" applyAlignment="1">
      <alignment horizontal="right"/>
    </xf>
    <xf numFmtId="10" fontId="0" fillId="0" borderId="0" xfId="0" applyNumberFormat="1"/>
    <xf numFmtId="0" fontId="3" fillId="0" borderId="34" xfId="0" applyFont="1" applyBorder="1"/>
    <xf numFmtId="165" fontId="0" fillId="2" borderId="25" xfId="0" applyNumberFormat="1" applyFill="1" applyBorder="1"/>
    <xf numFmtId="165" fontId="0" fillId="0" borderId="25" xfId="0" applyNumberFormat="1" applyBorder="1"/>
    <xf numFmtId="0" fontId="2" fillId="0" borderId="51" xfId="0" applyFont="1" applyBorder="1" applyAlignment="1">
      <alignment horizontal="left" vertical="top" wrapText="1"/>
    </xf>
    <xf numFmtId="166" fontId="0" fillId="0" borderId="0" xfId="0" applyNumberFormat="1" applyAlignment="1">
      <alignment wrapText="1"/>
    </xf>
    <xf numFmtId="0" fontId="12" fillId="0" borderId="0" xfId="0" applyFont="1" applyAlignment="1">
      <alignment horizontal="center"/>
    </xf>
    <xf numFmtId="0" fontId="12" fillId="0" borderId="0" xfId="0" applyFont="1"/>
    <xf numFmtId="0" fontId="12" fillId="0" borderId="0" xfId="0" applyFont="1" applyAlignment="1">
      <alignment horizontal="right"/>
    </xf>
    <xf numFmtId="165" fontId="0" fillId="0" borderId="53" xfId="0" applyNumberFormat="1" applyBorder="1"/>
    <xf numFmtId="165" fontId="0" fillId="0" borderId="54" xfId="0" applyNumberFormat="1" applyBorder="1"/>
    <xf numFmtId="0" fontId="3" fillId="0" borderId="52" xfId="0" applyFont="1" applyBorder="1"/>
    <xf numFmtId="168" fontId="3" fillId="0" borderId="0" xfId="0" applyNumberFormat="1" applyFont="1"/>
    <xf numFmtId="0" fontId="0" fillId="0" borderId="2" xfId="0" applyBorder="1"/>
    <xf numFmtId="0" fontId="0" fillId="0" borderId="4" xfId="0" applyBorder="1"/>
    <xf numFmtId="1" fontId="0" fillId="2" borderId="55" xfId="0" applyNumberFormat="1" applyFill="1" applyBorder="1"/>
    <xf numFmtId="1" fontId="0" fillId="0" borderId="56" xfId="0" applyNumberFormat="1" applyBorder="1"/>
    <xf numFmtId="1" fontId="0" fillId="2" borderId="56" xfId="0" applyNumberFormat="1" applyFill="1" applyBorder="1"/>
    <xf numFmtId="1" fontId="0" fillId="2" borderId="57" xfId="0" applyNumberFormat="1" applyFill="1" applyBorder="1"/>
    <xf numFmtId="0" fontId="3" fillId="0" borderId="25" xfId="0" applyFont="1" applyBorder="1"/>
    <xf numFmtId="1" fontId="0" fillId="0" borderId="33" xfId="0" applyNumberFormat="1" applyBorder="1"/>
    <xf numFmtId="0" fontId="0" fillId="2" borderId="32" xfId="0" applyFill="1" applyBorder="1"/>
    <xf numFmtId="165" fontId="0" fillId="2" borderId="33" xfId="0" applyNumberFormat="1" applyFill="1" applyBorder="1"/>
    <xf numFmtId="0" fontId="0" fillId="2" borderId="34" xfId="0" applyFill="1" applyBorder="1"/>
    <xf numFmtId="0" fontId="0" fillId="2" borderId="28" xfId="0" applyFill="1" applyBorder="1"/>
    <xf numFmtId="0" fontId="0" fillId="2" borderId="22" xfId="0" applyFill="1" applyBorder="1"/>
    <xf numFmtId="0" fontId="0" fillId="2" borderId="58" xfId="0" applyFill="1" applyBorder="1"/>
    <xf numFmtId="165" fontId="0" fillId="2" borderId="17" xfId="0" applyNumberFormat="1" applyFill="1" applyBorder="1"/>
    <xf numFmtId="165" fontId="0" fillId="2" borderId="18" xfId="0" applyNumberFormat="1" applyFill="1" applyBorder="1"/>
    <xf numFmtId="0" fontId="0" fillId="0" borderId="37" xfId="0" applyBorder="1"/>
    <xf numFmtId="0" fontId="0" fillId="0" borderId="59" xfId="0" applyBorder="1"/>
    <xf numFmtId="0" fontId="3" fillId="0" borderId="59" xfId="0" applyFont="1" applyBorder="1"/>
    <xf numFmtId="0" fontId="3" fillId="0" borderId="38" xfId="0" applyFont="1" applyBorder="1"/>
    <xf numFmtId="0" fontId="0" fillId="0" borderId="23" xfId="0" applyBorder="1"/>
    <xf numFmtId="0" fontId="3" fillId="0" borderId="28" xfId="0" applyFont="1" applyBorder="1"/>
    <xf numFmtId="165" fontId="0" fillId="0" borderId="24" xfId="0" applyNumberFormat="1" applyBorder="1"/>
    <xf numFmtId="165" fontId="0" fillId="0" borderId="30" xfId="0" applyNumberFormat="1" applyBorder="1"/>
    <xf numFmtId="165" fontId="0" fillId="0" borderId="31" xfId="0" applyNumberFormat="1" applyBorder="1"/>
    <xf numFmtId="165" fontId="0" fillId="0" borderId="33" xfId="0" applyNumberFormat="1" applyBorder="1"/>
    <xf numFmtId="0" fontId="0" fillId="0" borderId="47" xfId="0" applyBorder="1"/>
    <xf numFmtId="0" fontId="0" fillId="0" borderId="60" xfId="0" applyBorder="1"/>
    <xf numFmtId="0" fontId="0" fillId="0" borderId="61" xfId="0" applyBorder="1"/>
    <xf numFmtId="0" fontId="4" fillId="0" borderId="0" xfId="0" applyFont="1"/>
    <xf numFmtId="0" fontId="0" fillId="0" borderId="0" xfId="0" applyAlignment="1">
      <alignment horizontal="center"/>
    </xf>
    <xf numFmtId="0" fontId="15" fillId="0" borderId="0" xfId="0" applyFont="1"/>
    <xf numFmtId="1" fontId="0" fillId="0" borderId="23" xfId="0" applyNumberFormat="1" applyBorder="1"/>
    <xf numFmtId="0" fontId="3" fillId="0" borderId="33" xfId="0" applyFont="1" applyBorder="1"/>
    <xf numFmtId="0" fontId="3" fillId="0" borderId="11" xfId="0" applyFont="1" applyBorder="1"/>
    <xf numFmtId="0" fontId="3" fillId="0" borderId="12" xfId="0" applyFont="1" applyBorder="1"/>
    <xf numFmtId="0" fontId="0" fillId="0" borderId="62" xfId="0" applyBorder="1"/>
    <xf numFmtId="0" fontId="0" fillId="0" borderId="63" xfId="0" applyBorder="1"/>
    <xf numFmtId="0" fontId="0" fillId="0" borderId="64" xfId="0" applyBorder="1"/>
    <xf numFmtId="0" fontId="3" fillId="0" borderId="48" xfId="0" applyFont="1" applyBorder="1"/>
    <xf numFmtId="0" fontId="3" fillId="0" borderId="30" xfId="0" applyFont="1" applyBorder="1"/>
    <xf numFmtId="0" fontId="3" fillId="0" borderId="43" xfId="0" applyFont="1" applyBorder="1"/>
    <xf numFmtId="0" fontId="0" fillId="0" borderId="65" xfId="0" applyBorder="1"/>
    <xf numFmtId="0" fontId="0" fillId="0" borderId="31" xfId="0" applyBorder="1"/>
    <xf numFmtId="0" fontId="0" fillId="0" borderId="24" xfId="0" applyBorder="1"/>
    <xf numFmtId="1" fontId="3" fillId="0" borderId="34" xfId="0" applyNumberFormat="1" applyFont="1" applyBorder="1"/>
    <xf numFmtId="0" fontId="1" fillId="0" borderId="46" xfId="0" applyFont="1" applyBorder="1"/>
    <xf numFmtId="0" fontId="1" fillId="0" borderId="0" xfId="0" applyFont="1"/>
    <xf numFmtId="0" fontId="1" fillId="0" borderId="19" xfId="0" applyFont="1" applyBorder="1"/>
    <xf numFmtId="2" fontId="1" fillId="0" borderId="19" xfId="0" applyNumberFormat="1" applyFont="1" applyBorder="1"/>
    <xf numFmtId="165" fontId="1" fillId="0" borderId="19" xfId="0" applyNumberFormat="1" applyFont="1" applyBorder="1"/>
    <xf numFmtId="1" fontId="1" fillId="0" borderId="19" xfId="0" applyNumberFormat="1" applyFont="1" applyBorder="1"/>
    <xf numFmtId="165" fontId="12" fillId="0" borderId="19" xfId="0" applyNumberFormat="1" applyFont="1" applyBorder="1" applyAlignment="1">
      <alignment horizontal="center"/>
    </xf>
    <xf numFmtId="0" fontId="12" fillId="0" borderId="19" xfId="0" applyFont="1" applyBorder="1" applyAlignment="1">
      <alignment horizontal="center"/>
    </xf>
    <xf numFmtId="2" fontId="12" fillId="0" borderId="19" xfId="0" applyNumberFormat="1" applyFont="1" applyBorder="1" applyAlignment="1">
      <alignment horizontal="center"/>
    </xf>
    <xf numFmtId="1" fontId="12" fillId="0" borderId="19" xfId="0" applyNumberFormat="1" applyFont="1" applyBorder="1" applyAlignment="1">
      <alignment horizontal="center"/>
    </xf>
    <xf numFmtId="0" fontId="5" fillId="0" borderId="19" xfId="0" applyFont="1" applyBorder="1"/>
    <xf numFmtId="165" fontId="12" fillId="0" borderId="0" xfId="0" applyNumberFormat="1" applyFont="1"/>
    <xf numFmtId="0" fontId="1" fillId="0" borderId="10" xfId="0" applyFont="1" applyBorder="1"/>
    <xf numFmtId="0" fontId="1" fillId="3" borderId="47" xfId="0" applyFont="1" applyFill="1" applyBorder="1"/>
    <xf numFmtId="0" fontId="0" fillId="3" borderId="48" xfId="0" applyFill="1" applyBorder="1"/>
    <xf numFmtId="0" fontId="0" fillId="3" borderId="43" xfId="0" applyFill="1" applyBorder="1"/>
    <xf numFmtId="0" fontId="1" fillId="0" borderId="37" xfId="0" applyFont="1" applyBorder="1"/>
    <xf numFmtId="0" fontId="1" fillId="3" borderId="48" xfId="0" applyFont="1" applyFill="1" applyBorder="1"/>
    <xf numFmtId="0" fontId="1" fillId="0" borderId="67" xfId="0" applyFont="1" applyBorder="1"/>
    <xf numFmtId="165" fontId="0" fillId="0" borderId="26" xfId="0" applyNumberFormat="1" applyBorder="1"/>
    <xf numFmtId="165" fontId="0" fillId="0" borderId="66" xfId="0" applyNumberFormat="1" applyBorder="1"/>
    <xf numFmtId="165" fontId="0" fillId="0" borderId="34" xfId="0" applyNumberFormat="1" applyBorder="1"/>
    <xf numFmtId="165" fontId="0" fillId="0" borderId="46" xfId="0" applyNumberFormat="1" applyBorder="1"/>
    <xf numFmtId="165" fontId="0" fillId="0" borderId="28" xfId="0" applyNumberFormat="1" applyBorder="1"/>
    <xf numFmtId="0" fontId="1" fillId="0" borderId="65" xfId="0" applyFont="1" applyBorder="1"/>
    <xf numFmtId="0" fontId="1" fillId="0" borderId="3" xfId="0" applyFont="1" applyBorder="1"/>
    <xf numFmtId="165" fontId="0" fillId="0" borderId="42" xfId="0" applyNumberFormat="1" applyBorder="1"/>
    <xf numFmtId="165" fontId="0" fillId="0" borderId="68" xfId="0" applyNumberFormat="1" applyBorder="1"/>
    <xf numFmtId="165" fontId="0" fillId="0" borderId="69" xfId="0" applyNumberFormat="1" applyBorder="1"/>
    <xf numFmtId="165" fontId="0" fillId="0" borderId="47" xfId="0" applyNumberFormat="1" applyBorder="1"/>
    <xf numFmtId="165" fontId="0" fillId="0" borderId="48" xfId="0" applyNumberFormat="1" applyBorder="1"/>
    <xf numFmtId="165" fontId="0" fillId="0" borderId="43" xfId="0" applyNumberFormat="1" applyBorder="1"/>
    <xf numFmtId="165" fontId="0" fillId="0" borderId="39" xfId="0" applyNumberFormat="1" applyBorder="1"/>
    <xf numFmtId="165" fontId="0" fillId="0" borderId="40" xfId="0" applyNumberFormat="1" applyBorder="1"/>
    <xf numFmtId="165" fontId="0" fillId="0" borderId="6" xfId="0" applyNumberFormat="1" applyBorder="1"/>
    <xf numFmtId="165" fontId="0" fillId="0" borderId="7" xfId="0" applyNumberFormat="1" applyBorder="1"/>
    <xf numFmtId="165" fontId="0" fillId="0" borderId="8" xfId="0" applyNumberFormat="1" applyBorder="1"/>
    <xf numFmtId="165" fontId="0" fillId="0" borderId="52" xfId="0" applyNumberFormat="1" applyBorder="1"/>
    <xf numFmtId="165" fontId="0" fillId="0" borderId="70" xfId="0" applyNumberFormat="1" applyBorder="1"/>
    <xf numFmtId="165" fontId="0" fillId="0" borderId="71" xfId="0" applyNumberFormat="1" applyBorder="1"/>
    <xf numFmtId="165" fontId="0" fillId="0" borderId="29" xfId="0" applyNumberFormat="1" applyBorder="1"/>
    <xf numFmtId="165" fontId="0" fillId="0" borderId="27" xfId="0" applyNumberFormat="1" applyBorder="1"/>
    <xf numFmtId="165" fontId="0" fillId="0" borderId="20" xfId="0" applyNumberFormat="1" applyBorder="1"/>
    <xf numFmtId="165" fontId="0" fillId="0" borderId="58" xfId="0" applyNumberFormat="1" applyBorder="1"/>
    <xf numFmtId="165" fontId="0" fillId="0" borderId="13" xfId="0" applyNumberFormat="1" applyBorder="1"/>
    <xf numFmtId="165" fontId="0" fillId="0" borderId="35" xfId="0" applyNumberFormat="1" applyBorder="1"/>
    <xf numFmtId="165" fontId="0" fillId="0" borderId="15" xfId="0" applyNumberFormat="1" applyBorder="1"/>
    <xf numFmtId="165" fontId="0" fillId="0" borderId="37" xfId="0" applyNumberFormat="1" applyBorder="1"/>
    <xf numFmtId="165" fontId="0" fillId="0" borderId="67" xfId="0" applyNumberFormat="1" applyBorder="1"/>
    <xf numFmtId="165" fontId="0" fillId="0" borderId="38" xfId="0" applyNumberFormat="1" applyBorder="1"/>
    <xf numFmtId="165" fontId="0" fillId="0" borderId="72" xfId="0" applyNumberFormat="1" applyBorder="1"/>
    <xf numFmtId="0" fontId="1" fillId="0" borderId="2" xfId="0" applyFont="1" applyBorder="1"/>
    <xf numFmtId="0" fontId="0" fillId="0" borderId="73" xfId="0" applyBorder="1"/>
    <xf numFmtId="0" fontId="0" fillId="0" borderId="74" xfId="0" applyBorder="1"/>
    <xf numFmtId="0" fontId="0" fillId="0" borderId="6" xfId="0" applyBorder="1"/>
    <xf numFmtId="2" fontId="0" fillId="0" borderId="48" xfId="0" applyNumberFormat="1" applyBorder="1"/>
    <xf numFmtId="2" fontId="0" fillId="0" borderId="43" xfId="0" applyNumberFormat="1" applyBorder="1"/>
    <xf numFmtId="0" fontId="1" fillId="3" borderId="43" xfId="0" applyFont="1" applyFill="1" applyBorder="1"/>
    <xf numFmtId="0" fontId="1" fillId="0" borderId="4" xfId="0" applyFont="1" applyBorder="1"/>
    <xf numFmtId="165" fontId="0" fillId="0" borderId="41" xfId="0" applyNumberFormat="1" applyBorder="1"/>
    <xf numFmtId="165" fontId="0" fillId="0" borderId="56" xfId="0" applyNumberFormat="1" applyBorder="1"/>
    <xf numFmtId="165" fontId="0" fillId="0" borderId="75" xfId="0" applyNumberFormat="1" applyBorder="1"/>
    <xf numFmtId="165" fontId="0" fillId="0" borderId="57" xfId="0" applyNumberFormat="1" applyBorder="1"/>
    <xf numFmtId="0" fontId="1" fillId="0" borderId="43" xfId="0" applyFont="1" applyBorder="1"/>
    <xf numFmtId="168" fontId="0" fillId="4" borderId="19" xfId="0" applyNumberFormat="1" applyFill="1" applyBorder="1"/>
    <xf numFmtId="168" fontId="0" fillId="5" borderId="19" xfId="0" applyNumberFormat="1" applyFill="1" applyBorder="1"/>
    <xf numFmtId="0" fontId="1" fillId="0" borderId="34" xfId="0" applyFont="1" applyBorder="1"/>
    <xf numFmtId="0" fontId="1" fillId="0" borderId="76" xfId="0" applyFont="1" applyBorder="1"/>
    <xf numFmtId="0" fontId="1" fillId="0" borderId="62" xfId="0" applyFont="1" applyBorder="1"/>
    <xf numFmtId="0" fontId="0" fillId="0" borderId="30" xfId="0" applyBorder="1"/>
    <xf numFmtId="0" fontId="0" fillId="0" borderId="33" xfId="0" applyBorder="1"/>
    <xf numFmtId="0" fontId="0" fillId="0" borderId="3" xfId="0" applyBorder="1"/>
    <xf numFmtId="168" fontId="0" fillId="0" borderId="63" xfId="0" applyNumberFormat="1" applyBorder="1"/>
    <xf numFmtId="1" fontId="0" fillId="0" borderId="63" xfId="0" applyNumberFormat="1" applyBorder="1"/>
    <xf numFmtId="0" fontId="1" fillId="0" borderId="31" xfId="0" applyFont="1" applyBorder="1"/>
    <xf numFmtId="0" fontId="3" fillId="0" borderId="31" xfId="0" applyFont="1" applyBorder="1"/>
    <xf numFmtId="0" fontId="1" fillId="0" borderId="30" xfId="0" applyFont="1" applyBorder="1"/>
    <xf numFmtId="1" fontId="0" fillId="0" borderId="31" xfId="0" applyNumberFormat="1" applyBorder="1"/>
    <xf numFmtId="166" fontId="0" fillId="0" borderId="63" xfId="0" applyNumberFormat="1" applyBorder="1"/>
    <xf numFmtId="0" fontId="17" fillId="0" borderId="0" xfId="0" applyFont="1"/>
    <xf numFmtId="0" fontId="3" fillId="0" borderId="2" xfId="0" applyFont="1" applyBorder="1" applyAlignment="1">
      <alignment vertical="top" wrapText="1"/>
    </xf>
    <xf numFmtId="0" fontId="0" fillId="0" borderId="3" xfId="0"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Powering!$N$88:$N$288</c:f>
              <c:numCache>
                <c:formatCode>General</c:formatCode>
                <c:ptCount val="201"/>
                <c:pt idx="0">
                  <c:v>0.53436273541774104</c:v>
                </c:pt>
                <c:pt idx="1">
                  <c:v>1.0520246603987182</c:v>
                </c:pt>
                <c:pt idx="2">
                  <c:v>1.5533447044777295</c:v>
                </c:pt>
                <c:pt idx="3">
                  <c:v>2.0374256303802398</c:v>
                </c:pt>
                <c:pt idx="4">
                  <c:v>2.5047429646890698</c:v>
                </c:pt>
                <c:pt idx="5">
                  <c:v>2.9545259894983729</c:v>
                </c:pt>
                <c:pt idx="6">
                  <c:v>3.3874326132293726</c:v>
                </c:pt>
                <c:pt idx="7">
                  <c:v>3.8028819400738421</c:v>
                </c:pt>
                <c:pt idx="8">
                  <c:v>4.2014411913433278</c:v>
                </c:pt>
                <c:pt idx="9">
                  <c:v>4.5831657651280233</c:v>
                </c:pt>
                <c:pt idx="10">
                  <c:v>4.9481751106908227</c:v>
                </c:pt>
                <c:pt idx="11">
                  <c:v>5.2972011663812522</c:v>
                </c:pt>
                <c:pt idx="12">
                  <c:v>5.6300124644037037</c:v>
                </c:pt>
                <c:pt idx="13">
                  <c:v>5.9472074347338229</c:v>
                </c:pt>
                <c:pt idx="14">
                  <c:v>6.2495188340179215</c:v>
                </c:pt>
                <c:pt idx="15">
                  <c:v>6.5353556517526892</c:v>
                </c:pt>
                <c:pt idx="16">
                  <c:v>6.8051576913273895</c:v>
                </c:pt>
                <c:pt idx="17">
                  <c:v>7.059824466361996</c:v>
                </c:pt>
                <c:pt idx="18">
                  <c:v>7.2991547956945038</c:v>
                </c:pt>
                <c:pt idx="19">
                  <c:v>7.5208577457086223</c:v>
                </c:pt>
                <c:pt idx="20">
                  <c:v>7.7262316244896692</c:v>
                </c:pt>
                <c:pt idx="21">
                  <c:v>7.9164791159320975</c:v>
                </c:pt>
                <c:pt idx="22">
                  <c:v>8.0927143227410614</c:v>
                </c:pt>
                <c:pt idx="23">
                  <c:v>8.2554062714880736</c:v>
                </c:pt>
                <c:pt idx="24">
                  <c:v>8.4051275149717686</c:v>
                </c:pt>
                <c:pt idx="25">
                  <c:v>8.5429121498166136</c:v>
                </c:pt>
                <c:pt idx="26">
                  <c:v>8.6697118287238712</c:v>
                </c:pt>
                <c:pt idx="27">
                  <c:v>8.7864023333587937</c:v>
                </c:pt>
                <c:pt idx="28">
                  <c:v>8.8937896232107825</c:v>
                </c:pt>
                <c:pt idx="29">
                  <c:v>8.9926154022048319</c:v>
                </c:pt>
                <c:pt idx="30">
                  <c:v>9.083562241511812</c:v>
                </c:pt>
                <c:pt idx="31">
                  <c:v>9.1659567929916133</c:v>
                </c:pt>
                <c:pt idx="32">
                  <c:v>9.2404990795421593</c:v>
                </c:pt>
                <c:pt idx="33">
                  <c:v>9.3079374281269658</c:v>
                </c:pt>
                <c:pt idx="34">
                  <c:v>9.3689488495670918</c:v>
                </c:pt>
                <c:pt idx="35">
                  <c:v>9.4241458350250564</c:v>
                </c:pt>
                <c:pt idx="36">
                  <c:v>9.4740825047785471</c:v>
                </c:pt>
                <c:pt idx="37">
                  <c:v>9.519260171011215</c:v>
                </c:pt>
                <c:pt idx="38">
                  <c:v>9.5601323704651548</c:v>
                </c:pt>
                <c:pt idx="39">
                  <c:v>9.5971094174777054</c:v>
                </c:pt>
                <c:pt idx="40">
                  <c:v>9.6305625231102834</c:v>
                </c:pt>
                <c:pt idx="41">
                  <c:v>9.6608275217210302</c:v>
                </c:pt>
                <c:pt idx="42">
                  <c:v>9.6882082423921929</c:v>
                </c:pt>
                <c:pt idx="43">
                  <c:v>9.7129795590578407</c:v>
                </c:pt>
                <c:pt idx="44">
                  <c:v>9.7353901499520425</c:v>
                </c:pt>
                <c:pt idx="45">
                  <c:v>9.755664994079476</c:v>
                </c:pt>
                <c:pt idx="46">
                  <c:v>9.7740076297704448</c:v>
                </c:pt>
                <c:pt idx="47">
                  <c:v>9.7906021979938487</c:v>
                </c:pt>
                <c:pt idx="48">
                  <c:v>9.8056152909408372</c:v>
                </c:pt>
                <c:pt idx="49">
                  <c:v>9.8191976244369883</c:v>
                </c:pt>
                <c:pt idx="50">
                  <c:v>9.8314855509723156</c:v>
                </c:pt>
                <c:pt idx="51">
                  <c:v>9.842602428538342</c:v>
                </c:pt>
                <c:pt idx="52">
                  <c:v>9.8526598590139116</c:v>
                </c:pt>
                <c:pt idx="53">
                  <c:v>9.8617588085319046</c:v>
                </c:pt>
                <c:pt idx="54">
                  <c:v>9.8699906210740878</c:v>
                </c:pt>
                <c:pt idx="55">
                  <c:v>9.8774379354696311</c:v>
                </c:pt>
                <c:pt idx="56">
                  <c:v>9.8841755150029176</c:v>
                </c:pt>
                <c:pt idx="57">
                  <c:v>9.8902709979590977</c:v>
                </c:pt>
                <c:pt idx="58">
                  <c:v>9.895785576642071</c:v>
                </c:pt>
                <c:pt idx="59">
                  <c:v>9.900774611681511</c:v>
                </c:pt>
                <c:pt idx="60">
                  <c:v>9.9052881877959695</c:v>
                </c:pt>
                <c:pt idx="61">
                  <c:v>9.9093716165913097</c:v>
                </c:pt>
                <c:pt idx="62">
                  <c:v>9.9130658914420611</c:v>
                </c:pt>
                <c:pt idx="63">
                  <c:v>9.9164080990222416</c:v>
                </c:pt>
                <c:pt idx="64">
                  <c:v>9.9194317916169421</c:v>
                </c:pt>
                <c:pt idx="65">
                  <c:v>9.9221673239523547</c:v>
                </c:pt>
                <c:pt idx="66">
                  <c:v>9.9246421579256268</c:v>
                </c:pt>
                <c:pt idx="67">
                  <c:v>9.9268811382937141</c:v>
                </c:pt>
                <c:pt idx="68">
                  <c:v>9.9289067420888859</c:v>
                </c:pt>
                <c:pt idx="69">
                  <c:v>9.9307393042647316</c:v>
                </c:pt>
                <c:pt idx="70">
                  <c:v>9.9323972218379222</c:v>
                </c:pt>
                <c:pt idx="71">
                  <c:v>9.9338971385751158</c:v>
                </c:pt>
                <c:pt idx="72">
                  <c:v>9.9352541120790399</c:v>
                </c:pt>
                <c:pt idx="73">
                  <c:v>9.9364817649511554</c:v>
                </c:pt>
                <c:pt idx="74">
                  <c:v>9.9375924215483984</c:v>
                </c:pt>
                <c:pt idx="75">
                  <c:v>9.9385972317068862</c:v>
                </c:pt>
                <c:pt idx="76">
                  <c:v>9.939506282674671</c:v>
                </c:pt>
                <c:pt idx="77">
                  <c:v>9.9403287003772078</c:v>
                </c:pt>
                <c:pt idx="78">
                  <c:v>9.9410727410321513</c:v>
                </c:pt>
                <c:pt idx="79">
                  <c:v>9.941745874033181</c:v>
                </c:pt>
                <c:pt idx="80">
                  <c:v>9.9423548569349407</c:v>
                </c:pt>
                <c:pt idx="81">
                  <c:v>9.942905803291854</c:v>
                </c:pt>
                <c:pt idx="82">
                  <c:v>9.9434042440318482</c:v>
                </c:pt>
                <c:pt idx="83">
                  <c:v>9.9438551829811086</c:v>
                </c:pt>
                <c:pt idx="84">
                  <c:v>9.9442631470972902</c:v>
                </c:pt>
                <c:pt idx="85">
                  <c:v>9.9446322319154543</c:v>
                </c:pt>
                <c:pt idx="86">
                  <c:v>9.9449661426629863</c:v>
                </c:pt>
                <c:pt idx="87">
                  <c:v>9.9452682314562093</c:v>
                </c:pt>
                <c:pt idx="88">
                  <c:v>9.9455415309521573</c:v>
                </c:pt>
                <c:pt idx="89">
                  <c:v>9.9457887847932795</c:v>
                </c:pt>
                <c:pt idx="90">
                  <c:v>9.9460124751507699</c:v>
                </c:pt>
                <c:pt idx="91">
                  <c:v>9.9462148476429704</c:v>
                </c:pt>
                <c:pt idx="92">
                  <c:v>9.9463979338790445</c:v>
                </c:pt>
                <c:pt idx="93">
                  <c:v>9.946563571854222</c:v>
                </c:pt>
                <c:pt idx="94">
                  <c:v>9.9467134244013593</c:v>
                </c:pt>
                <c:pt idx="95">
                  <c:v>9.9468489958840411</c:v>
                </c:pt>
                <c:pt idx="96">
                  <c:v>9.9469716472988328</c:v>
                </c:pt>
                <c:pt idx="97">
                  <c:v>9.9470826099382688</c:v>
                </c:pt>
                <c:pt idx="98">
                  <c:v>9.9471829977517405</c:v>
                </c:pt>
                <c:pt idx="99">
                  <c:v>9.9472738185284015</c:v>
                </c:pt>
                <c:pt idx="100">
                  <c:v>9.9473559840143118</c:v>
                </c:pt>
                <c:pt idx="101">
                  <c:v>9.9474303190654183</c:v>
                </c:pt>
                <c:pt idx="102">
                  <c:v>9.9474975699282595</c:v>
                </c:pt>
                <c:pt idx="103">
                  <c:v>9.9475584117314941</c:v>
                </c:pt>
                <c:pt idx="104">
                  <c:v>9.9476134552634932</c:v>
                </c:pt>
                <c:pt idx="105">
                  <c:v>9.9476632531040217</c:v>
                </c:pt>
                <c:pt idx="106">
                  <c:v>9.9477083051715631</c:v>
                </c:pt>
                <c:pt idx="107">
                  <c:v>9.9477490637419788</c:v>
                </c:pt>
                <c:pt idx="108">
                  <c:v>9.9477859379888898</c:v>
                </c:pt>
                <c:pt idx="109">
                  <c:v>9.9478192980913498</c:v>
                </c:pt>
                <c:pt idx="110">
                  <c:v>9.9478494789500616</c:v>
                </c:pt>
                <c:pt idx="111">
                  <c:v>9.9478767835494342</c:v>
                </c:pt>
                <c:pt idx="112">
                  <c:v>9.9479014859992176</c:v>
                </c:pt>
                <c:pt idx="113">
                  <c:v>9.9479238342862981</c:v>
                </c:pt>
                <c:pt idx="114">
                  <c:v>9.9479440527642158</c:v>
                </c:pt>
                <c:pt idx="115">
                  <c:v>9.9479623444054397</c:v>
                </c:pt>
                <c:pt idx="116">
                  <c:v>9.9479788928390072</c:v>
                </c:pt>
                <c:pt idx="117">
                  <c:v>9.9479938641939682</c:v>
                </c:pt>
                <c:pt idx="118">
                  <c:v>9.9480074087671415</c:v>
                </c:pt>
                <c:pt idx="119">
                  <c:v>9.9480196625319408</c:v>
                </c:pt>
                <c:pt idx="120">
                  <c:v>9.9480307485034096</c:v>
                </c:pt>
                <c:pt idx="121">
                  <c:v>9.9480407779731639</c:v>
                </c:pt>
                <c:pt idx="122">
                  <c:v>9.9480498516266405</c:v>
                </c:pt>
                <c:pt idx="123">
                  <c:v>9.9480580605538727</c:v>
                </c:pt>
                <c:pt idx="124">
                  <c:v>9.9480654871639462</c:v>
                </c:pt>
                <c:pt idx="125">
                  <c:v>9.948072206012295</c:v>
                </c:pt>
                <c:pt idx="126">
                  <c:v>9.9480782845491618</c:v>
                </c:pt>
                <c:pt idx="127">
                  <c:v>9.9480837837967329</c:v>
                </c:pt>
                <c:pt idx="128">
                  <c:v>9.9480887589617275</c:v>
                </c:pt>
                <c:pt idx="129">
                  <c:v>9.948093259989621</c:v>
                </c:pt>
                <c:pt idx="130">
                  <c:v>9.9480973320660535</c:v>
                </c:pt>
                <c:pt idx="131">
                  <c:v>9.948101016070428</c:v>
                </c:pt>
                <c:pt idx="132">
                  <c:v>9.9481043489863179</c:v>
                </c:pt>
                <c:pt idx="133">
                  <c:v>9.9481073642727278</c:v>
                </c:pt>
                <c:pt idx="134">
                  <c:v>9.9481100921999932</c:v>
                </c:pt>
                <c:pt idx="135">
                  <c:v>9.9481125601536675</c:v>
                </c:pt>
                <c:pt idx="136">
                  <c:v>9.9481147929094327</c:v>
                </c:pt>
                <c:pt idx="137">
                  <c:v>9.9481168128818354</c:v>
                </c:pt>
                <c:pt idx="138">
                  <c:v>9.9481186403492945</c:v>
                </c:pt>
                <c:pt idx="139">
                  <c:v>9.9481202936576807</c:v>
                </c:pt>
                <c:pt idx="140">
                  <c:v>9.9481217894044924</c:v>
                </c:pt>
                <c:pt idx="141">
                  <c:v>9.9481231426054659</c:v>
                </c:pt>
                <c:pt idx="142">
                  <c:v>9.9481243668453327</c:v>
                </c:pt>
                <c:pt idx="143">
                  <c:v>9.9481254744141872</c:v>
                </c:pt>
                <c:pt idx="144">
                  <c:v>9.9481264764308666</c:v>
                </c:pt>
                <c:pt idx="145">
                  <c:v>9.948127382954576</c:v>
                </c:pt>
                <c:pt idx="146">
                  <c:v>9.9481282030858722</c:v>
                </c:pt>
                <c:pt idx="147">
                  <c:v>9.9481289450580164</c:v>
                </c:pt>
                <c:pt idx="148">
                  <c:v>9.9481296163196351</c:v>
                </c:pt>
                <c:pt idx="149">
                  <c:v>9.9481302236095015</c:v>
                </c:pt>
                <c:pt idx="150">
                  <c:v>9.9481307730241681</c:v>
                </c:pt>
                <c:pt idx="151">
                  <c:v>9.9481312700791893</c:v>
                </c:pt>
                <c:pt idx="152">
                  <c:v>9.948131719764481</c:v>
                </c:pt>
                <c:pt idx="153">
                  <c:v>9.9481321265944143</c:v>
                </c:pt>
                <c:pt idx="154">
                  <c:v>9.9481324946531373</c:v>
                </c:pt>
                <c:pt idx="155">
                  <c:v>9.9481328276355789</c:v>
                </c:pt>
                <c:pt idx="156">
                  <c:v>9.9481331288845318</c:v>
                </c:pt>
                <c:pt idx="157">
                  <c:v>9.9481334014242258</c:v>
                </c:pt>
                <c:pt idx="158">
                  <c:v>9.9481336479906748</c:v>
                </c:pt>
                <c:pt idx="159">
                  <c:v>9.9481338710591505</c:v>
                </c:pt>
                <c:pt idx="160">
                  <c:v>9.9481340728690242</c:v>
                </c:pt>
                <c:pt idx="161">
                  <c:v>9.9481342554462628</c:v>
                </c:pt>
                <c:pt idx="162">
                  <c:v>9.9481344206237452</c:v>
                </c:pt>
                <c:pt idx="163">
                  <c:v>9.9481345700596879</c:v>
                </c:pt>
                <c:pt idx="164">
                  <c:v>9.948134705254267</c:v>
                </c:pt>
                <c:pt idx="165">
                  <c:v>9.9481348275646972</c:v>
                </c:pt>
                <c:pt idx="166">
                  <c:v>9.9481349382188498</c:v>
                </c:pt>
                <c:pt idx="167">
                  <c:v>9.9481350383275764</c:v>
                </c:pt>
                <c:pt idx="168">
                  <c:v>9.9481351288958599</c:v>
                </c:pt>
                <c:pt idx="169">
                  <c:v>9.9481352108329162</c:v>
                </c:pt>
                <c:pt idx="170">
                  <c:v>9.9481352849613085</c:v>
                </c:pt>
                <c:pt idx="171">
                  <c:v>9.9481353520252078</c:v>
                </c:pt>
                <c:pt idx="172">
                  <c:v>9.9481354126978641</c:v>
                </c:pt>
                <c:pt idx="173">
                  <c:v>9.9481354675883686</c:v>
                </c:pt>
                <c:pt idx="174">
                  <c:v>9.948135517247767</c:v>
                </c:pt>
                <c:pt idx="175">
                  <c:v>9.9481355621745848</c:v>
                </c:pt>
                <c:pt idx="176">
                  <c:v>9.9481356028198427</c:v>
                </c:pt>
                <c:pt idx="177">
                  <c:v>9.948135639591575</c:v>
                </c:pt>
                <c:pt idx="178">
                  <c:v>9.9481356728589336</c:v>
                </c:pt>
                <c:pt idx="179">
                  <c:v>9.9481357029558843</c:v>
                </c:pt>
                <c:pt idx="180">
                  <c:v>9.9481357301845765</c:v>
                </c:pt>
                <c:pt idx="181">
                  <c:v>9.9481357548183489</c:v>
                </c:pt>
                <c:pt idx="182">
                  <c:v>9.9481357771045076</c:v>
                </c:pt>
                <c:pt idx="183">
                  <c:v>9.9481357972667759</c:v>
                </c:pt>
                <c:pt idx="184">
                  <c:v>9.9481358155075643</c:v>
                </c:pt>
                <c:pt idx="185">
                  <c:v>9.9481358320099904</c:v>
                </c:pt>
                <c:pt idx="186">
                  <c:v>9.9481358469397243</c:v>
                </c:pt>
                <c:pt idx="187">
                  <c:v>9.9481358604466426</c:v>
                </c:pt>
                <c:pt idx="188">
                  <c:v>9.9481358726663416</c:v>
                </c:pt>
                <c:pt idx="189">
                  <c:v>9.948135883721493</c:v>
                </c:pt>
                <c:pt idx="190">
                  <c:v>9.9481358937230802</c:v>
                </c:pt>
                <c:pt idx="191">
                  <c:v>9.9481359027715079</c:v>
                </c:pt>
                <c:pt idx="192">
                  <c:v>9.948135910957614</c:v>
                </c:pt>
                <c:pt idx="193">
                  <c:v>9.948135918363576</c:v>
                </c:pt>
                <c:pt idx="194">
                  <c:v>9.9481359250637453</c:v>
                </c:pt>
                <c:pt idx="195">
                  <c:v>9.9481359311253836</c:v>
                </c:pt>
                <c:pt idx="196">
                  <c:v>9.9481359366093436</c:v>
                </c:pt>
                <c:pt idx="197">
                  <c:v>9.9481359415706763</c:v>
                </c:pt>
                <c:pt idx="198">
                  <c:v>9.9481359460591925</c:v>
                </c:pt>
                <c:pt idx="199">
                  <c:v>9.9481359501199478</c:v>
                </c:pt>
                <c:pt idx="200">
                  <c:v>9.9481359537937095</c:v>
                </c:pt>
              </c:numCache>
            </c:numRef>
          </c:yVal>
          <c:smooth val="1"/>
          <c:extLst>
            <c:ext xmlns:c16="http://schemas.microsoft.com/office/drawing/2014/chart" uri="{C3380CC4-5D6E-409C-BE32-E72D297353CC}">
              <c16:uniqueId val="{00000000-939F-4A03-A5F2-9C6563B8B600}"/>
            </c:ext>
          </c:extLst>
        </c:ser>
        <c:ser>
          <c:idx val="1"/>
          <c:order val="1"/>
          <c:spPr>
            <a:ln w="19050" cap="rnd">
              <a:solidFill>
                <a:schemeClr val="accent2"/>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Powering!$V$88:$V$288</c:f>
              <c:numCache>
                <c:formatCode>General</c:formatCode>
                <c:ptCount val="201"/>
                <c:pt idx="0">
                  <c:v>0.49484735498681731</c:v>
                </c:pt>
                <c:pt idx="1">
                  <c:v>0.97453273413851049</c:v>
                </c:pt>
                <c:pt idx="2">
                  <c:v>1.4395206958869033</c:v>
                </c:pt>
                <c:pt idx="3">
                  <c:v>1.8881196165963687</c:v>
                </c:pt>
                <c:pt idx="4">
                  <c:v>2.3207874100392649</c:v>
                </c:pt>
                <c:pt idx="5">
                  <c:v>2.7366991212235519</c:v>
                </c:pt>
                <c:pt idx="6">
                  <c:v>3.136037415211228</c:v>
                </c:pt>
                <c:pt idx="7">
                  <c:v>3.5188429697766344</c:v>
                </c:pt>
                <c:pt idx="8">
                  <c:v>3.884650385163515</c:v>
                </c:pt>
                <c:pt idx="9">
                  <c:v>4.2342144485793343</c:v>
                </c:pt>
                <c:pt idx="10">
                  <c:v>4.5666937342576901</c:v>
                </c:pt>
                <c:pt idx="11">
                  <c:v>4.8821912457506489</c:v>
                </c:pt>
                <c:pt idx="12">
                  <c:v>5.1815743473329361</c:v>
                </c:pt>
                <c:pt idx="13">
                  <c:v>5.4636687778562791</c:v>
                </c:pt>
                <c:pt idx="14">
                  <c:v>5.7282518525127006</c:v>
                </c:pt>
                <c:pt idx="15">
                  <c:v>5.9764106100775809</c:v>
                </c:pt>
                <c:pt idx="16">
                  <c:v>6.2091646100683739</c:v>
                </c:pt>
                <c:pt idx="17">
                  <c:v>6.4233312132208926</c:v>
                </c:pt>
                <c:pt idx="18">
                  <c:v>6.6199652764058339</c:v>
                </c:pt>
                <c:pt idx="19">
                  <c:v>6.8005020838981052</c:v>
                </c:pt>
                <c:pt idx="20">
                  <c:v>6.9662594218261011</c:v>
                </c:pt>
                <c:pt idx="21">
                  <c:v>7.1184471970428094</c:v>
                </c:pt>
                <c:pt idx="22">
                  <c:v>7.2571845000693536</c:v>
                </c:pt>
                <c:pt idx="23">
                  <c:v>7.3834025498968456</c:v>
                </c:pt>
                <c:pt idx="24">
                  <c:v>7.4982310477465361</c:v>
                </c:pt>
                <c:pt idx="25">
                  <c:v>7.6026977538669183</c:v>
                </c:pt>
                <c:pt idx="26">
                  <c:v>7.6977376863924452</c:v>
                </c:pt>
                <c:pt idx="27">
                  <c:v>7.784201490123829</c:v>
                </c:pt>
                <c:pt idx="28">
                  <c:v>7.8628630501337868</c:v>
                </c:pt>
                <c:pt idx="29">
                  <c:v>7.9344264183430244</c:v>
                </c:pt>
                <c:pt idx="30">
                  <c:v>7.9995321150620144</c:v>
                </c:pt>
                <c:pt idx="31">
                  <c:v>8.0587628618998632</c:v>
                </c:pt>
                <c:pt idx="32">
                  <c:v>8.1115929182546811</c:v>
                </c:pt>
                <c:pt idx="33">
                  <c:v>8.1587064674106227</c:v>
                </c:pt>
                <c:pt idx="34">
                  <c:v>8.2007220673782157</c:v>
                </c:pt>
                <c:pt idx="35">
                  <c:v>8.238191344736066</c:v>
                </c:pt>
                <c:pt idx="36">
                  <c:v>8.2716062369856704</c:v>
                </c:pt>
                <c:pt idx="37">
                  <c:v>8.3014054512429674</c:v>
                </c:pt>
                <c:pt idx="38">
                  <c:v>8.327980224063392</c:v>
                </c:pt>
                <c:pt idx="39">
                  <c:v>8.351679458021696</c:v>
                </c:pt>
                <c:pt idx="40">
                  <c:v>8.3728143024851143</c:v>
                </c:pt>
                <c:pt idx="41">
                  <c:v>8.3916622387213149</c:v>
                </c:pt>
                <c:pt idx="42">
                  <c:v>8.4084707229748297</c:v>
                </c:pt>
                <c:pt idx="43">
                  <c:v>8.4234604353422782</c:v>
                </c:pt>
                <c:pt idx="44">
                  <c:v>8.4368281771011393</c:v>
                </c:pt>
                <c:pt idx="45">
                  <c:v>8.4487494545313613</c:v>
                </c:pt>
                <c:pt idx="46">
                  <c:v>8.4593807831530512</c:v>
                </c:pt>
                <c:pt idx="47">
                  <c:v>8.468861742632761</c:v>
                </c:pt>
                <c:pt idx="48">
                  <c:v>8.4773168093374576</c:v>
                </c:pt>
                <c:pt idx="49">
                  <c:v>8.4848569905958886</c:v>
                </c:pt>
                <c:pt idx="50">
                  <c:v>8.4915812821237644</c:v>
                </c:pt>
                <c:pt idx="51">
                  <c:v>8.4975779677473735</c:v>
                </c:pt>
                <c:pt idx="52">
                  <c:v>8.502925778489864</c:v>
                </c:pt>
                <c:pt idx="53">
                  <c:v>8.507694926237896</c:v>
                </c:pt>
                <c:pt idx="54">
                  <c:v>8.5119480255597999</c:v>
                </c:pt>
                <c:pt idx="55">
                  <c:v>8.5157409157778599</c:v>
                </c:pt>
                <c:pt idx="56">
                  <c:v>8.5191233940877726</c:v>
                </c:pt>
                <c:pt idx="57">
                  <c:v>8.5221398693505019</c:v>
                </c:pt>
                <c:pt idx="58">
                  <c:v>8.5248299451401977</c:v>
                </c:pt>
                <c:pt idx="59">
                  <c:v>8.5272289397030612</c:v>
                </c:pt>
                <c:pt idx="60">
                  <c:v>8.529368349653776</c:v>
                </c:pt>
                <c:pt idx="61">
                  <c:v>8.5312762634973787</c:v>
                </c:pt>
                <c:pt idx="62">
                  <c:v>8.532977730405765</c:v>
                </c:pt>
                <c:pt idx="63">
                  <c:v>8.5344950890905089</c:v>
                </c:pt>
                <c:pt idx="64">
                  <c:v>8.5358482610898108</c:v>
                </c:pt>
                <c:pt idx="65">
                  <c:v>8.5370550123201578</c:v>
                </c:pt>
                <c:pt idx="66">
                  <c:v>8.5381311863266394</c:v>
                </c:pt>
                <c:pt idx="67">
                  <c:v>8.5390909122942631</c:v>
                </c:pt>
                <c:pt idx="68">
                  <c:v>8.539946790551296</c:v>
                </c:pt>
                <c:pt idx="69">
                  <c:v>8.5407100580000996</c:v>
                </c:pt>
                <c:pt idx="70">
                  <c:v>8.5413907356474397</c:v>
                </c:pt>
                <c:pt idx="71">
                  <c:v>8.5419977601711672</c:v>
                </c:pt>
                <c:pt idx="72">
                  <c:v>8.5425391012506733</c:v>
                </c:pt>
                <c:pt idx="73">
                  <c:v>8.5430218662015225</c:v>
                </c:pt>
                <c:pt idx="74">
                  <c:v>8.54345239328803</c:v>
                </c:pt>
                <c:pt idx="75">
                  <c:v>8.5438363349389164</c:v>
                </c:pt>
                <c:pt idx="76">
                  <c:v>8.5441787319585316</c:v>
                </c:pt>
                <c:pt idx="77">
                  <c:v>8.5444840797080435</c:v>
                </c:pt>
                <c:pt idx="78">
                  <c:v>8.5447563871254282</c:v>
                </c:pt>
                <c:pt idx="79">
                  <c:v>8.5449992293591812</c:v>
                </c:pt>
                <c:pt idx="80">
                  <c:v>8.545215794706758</c:v>
                </c:pt>
                <c:pt idx="81">
                  <c:v>8.5454089264740247</c:v>
                </c:pt>
                <c:pt idx="82">
                  <c:v>8.5455811603052645</c:v>
                </c:pt>
                <c:pt idx="83">
                  <c:v>8.5457347574738911</c:v>
                </c:pt>
                <c:pt idx="84">
                  <c:v>8.5458717345709001</c:v>
                </c:pt>
                <c:pt idx="85">
                  <c:v>8.5459938899808776</c:v>
                </c:pt>
                <c:pt idx="86">
                  <c:v>8.5461028274931543</c:v>
                </c:pt>
                <c:pt idx="87">
                  <c:v>8.546199977358091</c:v>
                </c:pt>
                <c:pt idx="88">
                  <c:v>8.546286615064977</c:v>
                </c:pt>
                <c:pt idx="89">
                  <c:v>8.5463638780880302</c:v>
                </c:pt>
                <c:pt idx="90">
                  <c:v>8.5464327808204104</c:v>
                </c:pt>
                <c:pt idx="91">
                  <c:v>8.5464942278922642</c:v>
                </c:pt>
                <c:pt idx="92">
                  <c:v>8.5465490260477086</c:v>
                </c:pt>
                <c:pt idx="93">
                  <c:v>8.5465978947366406</c:v>
                </c:pt>
                <c:pt idx="94">
                  <c:v>8.5466414755604561</c:v>
                </c:pt>
                <c:pt idx="95">
                  <c:v>8.5466803406956995</c:v>
                </c:pt>
                <c:pt idx="96">
                  <c:v>8.5467150004062127</c:v>
                </c:pt>
                <c:pt idx="97">
                  <c:v>8.5467459097424463</c:v>
                </c:pt>
                <c:pt idx="98">
                  <c:v>8.5467734745158417</c:v>
                </c:pt>
                <c:pt idx="99">
                  <c:v>8.546798056626784</c:v>
                </c:pt>
                <c:pt idx="100">
                  <c:v>8.5468199788160106</c:v>
                </c:pt>
                <c:pt idx="101">
                  <c:v>8.5468395289019092</c:v>
                </c:pt>
                <c:pt idx="102">
                  <c:v>8.5468569635593088</c:v>
                </c:pt>
                <c:pt idx="103">
                  <c:v>8.54687251168939</c:v>
                </c:pt>
                <c:pt idx="104">
                  <c:v>8.5468863774249471</c:v>
                </c:pt>
                <c:pt idx="105">
                  <c:v>8.5468987428104644</c:v>
                </c:pt>
                <c:pt idx="106">
                  <c:v>8.5469097701921974</c:v>
                </c:pt>
                <c:pt idx="107">
                  <c:v>8.5469196043496289</c:v>
                </c:pt>
                <c:pt idx="108">
                  <c:v>8.5469283743962947</c:v>
                </c:pt>
                <c:pt idx="109">
                  <c:v>8.5469361954749221</c:v>
                </c:pt>
                <c:pt idx="110">
                  <c:v>8.5469431702691541</c:v>
                </c:pt>
                <c:pt idx="111">
                  <c:v>8.546949390351692</c:v>
                </c:pt>
                <c:pt idx="112">
                  <c:v>8.5469549373865537</c:v>
                </c:pt>
                <c:pt idx="113">
                  <c:v>8.5469598842012591</c:v>
                </c:pt>
                <c:pt idx="114">
                  <c:v>8.5469642957429812</c:v>
                </c:pt>
                <c:pt idx="115">
                  <c:v>8.5469682299312453</c:v>
                </c:pt>
                <c:pt idx="116">
                  <c:v>8.5469717384183657</c:v>
                </c:pt>
                <c:pt idx="117">
                  <c:v>8.5469748672675792</c:v>
                </c:pt>
                <c:pt idx="118">
                  <c:v>8.5469776575578322</c:v>
                </c:pt>
                <c:pt idx="119">
                  <c:v>8.5469801459230936</c:v>
                </c:pt>
                <c:pt idx="120">
                  <c:v>8.5469823650333332</c:v>
                </c:pt>
                <c:pt idx="121">
                  <c:v>8.5469843440234499</c:v>
                </c:pt>
                <c:pt idx="122">
                  <c:v>8.5469861088757817</c:v>
                </c:pt>
                <c:pt idx="123">
                  <c:v>8.5469876827612321</c:v>
                </c:pt>
                <c:pt idx="124">
                  <c:v>8.5469890863434852</c:v>
                </c:pt>
                <c:pt idx="125">
                  <c:v>8.5469903380502998</c:v>
                </c:pt>
                <c:pt idx="126">
                  <c:v>8.5469914543154442</c:v>
                </c:pt>
                <c:pt idx="127">
                  <c:v>8.546992449794466</c:v>
                </c:pt>
                <c:pt idx="128">
                  <c:v>8.5469933375570957</c:v>
                </c:pt>
                <c:pt idx="129">
                  <c:v>8.5469941292588505</c:v>
                </c:pt>
                <c:pt idx="130">
                  <c:v>8.5469948352940524</c:v>
                </c:pt>
                <c:pt idx="131">
                  <c:v>8.5469954649323014</c:v>
                </c:pt>
                <c:pt idx="132">
                  <c:v>8.5469960264401763</c:v>
                </c:pt>
                <c:pt idx="133">
                  <c:v>8.5469965271897621</c:v>
                </c:pt>
                <c:pt idx="134">
                  <c:v>8.5469969737554461</c:v>
                </c:pt>
                <c:pt idx="135">
                  <c:v>8.5469973720002272</c:v>
                </c:pt>
                <c:pt idx="136">
                  <c:v>8.5469977271526982</c:v>
                </c:pt>
                <c:pt idx="137">
                  <c:v>8.5469980438756892</c:v>
                </c:pt>
                <c:pt idx="138">
                  <c:v>8.5469983263274809</c:v>
                </c:pt>
                <c:pt idx="139">
                  <c:v>8.5469985782164137</c:v>
                </c:pt>
                <c:pt idx="140">
                  <c:v>8.546998802849556</c:v>
                </c:pt>
                <c:pt idx="141">
                  <c:v>8.546999003176138</c:v>
                </c:pt>
                <c:pt idx="142">
                  <c:v>8.5469991818262638</c:v>
                </c:pt>
                <c:pt idx="143">
                  <c:v>8.5469993411454492</c:v>
                </c:pt>
                <c:pt idx="144">
                  <c:v>8.5469994832254095</c:v>
                </c:pt>
                <c:pt idx="145">
                  <c:v>8.5469996099315235</c:v>
                </c:pt>
                <c:pt idx="146">
                  <c:v>8.5469997229273282</c:v>
                </c:pt>
                <c:pt idx="147">
                  <c:v>8.5469998236963569</c:v>
                </c:pt>
                <c:pt idx="148">
                  <c:v>8.5469999135616117</c:v>
                </c:pt>
                <c:pt idx="149">
                  <c:v>8.5469999937029435</c:v>
                </c:pt>
                <c:pt idx="150">
                  <c:v>8.5470000651725382</c:v>
                </c:pt>
                <c:pt idx="151">
                  <c:v>8.5470001289087225</c:v>
                </c:pt>
                <c:pt idx="152">
                  <c:v>8.5470001857482938</c:v>
                </c:pt>
                <c:pt idx="153">
                  <c:v>8.5470002364375084</c:v>
                </c:pt>
                <c:pt idx="154">
                  <c:v>8.5470002816418642</c:v>
                </c:pt>
                <c:pt idx="155">
                  <c:v>8.5470003219548598</c:v>
                </c:pt>
                <c:pt idx="156">
                  <c:v>8.5470003579057625</c:v>
                </c:pt>
                <c:pt idx="157">
                  <c:v>8.547000389966577</c:v>
                </c:pt>
                <c:pt idx="158">
                  <c:v>8.5470004185582322</c:v>
                </c:pt>
                <c:pt idx="159">
                  <c:v>8.5470004440561098</c:v>
                </c:pt>
                <c:pt idx="160">
                  <c:v>8.5470004667949748</c:v>
                </c:pt>
                <c:pt idx="161">
                  <c:v>8.5470004870733689</c:v>
                </c:pt>
                <c:pt idx="162">
                  <c:v>8.5470005051575271</c:v>
                </c:pt>
                <c:pt idx="163">
                  <c:v>8.5470005212848772</c:v>
                </c:pt>
                <c:pt idx="164">
                  <c:v>8.5470005356671592</c:v>
                </c:pt>
                <c:pt idx="165">
                  <c:v>8.5470005484931963</c:v>
                </c:pt>
                <c:pt idx="166">
                  <c:v>8.5470005599313854</c:v>
                </c:pt>
                <c:pt idx="167">
                  <c:v>8.5470005701318996</c:v>
                </c:pt>
                <c:pt idx="168">
                  <c:v>8.5470005792286585</c:v>
                </c:pt>
                <c:pt idx="169">
                  <c:v>8.547000587341099</c:v>
                </c:pt>
                <c:pt idx="170">
                  <c:v>8.5470005945757297</c:v>
                </c:pt>
                <c:pt idx="171">
                  <c:v>8.5470006010275306</c:v>
                </c:pt>
                <c:pt idx="172">
                  <c:v>8.5470006067812108</c:v>
                </c:pt>
                <c:pt idx="173">
                  <c:v>8.5470006119123116</c:v>
                </c:pt>
                <c:pt idx="174">
                  <c:v>8.547000616488198</c:v>
                </c:pt>
                <c:pt idx="175">
                  <c:v>8.5470006205689479</c:v>
                </c:pt>
                <c:pt idx="176">
                  <c:v>8.5470006242081382</c:v>
                </c:pt>
                <c:pt idx="177">
                  <c:v>8.5470006274535475</c:v>
                </c:pt>
                <c:pt idx="178">
                  <c:v>8.5470006303477852</c:v>
                </c:pt>
                <c:pt idx="179">
                  <c:v>8.5470006329288513</c:v>
                </c:pt>
                <c:pt idx="180">
                  <c:v>8.5470006352306314</c:v>
                </c:pt>
                <c:pt idx="181">
                  <c:v>8.5470006372833449</c:v>
                </c:pt>
                <c:pt idx="182">
                  <c:v>8.5470006391139446</c:v>
                </c:pt>
                <c:pt idx="183">
                  <c:v>8.5470006407464627</c:v>
                </c:pt>
                <c:pt idx="184">
                  <c:v>8.5470006422023328</c:v>
                </c:pt>
                <c:pt idx="185">
                  <c:v>8.5470006435006685</c:v>
                </c:pt>
                <c:pt idx="186">
                  <c:v>8.5470006446585192</c:v>
                </c:pt>
                <c:pt idx="187">
                  <c:v>8.5470006456910834</c:v>
                </c:pt>
                <c:pt idx="188">
                  <c:v>8.5470006466119184</c:v>
                </c:pt>
                <c:pt idx="189">
                  <c:v>8.5470006474331139</c:v>
                </c:pt>
                <c:pt idx="190">
                  <c:v>8.5470006481654508</c:v>
                </c:pt>
                <c:pt idx="191">
                  <c:v>8.5470006488185462</c:v>
                </c:pt>
                <c:pt idx="192">
                  <c:v>8.5470006494009709</c:v>
                </c:pt>
                <c:pt idx="193">
                  <c:v>8.5470006499203759</c:v>
                </c:pt>
                <c:pt idx="194">
                  <c:v>8.5470006503835787</c:v>
                </c:pt>
                <c:pt idx="195">
                  <c:v>8.5470006507966598</c:v>
                </c:pt>
                <c:pt idx="196">
                  <c:v>8.5470006511650425</c:v>
                </c:pt>
                <c:pt idx="197">
                  <c:v>8.5470006514935655</c:v>
                </c:pt>
                <c:pt idx="198">
                  <c:v>8.54700065178654</c:v>
                </c:pt>
                <c:pt idx="199">
                  <c:v>8.5470006520478119</c:v>
                </c:pt>
                <c:pt idx="200">
                  <c:v>8.5470006522808131</c:v>
                </c:pt>
              </c:numCache>
            </c:numRef>
          </c:yVal>
          <c:smooth val="1"/>
          <c:extLst>
            <c:ext xmlns:c16="http://schemas.microsoft.com/office/drawing/2014/chart" uri="{C3380CC4-5D6E-409C-BE32-E72D297353CC}">
              <c16:uniqueId val="{00000001-939F-4A03-A5F2-9C6563B8B600}"/>
            </c:ext>
          </c:extLst>
        </c:ser>
        <c:dLbls>
          <c:showLegendKey val="0"/>
          <c:showVal val="0"/>
          <c:showCatName val="0"/>
          <c:showSerName val="0"/>
          <c:showPercent val="0"/>
          <c:showBubbleSize val="0"/>
        </c:dLbls>
        <c:axId val="1167372831"/>
        <c:axId val="1167373791"/>
      </c:scatterChart>
      <c:valAx>
        <c:axId val="1167372831"/>
        <c:scaling>
          <c:orientation val="minMax"/>
          <c:max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(Seconds)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5"/>
      </c:valAx>
      <c:valAx>
        <c:axId val="1167373791"/>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Speed</a:t>
                </a:r>
                <a:r>
                  <a:rPr lang="en-GB" baseline="0"/>
                  <a:t> (kts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Powering!$O$88:$O$288</c:f>
              <c:numCache>
                <c:formatCode>General</c:formatCode>
                <c:ptCount val="201"/>
                <c:pt idx="0">
                  <c:v>0</c:v>
                </c:pt>
                <c:pt idx="1">
                  <c:v>0.5407406754449412</c:v>
                </c:pt>
                <c:pt idx="2">
                  <c:v>1.3391598535464944</c:v>
                </c:pt>
                <c:pt idx="3">
                  <c:v>2.3863966275619379</c:v>
                </c:pt>
                <c:pt idx="4">
                  <c:v>3.67383451141212</c:v>
                </c:pt>
                <c:pt idx="5">
                  <c:v>5.1924608700142834</c:v>
                </c:pt>
                <c:pt idx="6">
                  <c:v>6.9336012332141808</c:v>
                </c:pt>
                <c:pt idx="7">
                  <c:v>8.8882825504121357</c:v>
                </c:pt>
                <c:pt idx="8">
                  <c:v>11.047823322762607</c:v>
                </c:pt>
                <c:pt idx="9">
                  <c:v>13.403570526038411</c:v>
                </c:pt>
                <c:pt idx="10">
                  <c:v>15.946932532933495</c:v>
                </c:pt>
                <c:pt idx="11">
                  <c:v>18.669693932453459</c:v>
                </c:pt>
                <c:pt idx="12">
                  <c:v>21.563520339156963</c:v>
                </c:pt>
                <c:pt idx="13">
                  <c:v>24.620384960610146</c:v>
                </c:pt>
                <c:pt idx="14">
                  <c:v>27.832637641295356</c:v>
                </c:pt>
                <c:pt idx="15">
                  <c:v>31.191810446296238</c:v>
                </c:pt>
                <c:pt idx="16">
                  <c:v>34.689661499638518</c:v>
                </c:pt>
                <c:pt idx="17">
                  <c:v>38.318411275348581</c:v>
                </c:pt>
                <c:pt idx="18">
                  <c:v>42.070176840335556</c:v>
                </c:pt>
                <c:pt idx="19">
                  <c:v>45.935897721629786</c:v>
                </c:pt>
                <c:pt idx="20">
                  <c:v>49.907180776617473</c:v>
                </c:pt>
                <c:pt idx="21">
                  <c:v>53.97625104220657</c:v>
                </c:pt>
                <c:pt idx="22">
                  <c:v>58.135906204095477</c:v>
                </c:pt>
                <c:pt idx="23">
                  <c:v>62.379185027640347</c:v>
                </c:pt>
                <c:pt idx="24">
                  <c:v>66.699420570335832</c:v>
                </c:pt>
                <c:pt idx="25">
                  <c:v>71.090477415341567</c:v>
                </c:pt>
                <c:pt idx="26">
                  <c:v>75.546709295305632</c:v>
                </c:pt>
                <c:pt idx="27">
                  <c:v>80.062920094652057</c:v>
                </c:pt>
                <c:pt idx="28">
                  <c:v>84.634327960982404</c:v>
                </c:pt>
                <c:pt idx="29">
                  <c:v>89.256532277715692</c:v>
                </c:pt>
                <c:pt idx="30">
                  <c:v>93.925483269852762</c:v>
                </c:pt>
                <c:pt idx="31">
                  <c:v>98.636785061450453</c:v>
                </c:pt>
                <c:pt idx="32">
                  <c:v>103.38640158833512</c:v>
                </c:pt>
                <c:pt idx="33">
                  <c:v>108.17068142639238</c:v>
                </c:pt>
                <c:pt idx="34">
                  <c:v>112.98632113506986</c:v>
                </c:pt>
                <c:pt idx="35">
                  <c:v>117.83033209427273</c:v>
                </c:pt>
                <c:pt idx="36">
                  <c:v>122.70001050172891</c:v>
                </c:pt>
                <c:pt idx="37">
                  <c:v>127.59291022962867</c:v>
                </c:pt>
                <c:pt idx="38">
                  <c:v>132.50681826804777</c:v>
                </c:pt>
                <c:pt idx="39">
                  <c:v>137.43973250863129</c:v>
                </c:pt>
                <c:pt idx="40">
                  <c:v>142.38984164550999</c:v>
                </c:pt>
                <c:pt idx="41">
                  <c:v>147.35550699167459</c:v>
                </c:pt>
                <c:pt idx="42">
                  <c:v>152.33524602826418</c:v>
                </c:pt>
                <c:pt idx="43">
                  <c:v>157.32771752161992</c:v>
                </c:pt>
                <c:pt idx="44">
                  <c:v>162.33170805869526</c:v>
                </c:pt>
                <c:pt idx="45">
                  <c:v>167.3461198656521</c:v>
                </c:pt>
                <c:pt idx="46">
                  <c:v>172.36995978735411</c:v>
                </c:pt>
                <c:pt idx="47">
                  <c:v>177.40232931712293</c:v>
                </c:pt>
                <c:pt idx="48">
                  <c:v>182.44241557666652</c:v>
                </c:pt>
                <c:pt idx="49">
                  <c:v>187.48948315562714</c:v>
                </c:pt>
                <c:pt idx="50">
                  <c:v>192.54286672882691</c:v>
                </c:pt>
                <c:pt idx="51">
                  <c:v>197.60196437709561</c:v>
                </c:pt>
                <c:pt idx="52">
                  <c:v>202.66623154462877</c:v>
                </c:pt>
                <c:pt idx="53">
                  <c:v>207.73517557221416</c:v>
                </c:pt>
                <c:pt idx="54">
                  <c:v>212.80835075144626</c:v>
                </c:pt>
                <c:pt idx="55">
                  <c:v>217.88535385027765</c:v>
                </c:pt>
                <c:pt idx="56">
                  <c:v>222.96582006498915</c:v>
                </c:pt>
                <c:pt idx="57">
                  <c:v>228.04941935794011</c:v>
                </c:pt>
                <c:pt idx="58">
                  <c:v>233.13585314433413</c:v>
                </c:pt>
                <c:pt idx="59">
                  <c:v>238.22485129473844</c:v>
                </c:pt>
                <c:pt idx="60">
                  <c:v>243.31616942326556</c:v>
                </c:pt>
                <c:pt idx="61">
                  <c:v>248.4095864341935</c:v>
                </c:pt>
                <c:pt idx="62">
                  <c:v>253.50490230239473</c:v>
                </c:pt>
                <c:pt idx="63">
                  <c:v>258.60193606529214</c:v>
                </c:pt>
                <c:pt idx="64">
                  <c:v>263.70052400618323</c:v>
                </c:pt>
                <c:pt idx="65">
                  <c:v>268.80051801069476</c:v>
                </c:pt>
                <c:pt idx="66">
                  <c:v>273.90178407986855</c:v>
                </c:pt>
                <c:pt idx="67">
                  <c:v>279.00420098495152</c:v>
                </c:pt>
                <c:pt idx="68">
                  <c:v>284.10765905038522</c:v>
                </c:pt>
                <c:pt idx="69">
                  <c:v>289.21205905277731</c:v>
                </c:pt>
                <c:pt idx="70">
                  <c:v>294.31731122480198</c:v>
                </c:pt>
                <c:pt idx="71">
                  <c:v>299.42333435402958</c:v>
                </c:pt>
                <c:pt idx="72">
                  <c:v>304.53005496763819</c:v>
                </c:pt>
                <c:pt idx="73">
                  <c:v>309.63740659482306</c:v>
                </c:pt>
                <c:pt idx="74">
                  <c:v>314.74532909949892</c:v>
                </c:pt>
                <c:pt idx="75">
                  <c:v>319.85376807659628</c:v>
                </c:pt>
                <c:pt idx="76">
                  <c:v>324.96267430589108</c:v>
                </c:pt>
                <c:pt idx="77">
                  <c:v>330.07200325788494</c:v>
                </c:pt>
                <c:pt idx="78">
                  <c:v>335.18171464677545</c:v>
                </c:pt>
                <c:pt idx="79">
                  <c:v>340.29177202602853</c:v>
                </c:pt>
                <c:pt idx="80">
                  <c:v>345.40214242249306</c:v>
                </c:pt>
                <c:pt idx="81">
                  <c:v>350.5127960053851</c:v>
                </c:pt>
                <c:pt idx="82">
                  <c:v>355.62370578681748</c:v>
                </c:pt>
                <c:pt idx="83">
                  <c:v>360.73484735086976</c:v>
                </c:pt>
                <c:pt idx="84">
                  <c:v>365.84619860847778</c:v>
                </c:pt>
                <c:pt idx="85">
                  <c:v>370.9577395756823</c:v>
                </c:pt>
                <c:pt idx="86">
                  <c:v>376.06945217301109</c:v>
                </c:pt>
                <c:pt idx="87">
                  <c:v>381.18132004397955</c:v>
                </c:pt>
                <c:pt idx="88">
                  <c:v>386.29332839088897</c:v>
                </c:pt>
                <c:pt idx="89">
                  <c:v>391.40546382627269</c:v>
                </c:pt>
                <c:pt idx="90">
                  <c:v>396.51771423850016</c:v>
                </c:pt>
                <c:pt idx="91">
                  <c:v>401.63006867018862</c:v>
                </c:pt>
                <c:pt idx="92">
                  <c:v>406.74251720820246</c:v>
                </c:pt>
                <c:pt idx="93">
                  <c:v>411.85505088413555</c:v>
                </c:pt>
                <c:pt idx="94">
                  <c:v>416.96766158427783</c:v>
                </c:pt>
                <c:pt idx="95">
                  <c:v>422.08034196816226</c:v>
                </c:pt>
                <c:pt idx="96">
                  <c:v>427.19308539487383</c:v>
                </c:pt>
                <c:pt idx="97">
                  <c:v>432.30588585638208</c:v>
                </c:pt>
                <c:pt idx="98">
                  <c:v>437.41873791722645</c:v>
                </c:pt>
                <c:pt idx="99">
                  <c:v>442.53163665995004</c:v>
                </c:pt>
                <c:pt idx="100">
                  <c:v>447.64457763573341</c:v>
                </c:pt>
                <c:pt idx="101">
                  <c:v>452.75755681973305</c:v>
                </c:pt>
                <c:pt idx="102">
                  <c:v>457.87057057067619</c:v>
                </c:pt>
                <c:pt idx="103">
                  <c:v>462.98361559430617</c:v>
                </c:pt>
                <c:pt idx="104">
                  <c:v>468.09668891031163</c:v>
                </c:pt>
                <c:pt idx="105">
                  <c:v>473.20978782240712</c:v>
                </c:pt>
                <c:pt idx="106">
                  <c:v>478.32290989126528</c:v>
                </c:pt>
                <c:pt idx="107">
                  <c:v>483.43605291002865</c:v>
                </c:pt>
                <c:pt idx="108">
                  <c:v>488.54921488215496</c:v>
                </c:pt>
                <c:pt idx="109">
                  <c:v>493.66239400137391</c:v>
                </c:pt>
                <c:pt idx="110">
                  <c:v>498.77558863355426</c:v>
                </c:pt>
                <c:pt idx="111">
                  <c:v>503.88879730029868</c:v>
                </c:pt>
                <c:pt idx="112">
                  <c:v>509.00201866410225</c:v>
                </c:pt>
                <c:pt idx="113">
                  <c:v>514.11525151492538</c:v>
                </c:pt>
                <c:pt idx="114">
                  <c:v>519.22849475804617</c:v>
                </c:pt>
                <c:pt idx="115">
                  <c:v>524.3417474030706</c:v>
                </c:pt>
                <c:pt idx="116">
                  <c:v>529.45500855398984</c:v>
                </c:pt>
                <c:pt idx="117">
                  <c:v>534.56827740018559</c:v>
                </c:pt>
                <c:pt idx="118">
                  <c:v>539.68155320829192</c:v>
                </c:pt>
                <c:pt idx="119">
                  <c:v>544.79483531483334</c:v>
                </c:pt>
                <c:pt idx="120">
                  <c:v>549.90812311956404</c:v>
                </c:pt>
                <c:pt idx="121">
                  <c:v>555.02141607944225</c:v>
                </c:pt>
                <c:pt idx="122">
                  <c:v>560.13471370317836</c:v>
                </c:pt>
                <c:pt idx="123">
                  <c:v>565.24801554630301</c:v>
                </c:pt>
                <c:pt idx="124">
                  <c:v>570.36132120670527</c:v>
                </c:pt>
                <c:pt idx="125">
                  <c:v>575.47463032059557</c:v>
                </c:pt>
                <c:pt idx="126">
                  <c:v>580.5879425588538</c:v>
                </c:pt>
                <c:pt idx="127">
                  <c:v>585.70125762372527</c:v>
                </c:pt>
                <c:pt idx="128">
                  <c:v>590.81457524583163</c:v>
                </c:pt>
                <c:pt idx="129">
                  <c:v>595.92789518146628</c:v>
                </c:pt>
                <c:pt idx="130">
                  <c:v>601.04121721014826</c:v>
                </c:pt>
                <c:pt idx="131">
                  <c:v>606.15454113240844</c:v>
                </c:pt>
                <c:pt idx="132">
                  <c:v>611.26786676778738</c:v>
                </c:pt>
                <c:pt idx="133">
                  <c:v>616.38119395302351</c:v>
                </c:pt>
                <c:pt idx="134">
                  <c:v>621.49452254041432</c:v>
                </c:pt>
                <c:pt idx="135">
                  <c:v>626.60785239633333</c:v>
                </c:pt>
                <c:pt idx="136">
                  <c:v>631.72118339988879</c:v>
                </c:pt>
                <c:pt idx="137">
                  <c:v>636.8345154417101</c:v>
                </c:pt>
                <c:pt idx="138">
                  <c:v>641.94784842284969</c:v>
                </c:pt>
                <c:pt idx="139">
                  <c:v>647.06118225378975</c:v>
                </c:pt>
                <c:pt idx="140">
                  <c:v>652.17451685354365</c:v>
                </c:pt>
                <c:pt idx="141">
                  <c:v>657.28785214884283</c:v>
                </c:pt>
                <c:pt idx="142">
                  <c:v>662.40118807340139</c:v>
                </c:pt>
                <c:pt idx="143">
                  <c:v>667.51452456725031</c:v>
                </c:pt>
                <c:pt idx="144">
                  <c:v>672.62786157613573</c:v>
                </c:pt>
                <c:pt idx="145">
                  <c:v>677.74119905097439</c:v>
                </c:pt>
                <c:pt idx="146">
                  <c:v>682.85453694736054</c:v>
                </c:pt>
                <c:pt idx="147">
                  <c:v>687.96787522512034</c:v>
                </c:pt>
                <c:pt idx="148">
                  <c:v>693.08121384790866</c:v>
                </c:pt>
                <c:pt idx="149">
                  <c:v>698.19455278284397</c:v>
                </c:pt>
                <c:pt idx="150">
                  <c:v>703.30789200017841</c:v>
                </c:pt>
                <c:pt idx="151">
                  <c:v>708.42123147299912</c:v>
                </c:pt>
                <c:pt idx="152">
                  <c:v>713.53457117695802</c:v>
                </c:pt>
                <c:pt idx="153">
                  <c:v>718.64791109002761</c:v>
                </c:pt>
                <c:pt idx="154">
                  <c:v>723.76125119227936</c:v>
                </c:pt>
                <c:pt idx="155">
                  <c:v>728.87459146568403</c:v>
                </c:pt>
                <c:pt idx="156">
                  <c:v>733.98793189393064</c:v>
                </c:pt>
                <c:pt idx="157">
                  <c:v>739.10127246226273</c:v>
                </c:pt>
                <c:pt idx="158">
                  <c:v>744.21461315732995</c:v>
                </c:pt>
                <c:pt idx="159">
                  <c:v>749.32795396705433</c:v>
                </c:pt>
                <c:pt idx="160">
                  <c:v>754.44129488050896</c:v>
                </c:pt>
                <c:pt idx="161">
                  <c:v>759.55463588780833</c:v>
                </c:pt>
                <c:pt idx="162">
                  <c:v>764.66797698000892</c:v>
                </c:pt>
                <c:pt idx="163">
                  <c:v>769.78131814901963</c:v>
                </c:pt>
                <c:pt idx="164">
                  <c:v>774.89465938752028</c:v>
                </c:pt>
                <c:pt idx="165">
                  <c:v>780.0080006888885</c:v>
                </c:pt>
                <c:pt idx="166">
                  <c:v>785.121342047133</c:v>
                </c:pt>
                <c:pt idx="167">
                  <c:v>790.23468345683341</c:v>
                </c:pt>
                <c:pt idx="168">
                  <c:v>795.34802491308585</c:v>
                </c:pt>
                <c:pt idx="169">
                  <c:v>800.46136641145392</c:v>
                </c:pt>
                <c:pt idx="170">
                  <c:v>805.57470794792403</c:v>
                </c:pt>
                <c:pt idx="171">
                  <c:v>810.688049518865</c:v>
                </c:pt>
                <c:pt idx="172">
                  <c:v>815.80139112099175</c:v>
                </c:pt>
                <c:pt idx="173">
                  <c:v>820.91473275133217</c:v>
                </c:pt>
                <c:pt idx="174">
                  <c:v>826.02807440719755</c:v>
                </c:pt>
                <c:pt idx="175">
                  <c:v>831.14141608615523</c:v>
                </c:pt>
                <c:pt idx="176">
                  <c:v>836.25475778600457</c:v>
                </c:pt>
                <c:pt idx="177">
                  <c:v>841.3680995047547</c:v>
                </c:pt>
                <c:pt idx="178">
                  <c:v>846.48144124060423</c:v>
                </c:pt>
                <c:pt idx="179">
                  <c:v>851.59478299192358</c:v>
                </c:pt>
                <c:pt idx="180">
                  <c:v>856.70812475723847</c:v>
                </c:pt>
                <c:pt idx="181">
                  <c:v>861.82146653521511</c:v>
                </c:pt>
                <c:pt idx="182">
                  <c:v>866.93480832464684</c:v>
                </c:pt>
                <c:pt idx="183">
                  <c:v>872.04815012444192</c:v>
                </c:pt>
                <c:pt idx="184">
                  <c:v>877.16149193361275</c:v>
                </c:pt>
                <c:pt idx="185">
                  <c:v>882.27483375126587</c:v>
                </c:pt>
                <c:pt idx="186">
                  <c:v>887.38817557659286</c:v>
                </c:pt>
                <c:pt idx="187">
                  <c:v>892.50151740886247</c:v>
                </c:pt>
                <c:pt idx="188">
                  <c:v>897.61485924741294</c:v>
                </c:pt>
                <c:pt idx="189">
                  <c:v>902.72820109164581</c:v>
                </c:pt>
                <c:pt idx="190">
                  <c:v>907.8415429410195</c:v>
                </c:pt>
                <c:pt idx="191">
                  <c:v>912.95488479504411</c:v>
                </c:pt>
                <c:pt idx="192">
                  <c:v>918.06822665327627</c:v>
                </c:pt>
                <c:pt idx="193">
                  <c:v>923.18156851531512</c:v>
                </c:pt>
                <c:pt idx="194">
                  <c:v>928.29491038079789</c:v>
                </c:pt>
                <c:pt idx="195">
                  <c:v>933.40825224939636</c:v>
                </c:pt>
                <c:pt idx="196">
                  <c:v>938.52159412081357</c:v>
                </c:pt>
                <c:pt idx="197">
                  <c:v>943.6349359947809</c:v>
                </c:pt>
                <c:pt idx="198">
                  <c:v>948.74827787105528</c:v>
                </c:pt>
                <c:pt idx="199">
                  <c:v>953.86161974941695</c:v>
                </c:pt>
                <c:pt idx="200">
                  <c:v>958.97496162966695</c:v>
                </c:pt>
              </c:numCache>
            </c:numRef>
          </c:yVal>
          <c:smooth val="1"/>
          <c:extLst>
            <c:ext xmlns:c16="http://schemas.microsoft.com/office/drawing/2014/chart" uri="{C3380CC4-5D6E-409C-BE32-E72D297353CC}">
              <c16:uniqueId val="{00000000-2859-4E67-96EF-F1DF2516FC43}"/>
            </c:ext>
          </c:extLst>
        </c:ser>
        <c:ser>
          <c:idx val="1"/>
          <c:order val="1"/>
          <c:spPr>
            <a:ln w="19050" cap="rnd">
              <a:solidFill>
                <a:schemeClr val="accent2"/>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Powering!$W$88:$W$288</c:f>
              <c:numCache>
                <c:formatCode>General</c:formatCode>
                <c:ptCount val="201"/>
                <c:pt idx="0">
                  <c:v>0</c:v>
                </c:pt>
                <c:pt idx="1">
                  <c:v>0.50090982534719442</c:v>
                </c:pt>
                <c:pt idx="2">
                  <c:v>1.2408234630330628</c:v>
                </c:pt>
                <c:pt idx="3">
                  <c:v>2.2113169459635964</c:v>
                </c:pt>
                <c:pt idx="4">
                  <c:v>3.4042016747237787</c:v>
                </c:pt>
                <c:pt idx="5">
                  <c:v>4.8108650230326848</c:v>
                </c:pt>
                <c:pt idx="6">
                  <c:v>6.4227882544512562</c:v>
                </c:pt>
                <c:pt idx="7">
                  <c:v>8.231473540916447</c:v>
                </c:pt>
                <c:pt idx="8">
                  <c:v>10.228183838890494</c:v>
                </c:pt>
                <c:pt idx="9">
                  <c:v>12.404570065460273</c:v>
                </c:pt>
                <c:pt idx="10">
                  <c:v>14.751850644868727</c:v>
                </c:pt>
                <c:pt idx="11">
                  <c:v>17.261296945184561</c:v>
                </c:pt>
                <c:pt idx="12">
                  <c:v>19.924626159713689</c:v>
                </c:pt>
                <c:pt idx="13">
                  <c:v>22.732951911531817</c:v>
                </c:pt>
                <c:pt idx="14">
                  <c:v>25.677273363723344</c:v>
                </c:pt>
                <c:pt idx="15">
                  <c:v>28.749148417303221</c:v>
                </c:pt>
                <c:pt idx="16">
                  <c:v>31.940659026878365</c:v>
                </c:pt>
                <c:pt idx="17">
                  <c:v>35.242251270473901</c:v>
                </c:pt>
                <c:pt idx="18">
                  <c:v>38.644913422546502</c:v>
                </c:pt>
                <c:pt idx="19">
                  <c:v>42.140371493670131</c:v>
                </c:pt>
                <c:pt idx="20">
                  <c:v>45.721028836488749</c:v>
                </c:pt>
                <c:pt idx="21">
                  <c:v>49.37991069576875</c:v>
                </c:pt>
                <c:pt idx="22">
                  <c:v>53.110103528804395</c:v>
                </c:pt>
                <c:pt idx="23">
                  <c:v>56.905172439451377</c:v>
                </c:pt>
                <c:pt idx="24">
                  <c:v>60.7592631979931</c:v>
                </c:pt>
                <c:pt idx="25">
                  <c:v>64.667049843480697</c:v>
                </c:pt>
                <c:pt idx="26">
                  <c:v>68.623687014286418</c:v>
                </c:pt>
                <c:pt idx="27">
                  <c:v>72.624766580210064</c:v>
                </c:pt>
                <c:pt idx="28">
                  <c:v>76.666278187978833</c:v>
                </c:pt>
                <c:pt idx="29">
                  <c:v>80.744573367007149</c:v>
                </c:pt>
                <c:pt idx="30">
                  <c:v>84.856332874149018</c:v>
                </c:pt>
                <c:pt idx="31">
                  <c:v>88.998536985165543</c:v>
                </c:pt>
                <c:pt idx="32">
                  <c:v>93.167895745148456</c:v>
                </c:pt>
                <c:pt idx="33">
                  <c:v>97.361470869397522</c:v>
                </c:pt>
                <c:pt idx="34">
                  <c:v>101.57664201202992</c:v>
                </c:pt>
                <c:pt idx="35">
                  <c:v>105.81107236322426</c:v>
                </c:pt>
                <c:pt idx="36">
                  <c:v>110.06267796903489</c:v>
                </c:pt>
                <c:pt idx="37">
                  <c:v>114.32960037097378</c:v>
                </c:pt>
                <c:pt idx="38">
                  <c:v>118.61018220614237</c:v>
                </c:pt>
                <c:pt idx="39">
                  <c:v>122.90294544756551</c:v>
                </c:pt>
                <c:pt idx="40">
                  <c:v>127.20657199904286</c:v>
                </c:pt>
                <c:pt idx="41">
                  <c:v>131.51988638974561</c:v>
                </c:pt>
                <c:pt idx="42">
                  <c:v>135.84184034135467</c:v>
                </c:pt>
                <c:pt idx="43">
                  <c:v>140.17149900512061</c:v>
                </c:pt>
                <c:pt idx="44">
                  <c:v>144.5080286881506</c:v>
                </c:pt>
                <c:pt idx="45">
                  <c:v>148.85068590777973</c:v>
                </c:pt>
                <c:pt idx="46">
                  <c:v>153.1988076303204</c:v>
                </c:pt>
                <c:pt idx="47">
                  <c:v>157.55180256603364</c:v>
                </c:pt>
                <c:pt idx="48">
                  <c:v>161.90914340603311</c:v>
                </c:pt>
                <c:pt idx="49">
                  <c:v>166.27035989919941</c:v>
                </c:pt>
                <c:pt idx="50">
                  <c:v>170.63503267821102</c:v>
                </c:pt>
                <c:pt idx="51">
                  <c:v>175.00278775363316</c:v>
                </c:pt>
                <c:pt idx="52">
                  <c:v>179.37329160377695</c:v>
                </c:pt>
                <c:pt idx="53">
                  <c:v>183.74624679586321</c:v>
                </c:pt>
                <c:pt idx="54">
                  <c:v>188.12138808100096</c:v>
                </c:pt>
                <c:pt idx="55">
                  <c:v>192.49847891171078</c:v>
                </c:pt>
                <c:pt idx="56">
                  <c:v>196.87730833627188</c:v>
                </c:pt>
                <c:pt idx="57">
                  <c:v>201.25768822911803</c:v>
                </c:pt>
                <c:pt idx="58">
                  <c:v>205.6394508209201</c:v>
                </c:pt>
                <c:pt idx="59">
                  <c:v>210.02244649592748</c:v>
                </c:pt>
                <c:pt idx="60">
                  <c:v>214.40654182764953</c:v>
                </c:pt>
                <c:pt idx="61">
                  <c:v>218.79161782708718</c:v>
                </c:pt>
                <c:pt idx="62">
                  <c:v>223.17756838051574</c:v>
                </c:pt>
                <c:pt idx="63">
                  <c:v>227.56429885630826</c:v>
                </c:pt>
                <c:pt idx="64">
                  <c:v>231.95172486250843</c:v>
                </c:pt>
                <c:pt idx="65">
                  <c:v>236.339771138841</c:v>
                </c:pt>
                <c:pt idx="66">
                  <c:v>240.72837056861289</c:v>
                </c:pt>
                <c:pt idx="67">
                  <c:v>245.11746329753214</c:v>
                </c:pt>
                <c:pt idx="68">
                  <c:v>249.50699594787551</c:v>
                </c:pt>
                <c:pt idx="69">
                  <c:v>253.89692091768757</c:v>
                </c:pt>
                <c:pt idx="70">
                  <c:v>258.28719575581033</c:v>
                </c:pt>
                <c:pt idx="71">
                  <c:v>262.67778260453832</c:v>
                </c:pt>
                <c:pt idx="72">
                  <c:v>267.06864770258119</c:v>
                </c:pt>
                <c:pt idx="73">
                  <c:v>271.45976094180878</c:v>
                </c:pt>
                <c:pt idx="74">
                  <c:v>275.85109547195884</c:v>
                </c:pt>
                <c:pt idx="75">
                  <c:v>280.24262734811742</c:v>
                </c:pt>
                <c:pt idx="76">
                  <c:v>284.63433521634408</c:v>
                </c:pt>
                <c:pt idx="77">
                  <c:v>289.02620003331401</c:v>
                </c:pt>
                <c:pt idx="78">
                  <c:v>293.41820481629651</c:v>
                </c:pt>
                <c:pt idx="79">
                  <c:v>297.81033442018713</c:v>
                </c:pt>
                <c:pt idx="80">
                  <c:v>302.20257533866641</c:v>
                </c:pt>
                <c:pt idx="81">
                  <c:v>306.59491552687405</c:v>
                </c:pt>
                <c:pt idx="82">
                  <c:v>310.98734424327097</c:v>
                </c:pt>
                <c:pt idx="83">
                  <c:v>315.37985190861252</c:v>
                </c:pt>
                <c:pt idx="84">
                  <c:v>319.77242998018198</c:v>
                </c:pt>
                <c:pt idx="85">
                  <c:v>324.16507083963216</c:v>
                </c:pt>
                <c:pt idx="86">
                  <c:v>328.55776769296364</c:v>
                </c:pt>
                <c:pt idx="87">
                  <c:v>332.95051448132568</c:v>
                </c:pt>
                <c:pt idx="88">
                  <c:v>337.34330580146906</c:v>
                </c:pt>
                <c:pt idx="89">
                  <c:v>341.7361368348063</c:v>
                </c:pt>
                <c:pt idx="90">
                  <c:v>346.12900328414798</c:v>
                </c:pt>
                <c:pt idx="91">
                  <c:v>350.52190131728463</c:v>
                </c:pt>
                <c:pt idx="92">
                  <c:v>354.91482751667314</c:v>
                </c:pt>
                <c:pt idx="93">
                  <c:v>359.30777883456778</c:v>
                </c:pt>
                <c:pt idx="94">
                  <c:v>363.70075255300588</c:v>
                </c:pt>
                <c:pt idx="95">
                  <c:v>368.09374624812347</c:v>
                </c:pt>
                <c:pt idx="96">
                  <c:v>372.48675775833226</c:v>
                </c:pt>
                <c:pt idx="97">
                  <c:v>376.87978515593989</c:v>
                </c:pt>
                <c:pt idx="98">
                  <c:v>381.27282672184106</c:v>
                </c:pt>
                <c:pt idx="99">
                  <c:v>385.66588092294722</c:v>
                </c:pt>
                <c:pt idx="100">
                  <c:v>390.05894639205866</c:v>
                </c:pt>
                <c:pt idx="101">
                  <c:v>394.45202190991427</c:v>
                </c:pt>
                <c:pt idx="102">
                  <c:v>398.84510638918374</c:v>
                </c:pt>
                <c:pt idx="103">
                  <c:v>403.23819886019209</c:v>
                </c:pt>
                <c:pt idx="104">
                  <c:v>407.6312984581885</c:v>
                </c:pt>
                <c:pt idx="105">
                  <c:v>412.02440441199309</c:v>
                </c:pt>
                <c:pt idx="106">
                  <c:v>416.41751603387189</c:v>
                </c:pt>
                <c:pt idx="107">
                  <c:v>420.8106327105076</c:v>
                </c:pt>
                <c:pt idx="108">
                  <c:v>425.20375389494728</c:v>
                </c:pt>
                <c:pt idx="109">
                  <c:v>429.59687909942141</c:v>
                </c:pt>
                <c:pt idx="110">
                  <c:v>433.99000788893977</c:v>
                </c:pt>
                <c:pt idx="111">
                  <c:v>438.38313987558053</c:v>
                </c:pt>
                <c:pt idx="112">
                  <c:v>442.77627471339724</c:v>
                </c:pt>
                <c:pt idx="113">
                  <c:v>447.1694120938767</c:v>
                </c:pt>
                <c:pt idx="114">
                  <c:v>451.56255174188857</c:v>
                </c:pt>
                <c:pt idx="115">
                  <c:v>455.95569341207323</c:v>
                </c:pt>
                <c:pt idx="116">
                  <c:v>460.34883688562024</c:v>
                </c:pt>
                <c:pt idx="117">
                  <c:v>464.74198196739576</c:v>
                </c:pt>
                <c:pt idx="118">
                  <c:v>469.13512848338047</c:v>
                </c:pt>
                <c:pt idx="119">
                  <c:v>473.52827627838496</c:v>
                </c:pt>
                <c:pt idx="120">
                  <c:v>477.92142521401212</c:v>
                </c:pt>
                <c:pt idx="121">
                  <c:v>482.31457516684014</c:v>
                </c:pt>
                <c:pt idx="122">
                  <c:v>486.70772602680228</c:v>
                </c:pt>
                <c:pt idx="123">
                  <c:v>491.10087769574153</c:v>
                </c:pt>
                <c:pt idx="124">
                  <c:v>495.49403008612211</c:v>
                </c:pt>
                <c:pt idx="125">
                  <c:v>499.88718311987998</c:v>
                </c:pt>
                <c:pt idx="126">
                  <c:v>504.28033672739809</c:v>
                </c:pt>
                <c:pt idx="127">
                  <c:v>508.67349084659247</c:v>
                </c:pt>
                <c:pt idx="128">
                  <c:v>513.06664542209683</c:v>
                </c:pt>
                <c:pt idx="129">
                  <c:v>517.45980040453583</c:v>
                </c:pt>
                <c:pt idx="130">
                  <c:v>521.85295574987697</c:v>
                </c:pt>
                <c:pt idx="131">
                  <c:v>526.24611141885214</c:v>
                </c:pt>
                <c:pt idx="132">
                  <c:v>530.63926737644238</c:v>
                </c:pt>
                <c:pt idx="133">
                  <c:v>535.03242359141791</c:v>
                </c:pt>
                <c:pt idx="134">
                  <c:v>539.42558003592819</c:v>
                </c:pt>
                <c:pt idx="135">
                  <c:v>543.81873668513629</c:v>
                </c:pt>
                <c:pt idx="136">
                  <c:v>548.21189351689281</c:v>
                </c:pt>
                <c:pt idx="137">
                  <c:v>552.60505051144492</c:v>
                </c:pt>
                <c:pt idx="138">
                  <c:v>556.99820765117727</c:v>
                </c:pt>
                <c:pt idx="139">
                  <c:v>561.39136492038051</c:v>
                </c:pt>
                <c:pt idx="140">
                  <c:v>565.78452230504513</c:v>
                </c:pt>
                <c:pt idx="141">
                  <c:v>570.17767979267762</c:v>
                </c:pt>
                <c:pt idx="142">
                  <c:v>574.57083737213634</c:v>
                </c:pt>
                <c:pt idx="143">
                  <c:v>578.96399503348505</c:v>
                </c:pt>
                <c:pt idx="144">
                  <c:v>583.35715276786289</c:v>
                </c:pt>
                <c:pt idx="145">
                  <c:v>587.75031056736771</c:v>
                </c:pt>
                <c:pt idx="146">
                  <c:v>592.1434684249524</c:v>
                </c:pt>
                <c:pt idx="147">
                  <c:v>596.53662633433237</c:v>
                </c:pt>
                <c:pt idx="148">
                  <c:v>600.92978428990307</c:v>
                </c:pt>
                <c:pt idx="149">
                  <c:v>605.32294228666638</c:v>
                </c:pt>
                <c:pt idx="150">
                  <c:v>609.71610032016508</c:v>
                </c:pt>
                <c:pt idx="151">
                  <c:v>614.10925838642413</c:v>
                </c:pt>
                <c:pt idx="152">
                  <c:v>618.50241648189876</c:v>
                </c:pt>
                <c:pt idx="153">
                  <c:v>622.89557460342769</c:v>
                </c:pt>
                <c:pt idx="154">
                  <c:v>627.28873274819159</c:v>
                </c:pt>
                <c:pt idx="155">
                  <c:v>631.6818909136764</c:v>
                </c:pt>
                <c:pt idx="156">
                  <c:v>636.07504909763998</c:v>
                </c:pt>
                <c:pt idx="157">
                  <c:v>640.4682072980828</c:v>
                </c:pt>
                <c:pt idx="158">
                  <c:v>644.8613655132217</c:v>
                </c:pt>
                <c:pt idx="159">
                  <c:v>649.25452374146653</c:v>
                </c:pt>
                <c:pt idx="160">
                  <c:v>653.64768198139916</c:v>
                </c:pt>
                <c:pt idx="161">
                  <c:v>658.04084023175483</c:v>
                </c:pt>
                <c:pt idx="162">
                  <c:v>662.43399849140576</c:v>
                </c:pt>
                <c:pt idx="163">
                  <c:v>666.82715675934617</c:v>
                </c:pt>
                <c:pt idx="164">
                  <c:v>671.22031503467906</c:v>
                </c:pt>
                <c:pt idx="165">
                  <c:v>675.61347331660454</c:v>
                </c:pt>
                <c:pt idx="166">
                  <c:v>680.00663160440922</c:v>
                </c:pt>
                <c:pt idx="167">
                  <c:v>684.39978989745703</c:v>
                </c:pt>
                <c:pt idx="168">
                  <c:v>688.79294819518054</c:v>
                </c:pt>
                <c:pt idx="169">
                  <c:v>693.18610649707387</c:v>
                </c:pt>
                <c:pt idx="170">
                  <c:v>697.57926480268577</c:v>
                </c:pt>
                <c:pt idx="171">
                  <c:v>701.97242311161392</c:v>
                </c:pt>
                <c:pt idx="172">
                  <c:v>706.36558142349941</c:v>
                </c:pt>
                <c:pt idx="173">
                  <c:v>710.75873973802231</c:v>
                </c:pt>
                <c:pt idx="174">
                  <c:v>715.15189805489729</c:v>
                </c:pt>
                <c:pt idx="175">
                  <c:v>719.54505637386978</c:v>
                </c:pt>
                <c:pt idx="176">
                  <c:v>723.93821469471277</c:v>
                </c:pt>
                <c:pt idx="177">
                  <c:v>728.33137301722388</c:v>
                </c:pt>
                <c:pt idx="178">
                  <c:v>732.7245313412227</c:v>
                </c:pt>
                <c:pt idx="179">
                  <c:v>737.11768966654813</c:v>
                </c:pt>
                <c:pt idx="180">
                  <c:v>741.5108479930567</c:v>
                </c:pt>
                <c:pt idx="181">
                  <c:v>745.90400632062028</c:v>
                </c:pt>
                <c:pt idx="182">
                  <c:v>750.29716464912485</c:v>
                </c:pt>
                <c:pt idx="183">
                  <c:v>754.69032297846854</c:v>
                </c:pt>
                <c:pt idx="184">
                  <c:v>759.08348130856052</c:v>
                </c:pt>
                <c:pt idx="185">
                  <c:v>763.47663963931984</c:v>
                </c:pt>
                <c:pt idx="186">
                  <c:v>767.86979797067431</c:v>
                </c:pt>
                <c:pt idx="187">
                  <c:v>772.26295630255947</c:v>
                </c:pt>
                <c:pt idx="188">
                  <c:v>776.65611463491803</c:v>
                </c:pt>
                <c:pt idx="189">
                  <c:v>781.0492729676987</c:v>
                </c:pt>
                <c:pt idx="190">
                  <c:v>785.44243130085579</c:v>
                </c:pt>
                <c:pt idx="191">
                  <c:v>789.83558963434848</c:v>
                </c:pt>
                <c:pt idx="192">
                  <c:v>794.22874796814062</c:v>
                </c:pt>
                <c:pt idx="193">
                  <c:v>798.6219063021997</c:v>
                </c:pt>
                <c:pt idx="194">
                  <c:v>803.01506463649685</c:v>
                </c:pt>
                <c:pt idx="195">
                  <c:v>807.40822297100635</c:v>
                </c:pt>
                <c:pt idx="196">
                  <c:v>811.80138130570515</c:v>
                </c:pt>
                <c:pt idx="197">
                  <c:v>816.19453964057288</c:v>
                </c:pt>
                <c:pt idx="198">
                  <c:v>820.58769797559114</c:v>
                </c:pt>
                <c:pt idx="199">
                  <c:v>824.98085631074366</c:v>
                </c:pt>
                <c:pt idx="200">
                  <c:v>829.37401464601601</c:v>
                </c:pt>
              </c:numCache>
            </c:numRef>
          </c:yVal>
          <c:smooth val="1"/>
          <c:extLst>
            <c:ext xmlns:c16="http://schemas.microsoft.com/office/drawing/2014/chart" uri="{C3380CC4-5D6E-409C-BE32-E72D297353CC}">
              <c16:uniqueId val="{00000001-2859-4E67-96EF-F1DF2516FC43}"/>
            </c:ext>
          </c:extLst>
        </c:ser>
        <c:dLbls>
          <c:showLegendKey val="0"/>
          <c:showVal val="0"/>
          <c:showCatName val="0"/>
          <c:showSerName val="0"/>
          <c:showPercent val="0"/>
          <c:showBubbleSize val="0"/>
        </c:dLbls>
        <c:axId val="1167372831"/>
        <c:axId val="1167373791"/>
      </c:scatterChart>
      <c:valAx>
        <c:axId val="1167372831"/>
        <c:scaling>
          <c:orientation val="minMax"/>
          <c:max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(Seconds)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5"/>
      </c:valAx>
      <c:valAx>
        <c:axId val="1167373791"/>
        <c:scaling>
          <c:orientation val="minMax"/>
          <c:max val="2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Distance</a:t>
                </a:r>
                <a:r>
                  <a:rPr lang="en-GB" baseline="0"/>
                  <a:t> (m)</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Powering!$A$55:$A$71</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numCache>
            </c:numRef>
          </c:xVal>
          <c:yVal>
            <c:numRef>
              <c:f>Powering!$G$55:$G$71</c:f>
              <c:numCache>
                <c:formatCode>0</c:formatCode>
                <c:ptCount val="17"/>
                <c:pt idx="0">
                  <c:v>0</c:v>
                </c:pt>
                <c:pt idx="1">
                  <c:v>40.200000000000003</c:v>
                </c:pt>
                <c:pt idx="2">
                  <c:v>160.80000000000001</c:v>
                </c:pt>
                <c:pt idx="3">
                  <c:v>361.8</c:v>
                </c:pt>
                <c:pt idx="4">
                  <c:v>643.20000000000005</c:v>
                </c:pt>
                <c:pt idx="5">
                  <c:v>1005.0000000000001</c:v>
                </c:pt>
                <c:pt idx="6">
                  <c:v>1447.2</c:v>
                </c:pt>
                <c:pt idx="7">
                  <c:v>2124.8000000000002</c:v>
                </c:pt>
                <c:pt idx="8">
                  <c:v>3252.8</c:v>
                </c:pt>
                <c:pt idx="9">
                  <c:v>4536.5999999999995</c:v>
                </c:pt>
                <c:pt idx="10">
                  <c:v>6220</c:v>
                </c:pt>
                <c:pt idx="11">
                  <c:v>8080.5999999999985</c:v>
                </c:pt>
                <c:pt idx="12">
                  <c:v>10118.4</c:v>
                </c:pt>
                <c:pt idx="13">
                  <c:v>12333.4</c:v>
                </c:pt>
                <c:pt idx="14">
                  <c:v>14725.599999999999</c:v>
                </c:pt>
                <c:pt idx="15">
                  <c:v>17295</c:v>
                </c:pt>
                <c:pt idx="16">
                  <c:v>20041.599999999999</c:v>
                </c:pt>
              </c:numCache>
            </c:numRef>
          </c:yVal>
          <c:smooth val="1"/>
          <c:extLst>
            <c:ext xmlns:c16="http://schemas.microsoft.com/office/drawing/2014/chart" uri="{C3380CC4-5D6E-409C-BE32-E72D297353CC}">
              <c16:uniqueId val="{00000000-EB2D-4C28-BBB6-C82F6F73049E}"/>
            </c:ext>
          </c:extLst>
        </c:ser>
        <c:ser>
          <c:idx val="1"/>
          <c:order val="1"/>
          <c:spPr>
            <a:ln w="19050" cap="rnd">
              <a:solidFill>
                <a:schemeClr val="accent2"/>
              </a:solidFill>
              <a:round/>
            </a:ln>
            <a:effectLst/>
          </c:spPr>
          <c:marker>
            <c:symbol val="none"/>
          </c:marker>
          <c:xVal>
            <c:numRef>
              <c:f>Powering!$A$55:$A$71</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numCache>
            </c:numRef>
          </c:xVal>
          <c:yVal>
            <c:numRef>
              <c:f>Powering!$Y$55:$Y$71</c:f>
              <c:numCache>
                <c:formatCode>0</c:formatCode>
                <c:ptCount val="17"/>
                <c:pt idx="0">
                  <c:v>0</c:v>
                </c:pt>
                <c:pt idx="1">
                  <c:v>25.65293326677477</c:v>
                </c:pt>
                <c:pt idx="2">
                  <c:v>91.016488287338319</c:v>
                </c:pt>
                <c:pt idx="3">
                  <c:v>191.7064061084107</c:v>
                </c:pt>
                <c:pt idx="4">
                  <c:v>329.51843984294112</c:v>
                </c:pt>
                <c:pt idx="5">
                  <c:v>521.69783430469943</c:v>
                </c:pt>
                <c:pt idx="6">
                  <c:v>803.51087079110323</c:v>
                </c:pt>
                <c:pt idx="7">
                  <c:v>1246.5646067882001</c:v>
                </c:pt>
                <c:pt idx="8">
                  <c:v>1757.8463337215319</c:v>
                </c:pt>
                <c:pt idx="9">
                  <c:v>2415.543986999789</c:v>
                </c:pt>
                <c:pt idx="10">
                  <c:v>3736.0221120049159</c:v>
                </c:pt>
                <c:pt idx="11">
                  <c:v>5924.4673696641876</c:v>
                </c:pt>
                <c:pt idx="12">
                  <c:v>8503.7653686596459</c:v>
                </c:pt>
                <c:pt idx="13">
                  <c:v>10790.128401406417</c:v>
                </c:pt>
                <c:pt idx="14">
                  <c:v>10400.561389827408</c:v>
                </c:pt>
                <c:pt idx="15">
                  <c:v>11328.763457681342</c:v>
                </c:pt>
                <c:pt idx="16">
                  <c:v>12095.645104998361</c:v>
                </c:pt>
              </c:numCache>
            </c:numRef>
          </c:yVal>
          <c:smooth val="1"/>
          <c:extLst>
            <c:ext xmlns:c16="http://schemas.microsoft.com/office/drawing/2014/chart" uri="{C3380CC4-5D6E-409C-BE32-E72D297353CC}">
              <c16:uniqueId val="{00000001-EB2D-4C28-BBB6-C82F6F73049E}"/>
            </c:ext>
          </c:extLst>
        </c:ser>
        <c:dLbls>
          <c:showLegendKey val="0"/>
          <c:showVal val="0"/>
          <c:showCatName val="0"/>
          <c:showSerName val="0"/>
          <c:showPercent val="0"/>
          <c:showBubbleSize val="0"/>
        </c:dLbls>
        <c:axId val="1167372831"/>
        <c:axId val="1167373791"/>
      </c:scatterChart>
      <c:valAx>
        <c:axId val="1167372831"/>
        <c:scaling>
          <c:orientation val="minMax"/>
          <c:max val="1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Speed (kts))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1"/>
      </c:valAx>
      <c:valAx>
        <c:axId val="1167373791"/>
        <c:scaling>
          <c:orientation val="minMax"/>
          <c:max val="7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Resistance</a:t>
                </a:r>
                <a:r>
                  <a:rPr lang="en-GB" baseline="0"/>
                  <a:t> (N)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Track (90 seconds)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Olympias</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Manoevering!$B$41:$B$131</c:f>
              <c:numCache>
                <c:formatCode>0.000</c:formatCode>
                <c:ptCount val="91"/>
                <c:pt idx="0">
                  <c:v>0</c:v>
                </c:pt>
                <c:pt idx="1">
                  <c:v>3.5390825612042978</c:v>
                </c:pt>
                <c:pt idx="2">
                  <c:v>6.7416548186197183</c:v>
                </c:pt>
                <c:pt idx="3">
                  <c:v>9.685488088786208</c:v>
                </c:pt>
                <c:pt idx="4">
                  <c:v>12.424369913081144</c:v>
                </c:pt>
                <c:pt idx="5">
                  <c:v>14.996953281447949</c:v>
                </c:pt>
                <c:pt idx="6">
                  <c:v>17.432365332084725</c:v>
                </c:pt>
                <c:pt idx="7">
                  <c:v>19.752508945189884</c:v>
                </c:pt>
                <c:pt idx="8">
                  <c:v>21.974400649525492</c:v>
                </c:pt>
                <c:pt idx="9">
                  <c:v>24.111340678578276</c:v>
                </c:pt>
                <c:pt idx="10">
                  <c:v>26.173744967672999</c:v>
                </c:pt>
                <c:pt idx="11">
                  <c:v>28.169751148769969</c:v>
                </c:pt>
                <c:pt idx="12">
                  <c:v>30.105500565901547</c:v>
                </c:pt>
                <c:pt idx="13">
                  <c:v>31.985720898041169</c:v>
                </c:pt>
                <c:pt idx="14">
                  <c:v>33.813982709294066</c:v>
                </c:pt>
                <c:pt idx="15">
                  <c:v>35.592903140421562</c:v>
                </c:pt>
                <c:pt idx="16">
                  <c:v>37.324310018646692</c:v>
                </c:pt>
                <c:pt idx="17">
                  <c:v>39.009375819893279</c:v>
                </c:pt>
                <c:pt idx="18">
                  <c:v>40.648728307803857</c:v>
                </c:pt>
                <c:pt idx="19">
                  <c:v>42.242542867277379</c:v>
                </c:pt>
                <c:pt idx="20">
                  <c:v>43.790620277937798</c:v>
                </c:pt>
                <c:pt idx="21">
                  <c:v>45.292452762745832</c:v>
                </c:pt>
                <c:pt idx="22">
                  <c:v>46.747280486405593</c:v>
                </c:pt>
                <c:pt idx="23">
                  <c:v>48.154140192398195</c:v>
                </c:pt>
                <c:pt idx="24">
                  <c:v>49.511907305675834</c:v>
                </c:pt>
                <c:pt idx="25">
                  <c:v>50.819332555398404</c:v>
                </c:pt>
                <c:pt idx="26">
                  <c:v>52.075073964276427</c:v>
                </c:pt>
                <c:pt idx="27">
                  <c:v>53.277724890935104</c:v>
                </c:pt>
                <c:pt idx="28">
                  <c:v>54.42583868697821</c:v>
                </c:pt>
                <c:pt idx="29">
                  <c:v>55.517950432265238</c:v>
                </c:pt>
                <c:pt idx="30">
                  <c:v>56.552596133878971</c:v>
                </c:pt>
                <c:pt idx="31">
                  <c:v>57.528329711619044</c:v>
                </c:pt>
                <c:pt idx="32">
                  <c:v>58.443738042101238</c:v>
                </c:pt>
                <c:pt idx="33">
                  <c:v>59.297454292049991</c:v>
                </c:pt>
                <c:pt idx="34">
                  <c:v>60.088169737167874</c:v>
                </c:pt>
                <c:pt idx="35">
                  <c:v>60.814644234551807</c:v>
                </c:pt>
                <c:pt idx="36">
                  <c:v>61.475715492854704</c:v>
                </c:pt>
                <c:pt idx="37">
                  <c:v>62.070307264378201</c:v>
                </c:pt>
                <c:pt idx="38">
                  <c:v>62.597436566339518</c:v>
                </c:pt>
                <c:pt idx="39">
                  <c:v>63.05622002414372</c:v>
                </c:pt>
                <c:pt idx="40">
                  <c:v>63.445879417184429</c:v>
                </c:pt>
                <c:pt idx="41">
                  <c:v>63.765746497150701</c:v>
                </c:pt>
                <c:pt idx="42">
                  <c:v>64.015267139760255</c:v>
                </c:pt>
                <c:pt idx="43">
                  <c:v>64.194004883045764</c:v>
                </c:pt>
                <c:pt idx="44">
                  <c:v>64.301643898608091</c:v>
                </c:pt>
                <c:pt idx="45">
                  <c:v>64.337991436465657</c:v>
                </c:pt>
                <c:pt idx="46">
                  <c:v>64.302979779145318</c:v>
                </c:pt>
                <c:pt idx="47">
                  <c:v>64.196667736370102</c:v>
                </c:pt>
                <c:pt idx="48">
                  <c:v>64.019241708011165</c:v>
                </c:pt>
                <c:pt idx="49">
                  <c:v>63.771016339808426</c:v>
                </c:pt>
                <c:pt idx="50">
                  <c:v>63.452434793657744</c:v>
                </c:pt>
                <c:pt idx="51">
                  <c:v>63.064068651956049</c:v>
                </c:pt>
                <c:pt idx="52">
                  <c:v>62.606617473537064</c:v>
                </c:pt>
                <c:pt idx="53">
                  <c:v>62.080908017076318</c:v>
                </c:pt>
                <c:pt idx="54">
                  <c:v>61.487893146455846</c:v>
                </c:pt>
                <c:pt idx="55">
                  <c:v>60.828650431422091</c:v>
                </c:pt>
                <c:pt idx="56">
                  <c:v>60.104380455915717</c:v>
                </c:pt>
                <c:pt idx="57">
                  <c:v>59.316404845672174</c:v>
                </c:pt>
                <c:pt idx="58">
                  <c:v>58.466164026064298</c:v>
                </c:pt>
                <c:pt idx="59">
                  <c:v>57.555214720661851</c:v>
                </c:pt>
                <c:pt idx="60">
                  <c:v>56.585227200599654</c:v>
                </c:pt>
                <c:pt idx="61">
                  <c:v>55.5579822945598</c:v>
                </c:pt>
                <c:pt idx="62">
                  <c:v>54.475368168969894</c:v>
                </c:pt>
                <c:pt idx="63">
                  <c:v>53.339376887885926</c:v>
                </c:pt>
                <c:pt idx="64">
                  <c:v>52.152100761953726</c:v>
                </c:pt>
                <c:pt idx="65">
                  <c:v>50.915728495817604</c:v>
                </c:pt>
                <c:pt idx="66">
                  <c:v>49.63254114335956</c:v>
                </c:pt>
                <c:pt idx="67">
                  <c:v>48.304907880199835</c:v>
                </c:pt>
                <c:pt idx="68">
                  <c:v>46.935281602962803</c:v>
                </c:pt>
                <c:pt idx="69">
                  <c:v>45.526194364905223</c:v>
                </c:pt>
                <c:pt idx="70">
                  <c:v>44.080252657611332</c:v>
                </c:pt>
                <c:pt idx="71">
                  <c:v>42.60013254857661</c:v>
                </c:pt>
                <c:pt idx="72">
                  <c:v>41.088574684625158</c:v>
                </c:pt>
                <c:pt idx="73">
                  <c:v>39.548379171230984</c:v>
                </c:pt>
                <c:pt idx="74">
                  <c:v>37.982400337937612</c:v>
                </c:pt>
                <c:pt idx="75">
                  <c:v>36.393541400191225</c:v>
                </c:pt>
                <c:pt idx="76">
                  <c:v>34.784749028016783</c:v>
                </c:pt>
                <c:pt idx="77">
                  <c:v>33.159007832072895</c:v>
                </c:pt>
                <c:pt idx="78">
                  <c:v>31.519334777717265</c:v>
                </c:pt>
                <c:pt idx="79">
                  <c:v>29.868773537799207</c:v>
                </c:pt>
                <c:pt idx="80">
                  <c:v>28.210388794967042</c:v>
                </c:pt>
                <c:pt idx="81">
                  <c:v>26.547260504335817</c:v>
                </c:pt>
                <c:pt idx="82">
                  <c:v>24.882478127402958</c:v>
                </c:pt>
                <c:pt idx="83">
                  <c:v>23.21913484812578</c:v>
                </c:pt>
                <c:pt idx="84">
                  <c:v>21.560321782084525</c:v>
                </c:pt>
                <c:pt idx="85">
                  <c:v>19.90912218964705</c:v>
                </c:pt>
                <c:pt idx="86">
                  <c:v>18.268605704026083</c:v>
                </c:pt>
                <c:pt idx="87">
                  <c:v>16.641822585076802</c:v>
                </c:pt>
                <c:pt idx="88">
                  <c:v>15.031798009621097</c:v>
                </c:pt>
                <c:pt idx="89">
                  <c:v>13.441526409004894</c:v>
                </c:pt>
                <c:pt idx="90">
                  <c:v>11.873965864496682</c:v>
                </c:pt>
              </c:numCache>
            </c:numRef>
          </c:xVal>
          <c:yVal>
            <c:numRef>
              <c:f>Manoevering!$C$41:$C$131</c:f>
              <c:numCache>
                <c:formatCode>0.000</c:formatCode>
                <c:ptCount val="91"/>
                <c:pt idx="0">
                  <c:v>0</c:v>
                </c:pt>
                <c:pt idx="1">
                  <c:v>-8.5166644826865354E-2</c:v>
                </c:pt>
                <c:pt idx="2">
                  <c:v>-0.18280202542863491</c:v>
                </c:pt>
                <c:pt idx="3">
                  <c:v>-0.25747040168281737</c:v>
                </c:pt>
                <c:pt idx="4">
                  <c:v>-0.29148999772132078</c:v>
                </c:pt>
                <c:pt idx="5">
                  <c:v>-0.27606196471641342</c:v>
                </c:pt>
                <c:pt idx="6">
                  <c:v>-0.20683897340734986</c:v>
                </c:pt>
                <c:pt idx="7">
                  <c:v>-8.1789083085153647E-2</c:v>
                </c:pt>
                <c:pt idx="8">
                  <c:v>0.10000287003186198</c:v>
                </c:pt>
                <c:pt idx="9">
                  <c:v>0.33891528223801748</c:v>
                </c:pt>
                <c:pt idx="10">
                  <c:v>0.6350809275629884</c:v>
                </c:pt>
                <c:pt idx="11">
                  <c:v>0.9885248783477254</c:v>
                </c:pt>
                <c:pt idx="12">
                  <c:v>1.3991510761530406</c:v>
                </c:pt>
                <c:pt idx="13">
                  <c:v>1.8668353994468667</c:v>
                </c:pt>
                <c:pt idx="14">
                  <c:v>2.3914232001527789</c:v>
                </c:pt>
                <c:pt idx="15">
                  <c:v>2.9727172720074631</c:v>
                </c:pt>
                <c:pt idx="16">
                  <c:v>3.6104622792108065</c:v>
                </c:pt>
                <c:pt idx="17">
                  <c:v>4.3043288500525465</c:v>
                </c:pt>
                <c:pt idx="18">
                  <c:v>5.0538989625788773</c:v>
                </c:pt>
                <c:pt idx="19">
                  <c:v>5.8586533688313427</c:v>
                </c:pt>
                <c:pt idx="20">
                  <c:v>6.7179613174445025</c:v>
                </c:pt>
                <c:pt idx="21">
                  <c:v>7.6310725716038235</c:v>
                </c:pt>
                <c:pt idx="22">
                  <c:v>8.5971115843125432</c:v>
                </c:pt>
                <c:pt idx="23">
                  <c:v>9.6150736305185323</c:v>
                </c:pt>
                <c:pt idx="24">
                  <c:v>10.683822674137035</c:v>
                </c:pt>
                <c:pt idx="25">
                  <c:v>11.802090748949462</c:v>
                </c:pt>
                <c:pt idx="26">
                  <c:v>12.968478645061513</c:v>
                </c:pt>
                <c:pt idx="27">
                  <c:v>14.181457710869598</c:v>
                </c:pt>
                <c:pt idx="28">
                  <c:v>15.439372600760869</c:v>
                </c:pt>
                <c:pt idx="29">
                  <c:v>16.740444819066212</c:v>
                </c:pt>
                <c:pt idx="30">
                  <c:v>18.082776930024366</c:v>
                </c:pt>
                <c:pt idx="31">
                  <c:v>19.464357321168414</c:v>
                </c:pt>
                <c:pt idx="32">
                  <c:v>20.883065423398943</c:v>
                </c:pt>
                <c:pt idx="33">
                  <c:v>22.336677305029603</c:v>
                </c:pt>
                <c:pt idx="34">
                  <c:v>23.822871569349758</c:v>
                </c:pt>
                <c:pt idx="35">
                  <c:v>25.339235495868138</c:v>
                </c:pt>
                <c:pt idx="36">
                  <c:v>26.883271374527808</c:v>
                </c:pt>
                <c:pt idx="37">
                  <c:v>28.452402989970629</c:v>
                </c:pt>
                <c:pt idx="38">
                  <c:v>30.043982219530811</c:v>
                </c:pt>
                <c:pt idx="39">
                  <c:v>31.655295714196299</c:v>
                </c:pt>
                <c:pt idx="40">
                  <c:v>33.283571636427325</c:v>
                </c:pt>
                <c:pt idx="41">
                  <c:v>34.925986432585297</c:v>
                </c:pt>
                <c:pt idx="42">
                  <c:v>36.57967162091208</c:v>
                </c:pt>
                <c:pt idx="43">
                  <c:v>38.241720578608081</c:v>
                </c:pt>
                <c:pt idx="44">
                  <c:v>39.909195313673699</c:v>
                </c:pt>
                <c:pt idx="45">
                  <c:v>41.579133208880187</c:v>
                </c:pt>
                <c:pt idx="46">
                  <c:v>43.248553726589158</c:v>
                </c:pt>
                <c:pt idx="47">
                  <c:v>44.914465064204038</c:v>
                </c:pt>
                <c:pt idx="48">
                  <c:v>46.573870750862099</c:v>
                </c:pt>
                <c:pt idx="49">
                  <c:v>48.223776176606684</c:v>
                </c:pt>
                <c:pt idx="50">
                  <c:v>49.86119504575295</c:v>
                </c:pt>
                <c:pt idx="51">
                  <c:v>51.483155746509837</c:v>
                </c:pt>
                <c:pt idx="52">
                  <c:v>53.086707629172942</c:v>
                </c:pt>
                <c:pt idx="53">
                  <c:v>54.668927185380994</c:v>
                </c:pt>
                <c:pt idx="54">
                  <c:v>56.22692412105215</c:v>
                </c:pt>
                <c:pt idx="55">
                  <c:v>57.757847315701675</c:v>
                </c:pt>
                <c:pt idx="56">
                  <c:v>59.258890660903297</c:v>
                </c:pt>
                <c:pt idx="57">
                  <c:v>60.72729877070357</c:v>
                </c:pt>
                <c:pt idx="58">
                  <c:v>62.160372556841345</c:v>
                </c:pt>
                <c:pt idx="59">
                  <c:v>63.555474661669898</c:v>
                </c:pt>
                <c:pt idx="60">
                  <c:v>64.910034741733213</c:v>
                </c:pt>
                <c:pt idx="61">
                  <c:v>66.221554595015249</c:v>
                </c:pt>
                <c:pt idx="62">
                  <c:v>67.487613124964469</c:v>
                </c:pt>
                <c:pt idx="63">
                  <c:v>68.705871134498821</c:v>
                </c:pt>
                <c:pt idx="64">
                  <c:v>69.874075943319752</c:v>
                </c:pt>
                <c:pt idx="65">
                  <c:v>70.990065822009228</c:v>
                </c:pt>
                <c:pt idx="66">
                  <c:v>72.05177423655185</c:v>
                </c:pt>
                <c:pt idx="67">
                  <c:v>73.057233897114699</c:v>
                </c:pt>
                <c:pt idx="68">
                  <c:v>74.00458060513111</c:v>
                </c:pt>
                <c:pt idx="69">
                  <c:v>74.892056892969478</c:v>
                </c:pt>
                <c:pt idx="70">
                  <c:v>75.718015450725687</c:v>
                </c:pt>
                <c:pt idx="71">
                  <c:v>76.480922334954741</c:v>
                </c:pt>
                <c:pt idx="72">
                  <c:v>77.179359954454455</c:v>
                </c:pt>
                <c:pt idx="73">
                  <c:v>77.812029828529987</c:v>
                </c:pt>
                <c:pt idx="74">
                  <c:v>78.377755113500712</c:v>
                </c:pt>
                <c:pt idx="75">
                  <c:v>78.875482893560431</c:v>
                </c:pt>
                <c:pt idx="76">
                  <c:v>79.30428623246614</c:v>
                </c:pt>
                <c:pt idx="77">
                  <c:v>79.663365982908431</c:v>
                </c:pt>
                <c:pt idx="78">
                  <c:v>79.952052350806795</c:v>
                </c:pt>
                <c:pt idx="79">
                  <c:v>80.169806212174677</c:v>
                </c:pt>
                <c:pt idx="80">
                  <c:v>80.316220180610102</c:v>
                </c:pt>
                <c:pt idx="81">
                  <c:v>80.391019423887599</c:v>
                </c:pt>
                <c:pt idx="82">
                  <c:v>80.394062228554191</c:v>
                </c:pt>
                <c:pt idx="83">
                  <c:v>80.32534031186529</c:v>
                </c:pt>
                <c:pt idx="84">
                  <c:v>80.184978880834507</c:v>
                </c:pt>
                <c:pt idx="85">
                  <c:v>79.973236438612815</c:v>
                </c:pt>
                <c:pt idx="86">
                  <c:v>79.690504338857011</c:v>
                </c:pt>
                <c:pt idx="87">
                  <c:v>79.337306089192779</c:v>
                </c:pt>
                <c:pt idx="88">
                  <c:v>78.91429640532364</c:v>
                </c:pt>
                <c:pt idx="89">
                  <c:v>78.422260017782122</c:v>
                </c:pt>
                <c:pt idx="90">
                  <c:v>77.862110233762635</c:v>
                </c:pt>
              </c:numCache>
            </c:numRef>
          </c:yVal>
          <c:smooth val="1"/>
          <c:extLst>
            <c:ext xmlns:c16="http://schemas.microsoft.com/office/drawing/2014/chart" uri="{C3380CC4-5D6E-409C-BE32-E72D297353CC}">
              <c16:uniqueId val="{00000000-1958-41B9-9F8F-D6F5C3E66471}"/>
            </c:ext>
          </c:extLst>
        </c:ser>
        <c:ser>
          <c:idx val="1"/>
          <c:order val="1"/>
          <c:tx>
            <c:v>Design</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Manoevering!$B$137:$B$227</c:f>
              <c:numCache>
                <c:formatCode>0.000</c:formatCode>
                <c:ptCount val="91"/>
                <c:pt idx="0" formatCode="General">
                  <c:v>0</c:v>
                </c:pt>
                <c:pt idx="1">
                  <c:v>3.4653211207688699</c:v>
                </c:pt>
                <c:pt idx="2">
                  <c:v>6.5517555656152959</c:v>
                </c:pt>
                <c:pt idx="3">
                  <c:v>9.3553363533431053</c:v>
                </c:pt>
                <c:pt idx="4">
                  <c:v>11.932976424846451</c:v>
                </c:pt>
                <c:pt idx="5">
                  <c:v>14.323402846200512</c:v>
                </c:pt>
                <c:pt idx="6">
                  <c:v>16.551586427849429</c:v>
                </c:pt>
                <c:pt idx="7">
                  <c:v>18.635143023482765</c:v>
                </c:pt>
                <c:pt idx="8">
                  <c:v>20.586418045486166</c:v>
                </c:pt>
                <c:pt idx="9">
                  <c:v>22.413334257753622</c:v>
                </c:pt>
                <c:pt idx="10">
                  <c:v>24.121041970521521</c:v>
                </c:pt>
                <c:pt idx="11">
                  <c:v>25.712691052009625</c:v>
                </c:pt>
                <c:pt idx="12">
                  <c:v>27.189902431726527</c:v>
                </c:pt>
                <c:pt idx="13">
                  <c:v>28.553136204623232</c:v>
                </c:pt>
                <c:pt idx="14">
                  <c:v>29.801989327176592</c:v>
                </c:pt>
                <c:pt idx="15">
                  <c:v>30.935432114355621</c:v>
                </c:pt>
                <c:pt idx="16">
                  <c:v>31.951981617156598</c:v>
                </c:pt>
                <c:pt idx="17">
                  <c:v>32.849999946075101</c:v>
                </c:pt>
                <c:pt idx="18">
                  <c:v>33.627842160362547</c:v>
                </c:pt>
                <c:pt idx="19">
                  <c:v>34.28398802848595</c:v>
                </c:pt>
                <c:pt idx="20">
                  <c:v>34.817159622224104</c:v>
                </c:pt>
                <c:pt idx="21">
                  <c:v>35.226425900187571</c:v>
                </c:pt>
                <c:pt idx="22">
                  <c:v>35.511294925564833</c:v>
                </c:pt>
                <c:pt idx="23">
                  <c:v>35.671794052090853</c:v>
                </c:pt>
                <c:pt idx="24">
                  <c:v>35.708538237984747</c:v>
                </c:pt>
                <c:pt idx="25">
                  <c:v>35.622786566747358</c:v>
                </c:pt>
                <c:pt idx="26">
                  <c:v>35.416487036457887</c:v>
                </c:pt>
                <c:pt idx="27">
                  <c:v>35.092309704667649</c:v>
                </c:pt>
                <c:pt idx="28">
                  <c:v>34.653668329286411</c:v>
                </c:pt>
                <c:pt idx="29">
                  <c:v>34.104730716273359</c:v>
                </c:pt>
                <c:pt idx="30">
                  <c:v>33.450418064681031</c:v>
                </c:pt>
                <c:pt idx="31">
                  <c:v>32.696393682950713</c:v>
                </c:pt>
                <c:pt idx="32">
                  <c:v>31.849041533150757</c:v>
                </c:pt>
                <c:pt idx="33">
                  <c:v>30.915435139056925</c:v>
                </c:pt>
                <c:pt idx="34">
                  <c:v>29.903297467437774</c:v>
                </c:pt>
                <c:pt idx="35">
                  <c:v>28.820952458136823</c:v>
                </c:pt>
                <c:pt idx="36">
                  <c:v>27.67726893656296</c:v>
                </c:pt>
                <c:pt idx="37">
                  <c:v>26.481597691439266</c:v>
                </c:pt>
                <c:pt idx="38">
                  <c:v>25.243702540856983</c:v>
                </c:pt>
                <c:pt idx="39">
                  <c:v>23.973686240812544</c:v>
                </c:pt>
                <c:pt idx="40">
                  <c:v>22.681912112627071</c:v>
                </c:pt>
                <c:pt idx="41">
                  <c:v>21.378922279246119</c:v>
                </c:pt>
                <c:pt idx="42">
                  <c:v>20.075353405770848</c:v>
                </c:pt>
                <c:pt idx="43">
                  <c:v>18.781850837119677</c:v>
                </c:pt>
                <c:pt idx="44">
                  <c:v>17.508982015936869</c:v>
                </c:pt>
                <c:pt idx="45">
                  <c:v>16.267150047244602</c:v>
                </c:pt>
                <c:pt idx="46">
                  <c:v>15.066508253374252</c:v>
                </c:pt>
                <c:pt idx="47">
                  <c:v>13.916876533901997</c:v>
                </c:pt>
                <c:pt idx="48">
                  <c:v>12.827660311131959</c:v>
                </c:pt>
                <c:pt idx="49">
                  <c:v>11.807772802580963</c:v>
                </c:pt>
                <c:pt idx="50">
                  <c:v>10.865561318369711</c:v>
                </c:pt>
                <c:pt idx="51">
                  <c:v>10.00873823384782</c:v>
                </c:pt>
                <c:pt idx="52">
                  <c:v>9.2443172365925168</c:v>
                </c:pt>
                <c:pt idx="53">
                  <c:v>8.5785553925295694</c:v>
                </c:pt>
                <c:pt idx="54">
                  <c:v>8.0169015187286696</c:v>
                </c:pt>
                <c:pt idx="55">
                  <c:v>7.5639512908167426</c:v>
                </c:pt>
                <c:pt idx="56">
                  <c:v>7.2234094513222509</c:v>
                </c:pt>
                <c:pt idx="57">
                  <c:v>6.9980594220017558</c:v>
                </c:pt>
                <c:pt idx="58">
                  <c:v>6.8897405586995069</c:v>
                </c:pt>
                <c:pt idx="59">
                  <c:v>6.8993332219475239</c:v>
                </c:pt>
                <c:pt idx="60">
                  <c:v>7.0267517707279774</c:v>
                </c:pt>
                <c:pt idx="61">
                  <c:v>7.2709455209964675</c:v>
                </c:pt>
                <c:pt idx="62">
                  <c:v>7.6299076451130796</c:v>
                </c:pt>
                <c:pt idx="63">
                  <c:v>8.1006919236598609</c:v>
                </c:pt>
                <c:pt idx="64">
                  <c:v>8.6794371976520992</c:v>
                </c:pt>
                <c:pt idx="65">
                  <c:v>9.361399307289398</c:v>
                </c:pt>
                <c:pt idx="66">
                  <c:v>10.140990243550661</c:v>
                </c:pt>
                <c:pt idx="67">
                  <c:v>11.011824181518529</c:v>
                </c:pt>
                <c:pt idx="68">
                  <c:v>11.966770009717944</c:v>
                </c:pt>
                <c:pt idx="69">
                  <c:v>12.998009918352482</c:v>
                </c:pt>
                <c:pt idx="70">
                  <c:v>14.097103561486797</c:v>
                </c:pt>
                <c:pt idx="71">
                  <c:v>15.255057264300635</c:v>
                </c:pt>
                <c:pt idx="72">
                  <c:v>16.462397706852784</c:v>
                </c:pt>
                <c:pt idx="73">
                  <c:v>17.709249480639446</c:v>
                </c:pt>
                <c:pt idx="74">
                  <c:v>18.985415883878272</c:v>
                </c:pt>
                <c:pt idx="75">
                  <c:v>20.280462296131663</c:v>
                </c:pt>
                <c:pt idx="76">
                  <c:v>21.583801452800742</c:v>
                </c:pt>
                <c:pt idx="77">
                  <c:v>22.884779925335948</c:v>
                </c:pt>
                <c:pt idx="78">
                  <c:v>24.172765103843808</c:v>
                </c:pt>
                <c:pt idx="79">
                  <c:v>25.43723197520152</c:v>
                </c:pt>
                <c:pt idx="80">
                  <c:v>26.667848991859145</c:v>
                </c:pt>
                <c:pt idx="81">
                  <c:v>27.854562334205898</c:v>
                </c:pt>
                <c:pt idx="82">
                  <c:v>28.987677882650878</c:v>
                </c:pt>
                <c:pt idx="83">
                  <c:v>30.057940234323439</c:v>
                </c:pt>
                <c:pt idx="84">
                  <c:v>31.056608123393513</c:v>
                </c:pt>
                <c:pt idx="85">
                  <c:v>31.975525633263874</c:v>
                </c:pt>
                <c:pt idx="86">
                  <c:v>32.80718862306788</c:v>
                </c:pt>
                <c:pt idx="87">
                  <c:v>33.544805829750892</c:v>
                </c:pt>
                <c:pt idx="88">
                  <c:v>34.18235415021536</c:v>
                </c:pt>
                <c:pt idx="89">
                  <c:v>34.714627655226202</c:v>
                </c:pt>
                <c:pt idx="90">
                  <c:v>35.137279937628982</c:v>
                </c:pt>
              </c:numCache>
            </c:numRef>
          </c:xVal>
          <c:yVal>
            <c:numRef>
              <c:f>Manoevering!$C$137:$C$227</c:f>
              <c:numCache>
                <c:formatCode>0.000</c:formatCode>
                <c:ptCount val="91"/>
                <c:pt idx="0" formatCode="General">
                  <c:v>0</c:v>
                </c:pt>
                <c:pt idx="1">
                  <c:v>-0.11609265523927083</c:v>
                </c:pt>
                <c:pt idx="2">
                  <c:v>-0.20227814228188656</c:v>
                </c:pt>
                <c:pt idx="3">
                  <c:v>-0.20510830727012014</c:v>
                </c:pt>
                <c:pt idx="4">
                  <c:v>-0.10531903704762541</c:v>
                </c:pt>
                <c:pt idx="5">
                  <c:v>0.10332106880690967</c:v>
                </c:pt>
                <c:pt idx="6">
                  <c:v>0.42107187137829122</c:v>
                </c:pt>
                <c:pt idx="7">
                  <c:v>0.8458178180860062</c:v>
                </c:pt>
                <c:pt idx="8">
                  <c:v>1.3743692703319463</c:v>
                </c:pt>
                <c:pt idx="9">
                  <c:v>2.0026399548680951</c:v>
                </c:pt>
                <c:pt idx="10">
                  <c:v>2.7261317638125475</c:v>
                </c:pt>
                <c:pt idx="11">
                  <c:v>3.5400766797669228</c:v>
                </c:pt>
                <c:pt idx="12">
                  <c:v>4.4394364060519038</c:v>
                </c:pt>
                <c:pt idx="13">
                  <c:v>5.4188714845707793</c:v>
                </c:pt>
                <c:pt idx="14">
                  <c:v>6.4727011759169581</c:v>
                </c:pt>
                <c:pt idx="15">
                  <c:v>7.59483978408963</c:v>
                </c:pt>
                <c:pt idx="16">
                  <c:v>8.7786262555850403</c:v>
                </c:pt>
                <c:pt idx="17">
                  <c:v>10.017005814617107</c:v>
                </c:pt>
                <c:pt idx="18">
                  <c:v>11.302526946523139</c:v>
                </c:pt>
                <c:pt idx="19">
                  <c:v>12.627350172122219</c:v>
                </c:pt>
                <c:pt idx="20">
                  <c:v>13.983268458674042</c:v>
                </c:pt>
                <c:pt idx="21">
                  <c:v>15.361738728827467</c:v>
                </c:pt>
                <c:pt idx="22">
                  <c:v>16.7539236571541</c:v>
                </c:pt>
                <c:pt idx="23">
                  <c:v>18.150742752034986</c:v>
                </c:pt>
                <c:pt idx="24">
                  <c:v>19.542931587776739</c:v>
                </c:pt>
                <c:pt idx="25">
                  <c:v>20.921107963932393</c:v>
                </c:pt>
                <c:pt idx="26">
                  <c:v>22.275843716368517</c:v>
                </c:pt>
                <c:pt idx="27">
                  <c:v>23.59774088091261</c:v>
                </c:pt>
                <c:pt idx="28">
                  <c:v>24.877510910453609</c:v>
                </c:pt>
                <c:pt idx="29">
                  <c:v>26.1060556662975</c:v>
                </c:pt>
                <c:pt idx="30">
                  <c:v>27.274548941269721</c:v>
                </c:pt>
                <c:pt idx="31">
                  <c:v>28.374517322855269</c:v>
                </c:pt>
                <c:pt idx="32">
                  <c:v>29.397919267255734</c:v>
                </c:pt>
                <c:pt idx="33">
                  <c:v>30.337221327541204</c:v>
                </c:pt>
                <c:pt idx="34">
                  <c:v>31.185470559198414</c:v>
                </c:pt>
                <c:pt idx="35">
                  <c:v>31.936362212605822</c:v>
                </c:pt>
                <c:pt idx="36">
                  <c:v>32.584301912737438</c:v>
                </c:pt>
                <c:pt idx="37">
                  <c:v>33.124461620293872</c:v>
                </c:pt>
                <c:pt idx="38">
                  <c:v>33.552828764210766</c:v>
                </c:pt>
                <c:pt idx="39">
                  <c:v>33.866248031971736</c:v>
                </c:pt>
                <c:pt idx="40">
                  <c:v>34.062455400362794</c:v>
                </c:pt>
                <c:pt idx="41">
                  <c:v>34.140104084384546</c:v>
                </c:pt>
                <c:pt idx="42">
                  <c:v>34.098782175245901</c:v>
                </c:pt>
                <c:pt idx="43">
                  <c:v>33.939021829066853</c:v>
                </c:pt>
                <c:pt idx="44">
                  <c:v>33.662299955586533</c:v>
                </c:pt>
                <c:pt idx="45">
                  <c:v>33.271030440360931</c:v>
                </c:pt>
                <c:pt idx="46">
                  <c:v>32.768548014272682</c:v>
                </c:pt>
                <c:pt idx="47">
                  <c:v>32.159083960356085</c:v>
                </c:pt>
                <c:pt idx="48">
                  <c:v>31.447733919709705</c:v>
                </c:pt>
                <c:pt idx="49">
                  <c:v>30.640418125414449</c:v>
                </c:pt>
                <c:pt idx="50">
                  <c:v>29.743834455719025</c:v>
                </c:pt>
                <c:pt idx="51">
                  <c:v>28.765404755146317</c:v>
                </c:pt>
                <c:pt idx="52">
                  <c:v>27.71321492448412</c:v>
                </c:pt>
                <c:pt idx="53">
                  <c:v>26.595949327740172</c:v>
                </c:pt>
                <c:pt idx="54">
                  <c:v>25.422820105967073</c:v>
                </c:pt>
                <c:pt idx="55">
                  <c:v>24.203492024313615</c:v>
                </c:pt>
                <c:pt idx="56">
                  <c:v>22.94800350966381</c:v>
                </c:pt>
                <c:pt idx="57">
                  <c:v>21.666684561725262</c:v>
                </c:pt>
                <c:pt idx="58">
                  <c:v>20.370072240380225</c:v>
                </c:pt>
                <c:pt idx="59">
                  <c:v>19.068824446487884</c:v>
                </c:pt>
                <c:pt idx="60">
                  <c:v>17.773632722114506</c:v>
                </c:pt>
                <c:pt idx="61">
                  <c:v>16.495134799379507</c:v>
                </c:pt>
                <c:pt idx="62">
                  <c:v>15.243827624772699</c:v>
                </c:pt>
                <c:pt idx="63">
                  <c:v>14.029981577978647</c:v>
                </c:pt>
                <c:pt idx="64">
                  <c:v>12.863556591022906</c:v>
                </c:pt>
                <c:pt idx="65">
                  <c:v>11.75412085504554</c:v>
                </c:pt>
                <c:pt idx="66">
                  <c:v>10.710772778354144</c:v>
                </c:pt>
                <c:pt idx="67">
                  <c:v>9.7420668307874205</c:v>
                </c:pt>
                <c:pt idx="68">
                  <c:v>8.8559438760398983</c:v>
                </c:pt>
                <c:pt idx="69">
                  <c:v>8.0596665556999714</c:v>
                </c:pt>
                <c:pt idx="70">
                  <c:v>7.3597602466109855</c:v>
                </c:pt>
                <c:pt idx="71">
                  <c:v>6.7619600670848534</c:v>
                </c:pt>
                <c:pt idx="72">
                  <c:v>6.2711643578163363</c:v>
                </c:pt>
                <c:pt idx="73">
                  <c:v>5.891395010430009</c:v>
                </c:pt>
                <c:pt idx="74">
                  <c:v>5.6257649608344389</c:v>
                </c:pt>
                <c:pt idx="75">
                  <c:v>5.4764531063774857</c:v>
                </c:pt>
                <c:pt idx="76">
                  <c:v>5.4446868456331918</c:v>
                </c:pt>
                <c:pt idx="77">
                  <c:v>5.5307323779634983</c:v>
                </c:pt>
                <c:pt idx="78">
                  <c:v>5.7338928372616094</c:v>
                </c:pt>
                <c:pt idx="79">
                  <c:v>6.0525142709843607</c:v>
                </c:pt>
                <c:pt idx="80">
                  <c:v>6.4839994122125191</c:v>
                </c:pt>
                <c:pt idx="81">
                  <c:v>7.0248291295383476</c:v>
                </c:pt>
                <c:pt idx="82">
                  <c:v>7.6705913775664332</c:v>
                </c:pt>
                <c:pt idx="83">
                  <c:v>8.416017410219542</c:v>
                </c:pt>
                <c:pt idx="84">
                  <c:v>9.2550249603501804</c:v>
                </c:pt>
                <c:pt idx="85">
                  <c:v>10.180768032841687</c:v>
                </c:pt>
                <c:pt idx="86">
                  <c:v>11.185692904894044</c:v>
                </c:pt>
                <c:pt idx="87">
                  <c:v>12.261599876962208</c:v>
                </c:pt>
                <c:pt idx="88">
                  <c:v>13.399710271256744</c:v>
                </c:pt>
                <c:pt idx="89">
                  <c:v>14.590738132207662</c:v>
                </c:pt>
                <c:pt idx="90">
                  <c:v>15.82496604518068</c:v>
                </c:pt>
              </c:numCache>
            </c:numRef>
          </c:yVal>
          <c:smooth val="1"/>
          <c:extLst>
            <c:ext xmlns:c16="http://schemas.microsoft.com/office/drawing/2014/chart" uri="{C3380CC4-5D6E-409C-BE32-E72D297353CC}">
              <c16:uniqueId val="{00000001-1958-41B9-9F8F-D6F5C3E66471}"/>
            </c:ext>
          </c:extLst>
        </c:ser>
        <c:dLbls>
          <c:showLegendKey val="0"/>
          <c:showVal val="0"/>
          <c:showCatName val="0"/>
          <c:showSerName val="0"/>
          <c:showPercent val="0"/>
          <c:showBubbleSize val="0"/>
        </c:dLbls>
        <c:axId val="734686256"/>
        <c:axId val="734687216"/>
      </c:scatterChart>
      <c:valAx>
        <c:axId val="734686256"/>
        <c:scaling>
          <c:orientation val="minMax"/>
          <c:max val="150"/>
          <c:min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X (m)</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687216"/>
        <c:crosses val="autoZero"/>
        <c:crossBetween val="midCat"/>
        <c:majorUnit val="20"/>
      </c:valAx>
      <c:valAx>
        <c:axId val="734687216"/>
        <c:scaling>
          <c:orientation val="minMax"/>
          <c:max val="1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Y (m)</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686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Track (90 seconds)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Olympias</c:v>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Manoevering!$B$41:$B$131</c:f>
              <c:numCache>
                <c:formatCode>0.000</c:formatCode>
                <c:ptCount val="91"/>
                <c:pt idx="0">
                  <c:v>0</c:v>
                </c:pt>
                <c:pt idx="1">
                  <c:v>3.5390825612042978</c:v>
                </c:pt>
                <c:pt idx="2">
                  <c:v>6.7416548186197183</c:v>
                </c:pt>
                <c:pt idx="3">
                  <c:v>9.685488088786208</c:v>
                </c:pt>
                <c:pt idx="4">
                  <c:v>12.424369913081144</c:v>
                </c:pt>
                <c:pt idx="5">
                  <c:v>14.996953281447949</c:v>
                </c:pt>
                <c:pt idx="6">
                  <c:v>17.432365332084725</c:v>
                </c:pt>
                <c:pt idx="7">
                  <c:v>19.752508945189884</c:v>
                </c:pt>
                <c:pt idx="8">
                  <c:v>21.974400649525492</c:v>
                </c:pt>
                <c:pt idx="9">
                  <c:v>24.111340678578276</c:v>
                </c:pt>
                <c:pt idx="10">
                  <c:v>26.173744967672999</c:v>
                </c:pt>
                <c:pt idx="11">
                  <c:v>28.169751148769969</c:v>
                </c:pt>
                <c:pt idx="12">
                  <c:v>30.105500565901547</c:v>
                </c:pt>
                <c:pt idx="13">
                  <c:v>31.985720898041169</c:v>
                </c:pt>
                <c:pt idx="14">
                  <c:v>33.813982709294066</c:v>
                </c:pt>
                <c:pt idx="15">
                  <c:v>35.592903140421562</c:v>
                </c:pt>
                <c:pt idx="16">
                  <c:v>37.324310018646692</c:v>
                </c:pt>
                <c:pt idx="17">
                  <c:v>39.009375819893279</c:v>
                </c:pt>
                <c:pt idx="18">
                  <c:v>40.648728307803857</c:v>
                </c:pt>
                <c:pt idx="19">
                  <c:v>42.242542867277379</c:v>
                </c:pt>
                <c:pt idx="20">
                  <c:v>43.790620277937798</c:v>
                </c:pt>
                <c:pt idx="21">
                  <c:v>45.292452762745832</c:v>
                </c:pt>
                <c:pt idx="22">
                  <c:v>46.747280486405593</c:v>
                </c:pt>
                <c:pt idx="23">
                  <c:v>48.154140192398195</c:v>
                </c:pt>
                <c:pt idx="24">
                  <c:v>49.511907305675834</c:v>
                </c:pt>
                <c:pt idx="25">
                  <c:v>50.819332555398404</c:v>
                </c:pt>
                <c:pt idx="26">
                  <c:v>52.075073964276427</c:v>
                </c:pt>
                <c:pt idx="27">
                  <c:v>53.277724890935104</c:v>
                </c:pt>
                <c:pt idx="28">
                  <c:v>54.42583868697821</c:v>
                </c:pt>
                <c:pt idx="29">
                  <c:v>55.517950432265238</c:v>
                </c:pt>
                <c:pt idx="30">
                  <c:v>56.552596133878971</c:v>
                </c:pt>
                <c:pt idx="31">
                  <c:v>57.528329711619044</c:v>
                </c:pt>
                <c:pt idx="32">
                  <c:v>58.443738042101238</c:v>
                </c:pt>
                <c:pt idx="33">
                  <c:v>59.297454292049991</c:v>
                </c:pt>
                <c:pt idx="34">
                  <c:v>60.088169737167874</c:v>
                </c:pt>
                <c:pt idx="35">
                  <c:v>60.814644234551807</c:v>
                </c:pt>
                <c:pt idx="36">
                  <c:v>61.475715492854704</c:v>
                </c:pt>
                <c:pt idx="37">
                  <c:v>62.070307264378201</c:v>
                </c:pt>
                <c:pt idx="38">
                  <c:v>62.597436566339518</c:v>
                </c:pt>
                <c:pt idx="39">
                  <c:v>63.05622002414372</c:v>
                </c:pt>
                <c:pt idx="40">
                  <c:v>63.445879417184429</c:v>
                </c:pt>
                <c:pt idx="41">
                  <c:v>63.765746497150701</c:v>
                </c:pt>
                <c:pt idx="42">
                  <c:v>64.015267139760255</c:v>
                </c:pt>
                <c:pt idx="43">
                  <c:v>64.194004883045764</c:v>
                </c:pt>
                <c:pt idx="44">
                  <c:v>64.301643898608091</c:v>
                </c:pt>
                <c:pt idx="45">
                  <c:v>64.337991436465657</c:v>
                </c:pt>
                <c:pt idx="46">
                  <c:v>64.302979779145318</c:v>
                </c:pt>
                <c:pt idx="47">
                  <c:v>64.196667736370102</c:v>
                </c:pt>
                <c:pt idx="48">
                  <c:v>64.019241708011165</c:v>
                </c:pt>
                <c:pt idx="49">
                  <c:v>63.771016339808426</c:v>
                </c:pt>
                <c:pt idx="50">
                  <c:v>63.452434793657744</c:v>
                </c:pt>
                <c:pt idx="51">
                  <c:v>63.064068651956049</c:v>
                </c:pt>
                <c:pt idx="52">
                  <c:v>62.606617473537064</c:v>
                </c:pt>
                <c:pt idx="53">
                  <c:v>62.080908017076318</c:v>
                </c:pt>
                <c:pt idx="54">
                  <c:v>61.487893146455846</c:v>
                </c:pt>
                <c:pt idx="55">
                  <c:v>60.828650431422091</c:v>
                </c:pt>
                <c:pt idx="56">
                  <c:v>60.104380455915717</c:v>
                </c:pt>
                <c:pt idx="57">
                  <c:v>59.316404845672174</c:v>
                </c:pt>
                <c:pt idx="58">
                  <c:v>58.466164026064298</c:v>
                </c:pt>
                <c:pt idx="59">
                  <c:v>57.555214720661851</c:v>
                </c:pt>
                <c:pt idx="60">
                  <c:v>56.585227200599654</c:v>
                </c:pt>
                <c:pt idx="61">
                  <c:v>55.5579822945598</c:v>
                </c:pt>
                <c:pt idx="62">
                  <c:v>54.475368168969894</c:v>
                </c:pt>
                <c:pt idx="63">
                  <c:v>53.339376887885926</c:v>
                </c:pt>
                <c:pt idx="64">
                  <c:v>52.152100761953726</c:v>
                </c:pt>
                <c:pt idx="65">
                  <c:v>50.915728495817604</c:v>
                </c:pt>
                <c:pt idx="66">
                  <c:v>49.63254114335956</c:v>
                </c:pt>
                <c:pt idx="67">
                  <c:v>48.304907880199835</c:v>
                </c:pt>
                <c:pt idx="68">
                  <c:v>46.935281602962803</c:v>
                </c:pt>
                <c:pt idx="69">
                  <c:v>45.526194364905223</c:v>
                </c:pt>
                <c:pt idx="70">
                  <c:v>44.080252657611332</c:v>
                </c:pt>
                <c:pt idx="71">
                  <c:v>42.60013254857661</c:v>
                </c:pt>
                <c:pt idx="72">
                  <c:v>41.088574684625158</c:v>
                </c:pt>
                <c:pt idx="73">
                  <c:v>39.548379171230984</c:v>
                </c:pt>
                <c:pt idx="74">
                  <c:v>37.982400337937612</c:v>
                </c:pt>
                <c:pt idx="75">
                  <c:v>36.393541400191225</c:v>
                </c:pt>
                <c:pt idx="76">
                  <c:v>34.784749028016783</c:v>
                </c:pt>
                <c:pt idx="77">
                  <c:v>33.159007832072895</c:v>
                </c:pt>
                <c:pt idx="78">
                  <c:v>31.519334777717265</c:v>
                </c:pt>
                <c:pt idx="79">
                  <c:v>29.868773537799207</c:v>
                </c:pt>
                <c:pt idx="80">
                  <c:v>28.210388794967042</c:v>
                </c:pt>
                <c:pt idx="81">
                  <c:v>26.547260504335817</c:v>
                </c:pt>
                <c:pt idx="82">
                  <c:v>24.882478127402958</c:v>
                </c:pt>
                <c:pt idx="83">
                  <c:v>23.21913484812578</c:v>
                </c:pt>
                <c:pt idx="84">
                  <c:v>21.560321782084525</c:v>
                </c:pt>
                <c:pt idx="85">
                  <c:v>19.90912218964705</c:v>
                </c:pt>
                <c:pt idx="86">
                  <c:v>18.268605704026083</c:v>
                </c:pt>
                <c:pt idx="87">
                  <c:v>16.641822585076802</c:v>
                </c:pt>
                <c:pt idx="88">
                  <c:v>15.031798009621097</c:v>
                </c:pt>
                <c:pt idx="89">
                  <c:v>13.441526409004894</c:v>
                </c:pt>
                <c:pt idx="90">
                  <c:v>11.873965864496682</c:v>
                </c:pt>
              </c:numCache>
            </c:numRef>
          </c:xVal>
          <c:yVal>
            <c:numRef>
              <c:f>Manoevering!$C$41:$C$131</c:f>
              <c:numCache>
                <c:formatCode>0.000</c:formatCode>
                <c:ptCount val="91"/>
                <c:pt idx="0">
                  <c:v>0</c:v>
                </c:pt>
                <c:pt idx="1">
                  <c:v>-8.5166644826865354E-2</c:v>
                </c:pt>
                <c:pt idx="2">
                  <c:v>-0.18280202542863491</c:v>
                </c:pt>
                <c:pt idx="3">
                  <c:v>-0.25747040168281737</c:v>
                </c:pt>
                <c:pt idx="4">
                  <c:v>-0.29148999772132078</c:v>
                </c:pt>
                <c:pt idx="5">
                  <c:v>-0.27606196471641342</c:v>
                </c:pt>
                <c:pt idx="6">
                  <c:v>-0.20683897340734986</c:v>
                </c:pt>
                <c:pt idx="7">
                  <c:v>-8.1789083085153647E-2</c:v>
                </c:pt>
                <c:pt idx="8">
                  <c:v>0.10000287003186198</c:v>
                </c:pt>
                <c:pt idx="9">
                  <c:v>0.33891528223801748</c:v>
                </c:pt>
                <c:pt idx="10">
                  <c:v>0.6350809275629884</c:v>
                </c:pt>
                <c:pt idx="11">
                  <c:v>0.9885248783477254</c:v>
                </c:pt>
                <c:pt idx="12">
                  <c:v>1.3991510761530406</c:v>
                </c:pt>
                <c:pt idx="13">
                  <c:v>1.8668353994468667</c:v>
                </c:pt>
                <c:pt idx="14">
                  <c:v>2.3914232001527789</c:v>
                </c:pt>
                <c:pt idx="15">
                  <c:v>2.9727172720074631</c:v>
                </c:pt>
                <c:pt idx="16">
                  <c:v>3.6104622792108065</c:v>
                </c:pt>
                <c:pt idx="17">
                  <c:v>4.3043288500525465</c:v>
                </c:pt>
                <c:pt idx="18">
                  <c:v>5.0538989625788773</c:v>
                </c:pt>
                <c:pt idx="19">
                  <c:v>5.8586533688313427</c:v>
                </c:pt>
                <c:pt idx="20">
                  <c:v>6.7179613174445025</c:v>
                </c:pt>
                <c:pt idx="21">
                  <c:v>7.6310725716038235</c:v>
                </c:pt>
                <c:pt idx="22">
                  <c:v>8.5971115843125432</c:v>
                </c:pt>
                <c:pt idx="23">
                  <c:v>9.6150736305185323</c:v>
                </c:pt>
                <c:pt idx="24">
                  <c:v>10.683822674137035</c:v>
                </c:pt>
                <c:pt idx="25">
                  <c:v>11.802090748949462</c:v>
                </c:pt>
                <c:pt idx="26">
                  <c:v>12.968478645061513</c:v>
                </c:pt>
                <c:pt idx="27">
                  <c:v>14.181457710869598</c:v>
                </c:pt>
                <c:pt idx="28">
                  <c:v>15.439372600760869</c:v>
                </c:pt>
                <c:pt idx="29">
                  <c:v>16.740444819066212</c:v>
                </c:pt>
                <c:pt idx="30">
                  <c:v>18.082776930024366</c:v>
                </c:pt>
                <c:pt idx="31">
                  <c:v>19.464357321168414</c:v>
                </c:pt>
                <c:pt idx="32">
                  <c:v>20.883065423398943</c:v>
                </c:pt>
                <c:pt idx="33">
                  <c:v>22.336677305029603</c:v>
                </c:pt>
                <c:pt idx="34">
                  <c:v>23.822871569349758</c:v>
                </c:pt>
                <c:pt idx="35">
                  <c:v>25.339235495868138</c:v>
                </c:pt>
                <c:pt idx="36">
                  <c:v>26.883271374527808</c:v>
                </c:pt>
                <c:pt idx="37">
                  <c:v>28.452402989970629</c:v>
                </c:pt>
                <c:pt idx="38">
                  <c:v>30.043982219530811</c:v>
                </c:pt>
                <c:pt idx="39">
                  <c:v>31.655295714196299</c:v>
                </c:pt>
                <c:pt idx="40">
                  <c:v>33.283571636427325</c:v>
                </c:pt>
                <c:pt idx="41">
                  <c:v>34.925986432585297</c:v>
                </c:pt>
                <c:pt idx="42">
                  <c:v>36.57967162091208</c:v>
                </c:pt>
                <c:pt idx="43">
                  <c:v>38.241720578608081</c:v>
                </c:pt>
                <c:pt idx="44">
                  <c:v>39.909195313673699</c:v>
                </c:pt>
                <c:pt idx="45">
                  <c:v>41.579133208880187</c:v>
                </c:pt>
                <c:pt idx="46">
                  <c:v>43.248553726589158</c:v>
                </c:pt>
                <c:pt idx="47">
                  <c:v>44.914465064204038</c:v>
                </c:pt>
                <c:pt idx="48">
                  <c:v>46.573870750862099</c:v>
                </c:pt>
                <c:pt idx="49">
                  <c:v>48.223776176606684</c:v>
                </c:pt>
                <c:pt idx="50">
                  <c:v>49.86119504575295</c:v>
                </c:pt>
                <c:pt idx="51">
                  <c:v>51.483155746509837</c:v>
                </c:pt>
                <c:pt idx="52">
                  <c:v>53.086707629172942</c:v>
                </c:pt>
                <c:pt idx="53">
                  <c:v>54.668927185380994</c:v>
                </c:pt>
                <c:pt idx="54">
                  <c:v>56.22692412105215</c:v>
                </c:pt>
                <c:pt idx="55">
                  <c:v>57.757847315701675</c:v>
                </c:pt>
                <c:pt idx="56">
                  <c:v>59.258890660903297</c:v>
                </c:pt>
                <c:pt idx="57">
                  <c:v>60.72729877070357</c:v>
                </c:pt>
                <c:pt idx="58">
                  <c:v>62.160372556841345</c:v>
                </c:pt>
                <c:pt idx="59">
                  <c:v>63.555474661669898</c:v>
                </c:pt>
                <c:pt idx="60">
                  <c:v>64.910034741733213</c:v>
                </c:pt>
                <c:pt idx="61">
                  <c:v>66.221554595015249</c:v>
                </c:pt>
                <c:pt idx="62">
                  <c:v>67.487613124964469</c:v>
                </c:pt>
                <c:pt idx="63">
                  <c:v>68.705871134498821</c:v>
                </c:pt>
                <c:pt idx="64">
                  <c:v>69.874075943319752</c:v>
                </c:pt>
                <c:pt idx="65">
                  <c:v>70.990065822009228</c:v>
                </c:pt>
                <c:pt idx="66">
                  <c:v>72.05177423655185</c:v>
                </c:pt>
                <c:pt idx="67">
                  <c:v>73.057233897114699</c:v>
                </c:pt>
                <c:pt idx="68">
                  <c:v>74.00458060513111</c:v>
                </c:pt>
                <c:pt idx="69">
                  <c:v>74.892056892969478</c:v>
                </c:pt>
                <c:pt idx="70">
                  <c:v>75.718015450725687</c:v>
                </c:pt>
                <c:pt idx="71">
                  <c:v>76.480922334954741</c:v>
                </c:pt>
                <c:pt idx="72">
                  <c:v>77.179359954454455</c:v>
                </c:pt>
                <c:pt idx="73">
                  <c:v>77.812029828529987</c:v>
                </c:pt>
                <c:pt idx="74">
                  <c:v>78.377755113500712</c:v>
                </c:pt>
                <c:pt idx="75">
                  <c:v>78.875482893560431</c:v>
                </c:pt>
                <c:pt idx="76">
                  <c:v>79.30428623246614</c:v>
                </c:pt>
                <c:pt idx="77">
                  <c:v>79.663365982908431</c:v>
                </c:pt>
                <c:pt idx="78">
                  <c:v>79.952052350806795</c:v>
                </c:pt>
                <c:pt idx="79">
                  <c:v>80.169806212174677</c:v>
                </c:pt>
                <c:pt idx="80">
                  <c:v>80.316220180610102</c:v>
                </c:pt>
                <c:pt idx="81">
                  <c:v>80.391019423887599</c:v>
                </c:pt>
                <c:pt idx="82">
                  <c:v>80.394062228554191</c:v>
                </c:pt>
                <c:pt idx="83">
                  <c:v>80.32534031186529</c:v>
                </c:pt>
                <c:pt idx="84">
                  <c:v>80.184978880834507</c:v>
                </c:pt>
                <c:pt idx="85">
                  <c:v>79.973236438612815</c:v>
                </c:pt>
                <c:pt idx="86">
                  <c:v>79.690504338857011</c:v>
                </c:pt>
                <c:pt idx="87">
                  <c:v>79.337306089192779</c:v>
                </c:pt>
                <c:pt idx="88">
                  <c:v>78.91429640532364</c:v>
                </c:pt>
                <c:pt idx="89">
                  <c:v>78.422260017782122</c:v>
                </c:pt>
                <c:pt idx="90">
                  <c:v>77.862110233762635</c:v>
                </c:pt>
              </c:numCache>
            </c:numRef>
          </c:yVal>
          <c:smooth val="1"/>
          <c:extLst>
            <c:ext xmlns:c16="http://schemas.microsoft.com/office/drawing/2014/chart" uri="{C3380CC4-5D6E-409C-BE32-E72D297353CC}">
              <c16:uniqueId val="{00000000-DDB6-43F8-9F7F-B5DF51955EB4}"/>
            </c:ext>
          </c:extLst>
        </c:ser>
        <c:ser>
          <c:idx val="1"/>
          <c:order val="1"/>
          <c:tx>
            <c:v>Design</c:v>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Manoevering!$B$137:$B$227</c:f>
              <c:numCache>
                <c:formatCode>0.000</c:formatCode>
                <c:ptCount val="91"/>
                <c:pt idx="0" formatCode="General">
                  <c:v>0</c:v>
                </c:pt>
                <c:pt idx="1">
                  <c:v>3.4653211207688699</c:v>
                </c:pt>
                <c:pt idx="2">
                  <c:v>6.5517555656152959</c:v>
                </c:pt>
                <c:pt idx="3">
                  <c:v>9.3553363533431053</c:v>
                </c:pt>
                <c:pt idx="4">
                  <c:v>11.932976424846451</c:v>
                </c:pt>
                <c:pt idx="5">
                  <c:v>14.323402846200512</c:v>
                </c:pt>
                <c:pt idx="6">
                  <c:v>16.551586427849429</c:v>
                </c:pt>
                <c:pt idx="7">
                  <c:v>18.635143023482765</c:v>
                </c:pt>
                <c:pt idx="8">
                  <c:v>20.586418045486166</c:v>
                </c:pt>
                <c:pt idx="9">
                  <c:v>22.413334257753622</c:v>
                </c:pt>
                <c:pt idx="10">
                  <c:v>24.121041970521521</c:v>
                </c:pt>
                <c:pt idx="11">
                  <c:v>25.712691052009625</c:v>
                </c:pt>
                <c:pt idx="12">
                  <c:v>27.189902431726527</c:v>
                </c:pt>
                <c:pt idx="13">
                  <c:v>28.553136204623232</c:v>
                </c:pt>
                <c:pt idx="14">
                  <c:v>29.801989327176592</c:v>
                </c:pt>
                <c:pt idx="15">
                  <c:v>30.935432114355621</c:v>
                </c:pt>
                <c:pt idx="16">
                  <c:v>31.951981617156598</c:v>
                </c:pt>
                <c:pt idx="17">
                  <c:v>32.849999946075101</c:v>
                </c:pt>
                <c:pt idx="18">
                  <c:v>33.627842160362547</c:v>
                </c:pt>
                <c:pt idx="19">
                  <c:v>34.28398802848595</c:v>
                </c:pt>
                <c:pt idx="20">
                  <c:v>34.817159622224104</c:v>
                </c:pt>
                <c:pt idx="21">
                  <c:v>35.226425900187571</c:v>
                </c:pt>
                <c:pt idx="22">
                  <c:v>35.511294925564833</c:v>
                </c:pt>
                <c:pt idx="23">
                  <c:v>35.671794052090853</c:v>
                </c:pt>
                <c:pt idx="24">
                  <c:v>35.708538237984747</c:v>
                </c:pt>
                <c:pt idx="25">
                  <c:v>35.622786566747358</c:v>
                </c:pt>
                <c:pt idx="26">
                  <c:v>35.416487036457887</c:v>
                </c:pt>
                <c:pt idx="27">
                  <c:v>35.092309704667649</c:v>
                </c:pt>
                <c:pt idx="28">
                  <c:v>34.653668329286411</c:v>
                </c:pt>
                <c:pt idx="29">
                  <c:v>34.104730716273359</c:v>
                </c:pt>
                <c:pt idx="30">
                  <c:v>33.450418064681031</c:v>
                </c:pt>
                <c:pt idx="31">
                  <c:v>32.696393682950713</c:v>
                </c:pt>
                <c:pt idx="32">
                  <c:v>31.849041533150757</c:v>
                </c:pt>
                <c:pt idx="33">
                  <c:v>30.915435139056925</c:v>
                </c:pt>
                <c:pt idx="34">
                  <c:v>29.903297467437774</c:v>
                </c:pt>
                <c:pt idx="35">
                  <c:v>28.820952458136823</c:v>
                </c:pt>
                <c:pt idx="36">
                  <c:v>27.67726893656296</c:v>
                </c:pt>
                <c:pt idx="37">
                  <c:v>26.481597691439266</c:v>
                </c:pt>
                <c:pt idx="38">
                  <c:v>25.243702540856983</c:v>
                </c:pt>
                <c:pt idx="39">
                  <c:v>23.973686240812544</c:v>
                </c:pt>
                <c:pt idx="40">
                  <c:v>22.681912112627071</c:v>
                </c:pt>
                <c:pt idx="41">
                  <c:v>21.378922279246119</c:v>
                </c:pt>
                <c:pt idx="42">
                  <c:v>20.075353405770848</c:v>
                </c:pt>
                <c:pt idx="43">
                  <c:v>18.781850837119677</c:v>
                </c:pt>
                <c:pt idx="44">
                  <c:v>17.508982015936869</c:v>
                </c:pt>
                <c:pt idx="45">
                  <c:v>16.267150047244602</c:v>
                </c:pt>
                <c:pt idx="46">
                  <c:v>15.066508253374252</c:v>
                </c:pt>
                <c:pt idx="47">
                  <c:v>13.916876533901997</c:v>
                </c:pt>
                <c:pt idx="48">
                  <c:v>12.827660311131959</c:v>
                </c:pt>
                <c:pt idx="49">
                  <c:v>11.807772802580963</c:v>
                </c:pt>
                <c:pt idx="50">
                  <c:v>10.865561318369711</c:v>
                </c:pt>
                <c:pt idx="51">
                  <c:v>10.00873823384782</c:v>
                </c:pt>
                <c:pt idx="52">
                  <c:v>9.2443172365925168</c:v>
                </c:pt>
                <c:pt idx="53">
                  <c:v>8.5785553925295694</c:v>
                </c:pt>
                <c:pt idx="54">
                  <c:v>8.0169015187286696</c:v>
                </c:pt>
                <c:pt idx="55">
                  <c:v>7.5639512908167426</c:v>
                </c:pt>
                <c:pt idx="56">
                  <c:v>7.2234094513222509</c:v>
                </c:pt>
                <c:pt idx="57">
                  <c:v>6.9980594220017558</c:v>
                </c:pt>
                <c:pt idx="58">
                  <c:v>6.8897405586995069</c:v>
                </c:pt>
                <c:pt idx="59">
                  <c:v>6.8993332219475239</c:v>
                </c:pt>
                <c:pt idx="60">
                  <c:v>7.0267517707279774</c:v>
                </c:pt>
                <c:pt idx="61">
                  <c:v>7.2709455209964675</c:v>
                </c:pt>
                <c:pt idx="62">
                  <c:v>7.6299076451130796</c:v>
                </c:pt>
                <c:pt idx="63">
                  <c:v>8.1006919236598609</c:v>
                </c:pt>
                <c:pt idx="64">
                  <c:v>8.6794371976520992</c:v>
                </c:pt>
                <c:pt idx="65">
                  <c:v>9.361399307289398</c:v>
                </c:pt>
                <c:pt idx="66">
                  <c:v>10.140990243550661</c:v>
                </c:pt>
                <c:pt idx="67">
                  <c:v>11.011824181518529</c:v>
                </c:pt>
                <c:pt idx="68">
                  <c:v>11.966770009717944</c:v>
                </c:pt>
                <c:pt idx="69">
                  <c:v>12.998009918352482</c:v>
                </c:pt>
                <c:pt idx="70">
                  <c:v>14.097103561486797</c:v>
                </c:pt>
                <c:pt idx="71">
                  <c:v>15.255057264300635</c:v>
                </c:pt>
                <c:pt idx="72">
                  <c:v>16.462397706852784</c:v>
                </c:pt>
                <c:pt idx="73">
                  <c:v>17.709249480639446</c:v>
                </c:pt>
                <c:pt idx="74">
                  <c:v>18.985415883878272</c:v>
                </c:pt>
                <c:pt idx="75">
                  <c:v>20.280462296131663</c:v>
                </c:pt>
                <c:pt idx="76">
                  <c:v>21.583801452800742</c:v>
                </c:pt>
                <c:pt idx="77">
                  <c:v>22.884779925335948</c:v>
                </c:pt>
                <c:pt idx="78">
                  <c:v>24.172765103843808</c:v>
                </c:pt>
                <c:pt idx="79">
                  <c:v>25.43723197520152</c:v>
                </c:pt>
                <c:pt idx="80">
                  <c:v>26.667848991859145</c:v>
                </c:pt>
                <c:pt idx="81">
                  <c:v>27.854562334205898</c:v>
                </c:pt>
                <c:pt idx="82">
                  <c:v>28.987677882650878</c:v>
                </c:pt>
                <c:pt idx="83">
                  <c:v>30.057940234323439</c:v>
                </c:pt>
                <c:pt idx="84">
                  <c:v>31.056608123393513</c:v>
                </c:pt>
                <c:pt idx="85">
                  <c:v>31.975525633263874</c:v>
                </c:pt>
                <c:pt idx="86">
                  <c:v>32.80718862306788</c:v>
                </c:pt>
                <c:pt idx="87">
                  <c:v>33.544805829750892</c:v>
                </c:pt>
                <c:pt idx="88">
                  <c:v>34.18235415021536</c:v>
                </c:pt>
                <c:pt idx="89">
                  <c:v>34.714627655226202</c:v>
                </c:pt>
                <c:pt idx="90">
                  <c:v>35.137279937628982</c:v>
                </c:pt>
              </c:numCache>
            </c:numRef>
          </c:xVal>
          <c:yVal>
            <c:numRef>
              <c:f>Manoevering!$C$137:$C$227</c:f>
              <c:numCache>
                <c:formatCode>0.000</c:formatCode>
                <c:ptCount val="91"/>
                <c:pt idx="0" formatCode="General">
                  <c:v>0</c:v>
                </c:pt>
                <c:pt idx="1">
                  <c:v>-0.11609265523927083</c:v>
                </c:pt>
                <c:pt idx="2">
                  <c:v>-0.20227814228188656</c:v>
                </c:pt>
                <c:pt idx="3">
                  <c:v>-0.20510830727012014</c:v>
                </c:pt>
                <c:pt idx="4">
                  <c:v>-0.10531903704762541</c:v>
                </c:pt>
                <c:pt idx="5">
                  <c:v>0.10332106880690967</c:v>
                </c:pt>
                <c:pt idx="6">
                  <c:v>0.42107187137829122</c:v>
                </c:pt>
                <c:pt idx="7">
                  <c:v>0.8458178180860062</c:v>
                </c:pt>
                <c:pt idx="8">
                  <c:v>1.3743692703319463</c:v>
                </c:pt>
                <c:pt idx="9">
                  <c:v>2.0026399548680951</c:v>
                </c:pt>
                <c:pt idx="10">
                  <c:v>2.7261317638125475</c:v>
                </c:pt>
                <c:pt idx="11">
                  <c:v>3.5400766797669228</c:v>
                </c:pt>
                <c:pt idx="12">
                  <c:v>4.4394364060519038</c:v>
                </c:pt>
                <c:pt idx="13">
                  <c:v>5.4188714845707793</c:v>
                </c:pt>
                <c:pt idx="14">
                  <c:v>6.4727011759169581</c:v>
                </c:pt>
                <c:pt idx="15">
                  <c:v>7.59483978408963</c:v>
                </c:pt>
                <c:pt idx="16">
                  <c:v>8.7786262555850403</c:v>
                </c:pt>
                <c:pt idx="17">
                  <c:v>10.017005814617107</c:v>
                </c:pt>
                <c:pt idx="18">
                  <c:v>11.302526946523139</c:v>
                </c:pt>
                <c:pt idx="19">
                  <c:v>12.627350172122219</c:v>
                </c:pt>
                <c:pt idx="20">
                  <c:v>13.983268458674042</c:v>
                </c:pt>
                <c:pt idx="21">
                  <c:v>15.361738728827467</c:v>
                </c:pt>
                <c:pt idx="22">
                  <c:v>16.7539236571541</c:v>
                </c:pt>
                <c:pt idx="23">
                  <c:v>18.150742752034986</c:v>
                </c:pt>
                <c:pt idx="24">
                  <c:v>19.542931587776739</c:v>
                </c:pt>
                <c:pt idx="25">
                  <c:v>20.921107963932393</c:v>
                </c:pt>
                <c:pt idx="26">
                  <c:v>22.275843716368517</c:v>
                </c:pt>
                <c:pt idx="27">
                  <c:v>23.59774088091261</c:v>
                </c:pt>
                <c:pt idx="28">
                  <c:v>24.877510910453609</c:v>
                </c:pt>
                <c:pt idx="29">
                  <c:v>26.1060556662975</c:v>
                </c:pt>
                <c:pt idx="30">
                  <c:v>27.274548941269721</c:v>
                </c:pt>
                <c:pt idx="31">
                  <c:v>28.374517322855269</c:v>
                </c:pt>
                <c:pt idx="32">
                  <c:v>29.397919267255734</c:v>
                </c:pt>
                <c:pt idx="33">
                  <c:v>30.337221327541204</c:v>
                </c:pt>
                <c:pt idx="34">
                  <c:v>31.185470559198414</c:v>
                </c:pt>
                <c:pt idx="35">
                  <c:v>31.936362212605822</c:v>
                </c:pt>
                <c:pt idx="36">
                  <c:v>32.584301912737438</c:v>
                </c:pt>
                <c:pt idx="37">
                  <c:v>33.124461620293872</c:v>
                </c:pt>
                <c:pt idx="38">
                  <c:v>33.552828764210766</c:v>
                </c:pt>
                <c:pt idx="39">
                  <c:v>33.866248031971736</c:v>
                </c:pt>
                <c:pt idx="40">
                  <c:v>34.062455400362794</c:v>
                </c:pt>
                <c:pt idx="41">
                  <c:v>34.140104084384546</c:v>
                </c:pt>
                <c:pt idx="42">
                  <c:v>34.098782175245901</c:v>
                </c:pt>
                <c:pt idx="43">
                  <c:v>33.939021829066853</c:v>
                </c:pt>
                <c:pt idx="44">
                  <c:v>33.662299955586533</c:v>
                </c:pt>
                <c:pt idx="45">
                  <c:v>33.271030440360931</c:v>
                </c:pt>
                <c:pt idx="46">
                  <c:v>32.768548014272682</c:v>
                </c:pt>
                <c:pt idx="47">
                  <c:v>32.159083960356085</c:v>
                </c:pt>
                <c:pt idx="48">
                  <c:v>31.447733919709705</c:v>
                </c:pt>
                <c:pt idx="49">
                  <c:v>30.640418125414449</c:v>
                </c:pt>
                <c:pt idx="50">
                  <c:v>29.743834455719025</c:v>
                </c:pt>
                <c:pt idx="51">
                  <c:v>28.765404755146317</c:v>
                </c:pt>
                <c:pt idx="52">
                  <c:v>27.71321492448412</c:v>
                </c:pt>
                <c:pt idx="53">
                  <c:v>26.595949327740172</c:v>
                </c:pt>
                <c:pt idx="54">
                  <c:v>25.422820105967073</c:v>
                </c:pt>
                <c:pt idx="55">
                  <c:v>24.203492024313615</c:v>
                </c:pt>
                <c:pt idx="56">
                  <c:v>22.94800350966381</c:v>
                </c:pt>
                <c:pt idx="57">
                  <c:v>21.666684561725262</c:v>
                </c:pt>
                <c:pt idx="58">
                  <c:v>20.370072240380225</c:v>
                </c:pt>
                <c:pt idx="59">
                  <c:v>19.068824446487884</c:v>
                </c:pt>
                <c:pt idx="60">
                  <c:v>17.773632722114506</c:v>
                </c:pt>
                <c:pt idx="61">
                  <c:v>16.495134799379507</c:v>
                </c:pt>
                <c:pt idx="62">
                  <c:v>15.243827624772699</c:v>
                </c:pt>
                <c:pt idx="63">
                  <c:v>14.029981577978647</c:v>
                </c:pt>
                <c:pt idx="64">
                  <c:v>12.863556591022906</c:v>
                </c:pt>
                <c:pt idx="65">
                  <c:v>11.75412085504554</c:v>
                </c:pt>
                <c:pt idx="66">
                  <c:v>10.710772778354144</c:v>
                </c:pt>
                <c:pt idx="67">
                  <c:v>9.7420668307874205</c:v>
                </c:pt>
                <c:pt idx="68">
                  <c:v>8.8559438760398983</c:v>
                </c:pt>
                <c:pt idx="69">
                  <c:v>8.0596665556999714</c:v>
                </c:pt>
                <c:pt idx="70">
                  <c:v>7.3597602466109855</c:v>
                </c:pt>
                <c:pt idx="71">
                  <c:v>6.7619600670848534</c:v>
                </c:pt>
                <c:pt idx="72">
                  <c:v>6.2711643578163363</c:v>
                </c:pt>
                <c:pt idx="73">
                  <c:v>5.891395010430009</c:v>
                </c:pt>
                <c:pt idx="74">
                  <c:v>5.6257649608344389</c:v>
                </c:pt>
                <c:pt idx="75">
                  <c:v>5.4764531063774857</c:v>
                </c:pt>
                <c:pt idx="76">
                  <c:v>5.4446868456331918</c:v>
                </c:pt>
                <c:pt idx="77">
                  <c:v>5.5307323779634983</c:v>
                </c:pt>
                <c:pt idx="78">
                  <c:v>5.7338928372616094</c:v>
                </c:pt>
                <c:pt idx="79">
                  <c:v>6.0525142709843607</c:v>
                </c:pt>
                <c:pt idx="80">
                  <c:v>6.4839994122125191</c:v>
                </c:pt>
                <c:pt idx="81">
                  <c:v>7.0248291295383476</c:v>
                </c:pt>
                <c:pt idx="82">
                  <c:v>7.6705913775664332</c:v>
                </c:pt>
                <c:pt idx="83">
                  <c:v>8.416017410219542</c:v>
                </c:pt>
                <c:pt idx="84">
                  <c:v>9.2550249603501804</c:v>
                </c:pt>
                <c:pt idx="85">
                  <c:v>10.180768032841687</c:v>
                </c:pt>
                <c:pt idx="86">
                  <c:v>11.185692904894044</c:v>
                </c:pt>
                <c:pt idx="87">
                  <c:v>12.261599876962208</c:v>
                </c:pt>
                <c:pt idx="88">
                  <c:v>13.399710271256744</c:v>
                </c:pt>
                <c:pt idx="89">
                  <c:v>14.590738132207662</c:v>
                </c:pt>
                <c:pt idx="90">
                  <c:v>15.82496604518068</c:v>
                </c:pt>
              </c:numCache>
            </c:numRef>
          </c:yVal>
          <c:smooth val="1"/>
          <c:extLst>
            <c:ext xmlns:c16="http://schemas.microsoft.com/office/drawing/2014/chart" uri="{C3380CC4-5D6E-409C-BE32-E72D297353CC}">
              <c16:uniqueId val="{00000000-338F-4FA6-B5A9-A3ABF8A92A50}"/>
            </c:ext>
          </c:extLst>
        </c:ser>
        <c:dLbls>
          <c:showLegendKey val="0"/>
          <c:showVal val="0"/>
          <c:showCatName val="0"/>
          <c:showSerName val="0"/>
          <c:showPercent val="0"/>
          <c:showBubbleSize val="0"/>
        </c:dLbls>
        <c:axId val="734686256"/>
        <c:axId val="734687216"/>
      </c:scatterChart>
      <c:valAx>
        <c:axId val="734686256"/>
        <c:scaling>
          <c:orientation val="minMax"/>
          <c:max val="8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X (m)</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687216"/>
        <c:crosses val="autoZero"/>
        <c:crossBetween val="midCat"/>
        <c:majorUnit val="20"/>
      </c:valAx>
      <c:valAx>
        <c:axId val="73468721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Y (m)</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686256"/>
        <c:crosses val="autoZero"/>
        <c:crossBetween val="midCat"/>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132769482905682E-2"/>
          <c:y val="0.13260226283724982"/>
          <c:w val="0.84283084181488921"/>
          <c:h val="0.79039767548638662"/>
        </c:manualLayout>
      </c:layout>
      <c:scatterChart>
        <c:scatterStyle val="smoothMarker"/>
        <c:varyColors val="0"/>
        <c:ser>
          <c:idx val="0"/>
          <c:order val="0"/>
          <c:tx>
            <c:v>Olympias</c:v>
          </c:tx>
          <c:spPr>
            <a:ln w="19050" cap="rnd">
              <a:solidFill>
                <a:schemeClr val="accent1"/>
              </a:solidFill>
              <a:round/>
            </a:ln>
            <a:effectLst/>
          </c:spPr>
          <c:marker>
            <c:symbol val="none"/>
          </c:marker>
          <c:xVal>
            <c:numRef>
              <c:f>Simulation!$B$5:$B$146</c:f>
              <c:numCache>
                <c:formatCode>0.000</c:formatCode>
                <c:ptCount val="142"/>
                <c:pt idx="0">
                  <c:v>0</c:v>
                </c:pt>
                <c:pt idx="1">
                  <c:v>1.7745825851967372</c:v>
                </c:pt>
                <c:pt idx="2">
                  <c:v>3.5588336083282184</c:v>
                </c:pt>
                <c:pt idx="3">
                  <c:v>5.3504235398028621</c:v>
                </c:pt>
                <c:pt idx="4">
                  <c:v>7.1473209138464897</c:v>
                </c:pt>
                <c:pt idx="5">
                  <c:v>8.9477255883171534</c:v>
                </c:pt>
                <c:pt idx="6">
                  <c:v>10.750011419349352</c:v>
                </c:pt>
                <c:pt idx="7">
                  <c:v>12.552677984101022</c:v>
                </c:pt>
                <c:pt idx="8">
                  <c:v>14.354310546641758</c:v>
                </c:pt>
                <c:pt idx="9">
                  <c:v>16.153547275976255</c:v>
                </c:pt>
                <c:pt idx="10">
                  <c:v>17.949052702403918</c:v>
                </c:pt>
                <c:pt idx="11">
                  <c:v>19.739496467873522</c:v>
                </c:pt>
                <c:pt idx="12">
                  <c:v>21.523536537718822</c:v>
                </c:pt>
                <c:pt idx="13">
                  <c:v>23.299806163750418</c:v>
                </c:pt>
                <c:pt idx="14">
                  <c:v>25.066904004764371</c:v>
                </c:pt>
                <c:pt idx="15">
                  <c:v>26.823386912184297</c:v>
                </c:pt>
                <c:pt idx="16">
                  <c:v>28.567764973557111</c:v>
                </c:pt>
                <c:pt idx="17">
                  <c:v>30.298498475788179</c:v>
                </c:pt>
                <c:pt idx="18">
                  <c:v>32.013996505478907</c:v>
                </c:pt>
                <c:pt idx="19">
                  <c:v>33.712616948017839</c:v>
                </c:pt>
                <c:pt idx="20">
                  <c:v>35.392667682523545</c:v>
                </c:pt>
                <c:pt idx="21">
                  <c:v>37.052408798333104</c:v>
                </c:pt>
                <c:pt idx="22">
                  <c:v>38.690055682060404</c:v>
                </c:pt>
                <c:pt idx="23">
                  <c:v>40.303782843530705</c:v>
                </c:pt>
                <c:pt idx="24">
                  <c:v>41.891728365043797</c:v>
                </c:pt>
                <c:pt idx="25">
                  <c:v>43.451998872100951</c:v>
                </c:pt>
                <c:pt idx="26">
                  <c:v>44.982674935447953</c:v>
                </c:pt>
                <c:pt idx="27">
                  <c:v>46.481816824404518</c:v>
                </c:pt>
                <c:pt idx="28">
                  <c:v>47.947470540245853</c:v>
                </c:pt>
                <c:pt idx="29">
                  <c:v>49.377674066085717</c:v>
                </c:pt>
                <c:pt idx="30">
                  <c:v>50.770463776447713</c:v>
                </c:pt>
                <c:pt idx="31">
                  <c:v>52.123880955636146</c:v>
                </c:pt>
                <c:pt idx="32">
                  <c:v>53.435978379239337</c:v>
                </c:pt>
                <c:pt idx="33">
                  <c:v>54.704826917709838</c:v>
                </c:pt>
                <c:pt idx="34">
                  <c:v>55.928522125046868</c:v>
                </c:pt>
                <c:pt idx="35">
                  <c:v>57.105190779226</c:v>
                </c:pt>
                <c:pt idx="36">
                  <c:v>58.232997344239443</c:v>
                </c:pt>
                <c:pt idx="37">
                  <c:v>59.310150326481164</c:v>
                </c:pt>
                <c:pt idx="38">
                  <c:v>60.334908500780458</c:v>
                </c:pt>
                <c:pt idx="39">
                  <c:v>61.305586983696948</c:v>
                </c:pt>
                <c:pt idx="40">
                  <c:v>62.220563133774974</c:v>
                </c:pt>
                <c:pt idx="41">
                  <c:v>63.078282260347365</c:v>
                </c:pt>
                <c:pt idx="42">
                  <c:v>63.877263124204951</c:v>
                </c:pt>
                <c:pt idx="43">
                  <c:v>64.616103215032254</c:v>
                </c:pt>
                <c:pt idx="44">
                  <c:v>65.293483791971767</c:v>
                </c:pt>
                <c:pt idx="45">
                  <c:v>65.908174675036776</c:v>
                </c:pt>
                <c:pt idx="46">
                  <c:v>66.459038776359705</c:v>
                </c:pt>
                <c:pt idx="47">
                  <c:v>66.945036361452892</c:v>
                </c:pt>
                <c:pt idx="48">
                  <c:v>67.3652290317808</c:v>
                </c:pt>
                <c:pt idx="49">
                  <c:v>67.718783421006762</c:v>
                </c:pt>
                <c:pt idx="50">
                  <c:v>68.004974598289508</c:v>
                </c:pt>
                <c:pt idx="51">
                  <c:v>68.223189172971843</c:v>
                </c:pt>
                <c:pt idx="52">
                  <c:v>68.372928095930106</c:v>
                </c:pt>
                <c:pt idx="53">
                  <c:v>68.453809153742455</c:v>
                </c:pt>
                <c:pt idx="54">
                  <c:v>68.465569152690151</c:v>
                </c:pt>
                <c:pt idx="55">
                  <c:v>68.408065790430825</c:v>
                </c:pt>
                <c:pt idx="56">
                  <c:v>68.28127921397855</c:v>
                </c:pt>
                <c:pt idx="57">
                  <c:v>68.085313263394013</c:v>
                </c:pt>
                <c:pt idx="58">
                  <c:v>67.820396401330086</c:v>
                </c:pt>
                <c:pt idx="59">
                  <c:v>67.486882329294843</c:v>
                </c:pt>
                <c:pt idx="60">
                  <c:v>67.085250292186672</c:v>
                </c:pt>
                <c:pt idx="61">
                  <c:v>66.616105073324036</c:v>
                </c:pt>
                <c:pt idx="62">
                  <c:v>66.080176682837504</c:v>
                </c:pt>
                <c:pt idx="63">
                  <c:v>65.478319742913129</c:v>
                </c:pt>
                <c:pt idx="64">
                  <c:v>64.811512573974952</c:v>
                </c:pt>
                <c:pt idx="65">
                  <c:v>64.080855986470425</c:v>
                </c:pt>
                <c:pt idx="66">
                  <c:v>63.287571783475897</c:v>
                </c:pt>
                <c:pt idx="67">
                  <c:v>62.433000979870492</c:v>
                </c:pt>
                <c:pt idx="68">
                  <c:v>61.51860174433542</c:v>
                </c:pt>
                <c:pt idx="69">
                  <c:v>60.545947070922544</c:v>
                </c:pt>
                <c:pt idx="70">
                  <c:v>59.516722187400582</c:v>
                </c:pt>
                <c:pt idx="71">
                  <c:v>58.432721708030208</c:v>
                </c:pt>
                <c:pt idx="72">
                  <c:v>57.295846538840081</c:v>
                </c:pt>
                <c:pt idx="73">
                  <c:v>56.108100543875146</c:v>
                </c:pt>
                <c:pt idx="74">
                  <c:v>54.871586981266098</c:v>
                </c:pt>
                <c:pt idx="75">
                  <c:v>53.588504718324842</c:v>
                </c:pt>
                <c:pt idx="76">
                  <c:v>52.261144235205521</c:v>
                </c:pt>
                <c:pt idx="77">
                  <c:v>50.891883426983725</c:v>
                </c:pt>
                <c:pt idx="78">
                  <c:v>49.483183214298656</c:v>
                </c:pt>
                <c:pt idx="79">
                  <c:v>48.037582972973539</c:v>
                </c:pt>
                <c:pt idx="80">
                  <c:v>46.55769579327945</c:v>
                </c:pt>
                <c:pt idx="81">
                  <c:v>45.046203579736186</c:v>
                </c:pt>
                <c:pt idx="82">
                  <c:v>43.505852002551592</c:v>
                </c:pt>
                <c:pt idx="83">
                  <c:v>41.939445311987363</c:v>
                </c:pt>
                <c:pt idx="84">
                  <c:v>40.349841027105562</c:v>
                </c:pt>
                <c:pt idx="85">
                  <c:v>38.739944510495036</c:v>
                </c:pt>
                <c:pt idx="86">
                  <c:v>37.112703440701807</c:v>
                </c:pt>
                <c:pt idx="87">
                  <c:v>35.471102194191189</c:v>
                </c:pt>
                <c:pt idx="88">
                  <c:v>33.818156148753182</c:v>
                </c:pt>
                <c:pt idx="89">
                  <c:v>32.156905920325528</c:v>
                </c:pt>
                <c:pt idx="90">
                  <c:v>30.490411545251796</c:v>
                </c:pt>
              </c:numCache>
            </c:numRef>
          </c:xVal>
          <c:yVal>
            <c:numRef>
              <c:f>Simulation!$C$5:$C$146</c:f>
              <c:numCache>
                <c:formatCode>0.000</c:formatCode>
                <c:ptCount val="142"/>
                <c:pt idx="0">
                  <c:v>0</c:v>
                </c:pt>
                <c:pt idx="1">
                  <c:v>-1.7320212474884293E-2</c:v>
                </c:pt>
                <c:pt idx="2">
                  <c:v>-4.4580206630958789E-2</c:v>
                </c:pt>
                <c:pt idx="3">
                  <c:v>-7.4889189116271251E-2</c:v>
                </c:pt>
                <c:pt idx="4">
                  <c:v>-0.10188797346551663</c:v>
                </c:pt>
                <c:pt idx="5">
                  <c:v>-0.11976325163711361</c:v>
                </c:pt>
                <c:pt idx="6">
                  <c:v>-0.12324105568261577</c:v>
                </c:pt>
                <c:pt idx="7">
                  <c:v>-0.10756565930371334</c:v>
                </c:pt>
                <c:pt idx="8">
                  <c:v>-6.8469215116830823E-2</c:v>
                </c:pt>
                <c:pt idx="9">
                  <c:v>-2.1363586161169401E-3</c:v>
                </c:pt>
                <c:pt idx="10">
                  <c:v>9.4833023708598335E-2</c:v>
                </c:pt>
                <c:pt idx="11">
                  <c:v>0.2254605824772983</c:v>
                </c:pt>
                <c:pt idx="12">
                  <c:v>0.39242433341185223</c:v>
                </c:pt>
                <c:pt idx="13">
                  <c:v>0.59809061033482069</c:v>
                </c:pt>
                <c:pt idx="14">
                  <c:v>0.84454267977845854</c:v>
                </c:pt>
                <c:pt idx="15">
                  <c:v>1.1336058767588972</c:v>
                </c:pt>
                <c:pt idx="16">
                  <c:v>1.466869340216737</c:v>
                </c:pt>
                <c:pt idx="17">
                  <c:v>1.8457045652432564</c:v>
                </c:pt>
                <c:pt idx="18">
                  <c:v>2.2712810682955431</c:v>
                </c:pt>
                <c:pt idx="19">
                  <c:v>2.7445794982968534</c:v>
                </c:pt>
                <c:pt idx="20">
                  <c:v>3.2664025342981833</c:v>
                </c:pt>
                <c:pt idx="21">
                  <c:v>3.8373838994362357</c:v>
                </c:pt>
                <c:pt idx="22">
                  <c:v>4.4579957987090566</c:v>
                </c:pt>
                <c:pt idx="23">
                  <c:v>5.1285550598665584</c:v>
                </c:pt>
                <c:pt idx="24">
                  <c:v>5.8492282260687762</c:v>
                </c:pt>
                <c:pt idx="25">
                  <c:v>6.6200358182483345</c:v>
                </c:pt>
                <c:pt idx="26">
                  <c:v>7.4408559557781864</c:v>
                </c:pt>
                <c:pt idx="27">
                  <c:v>8.3114274969163766</c:v>
                </c:pt>
                <c:pt idx="28">
                  <c:v>9.2313528359738157</c:v>
                </c:pt>
                <c:pt idx="29">
                  <c:v>10.200100472345188</c:v>
                </c:pt>
                <c:pt idx="30">
                  <c:v>11.217007447396664</c:v>
                </c:pt>
                <c:pt idx="31">
                  <c:v>12.281281728552543</c:v>
                </c:pt>
                <c:pt idx="32">
                  <c:v>13.39200460554707</c:v>
                </c:pt>
                <c:pt idx="33">
                  <c:v>14.548133151466528</c:v>
                </c:pt>
                <c:pt idx="34">
                  <c:v>15.748502790657927</c:v>
                </c:pt>
                <c:pt idx="35">
                  <c:v>16.99183000659335</c:v>
                </c:pt>
                <c:pt idx="36">
                  <c:v>18.276715215140612</c:v>
                </c:pt>
                <c:pt idx="37">
                  <c:v>19.60164582221018</c:v>
                </c:pt>
                <c:pt idx="38">
                  <c:v>20.964999479256516</c:v>
                </c:pt>
                <c:pt idx="39">
                  <c:v>22.365047545461927</c:v>
                </c:pt>
                <c:pt idx="40">
                  <c:v>23.799958761495791</c:v>
                </c:pt>
                <c:pt idx="41">
                  <c:v>25.267803136412962</c:v>
                </c:pt>
                <c:pt idx="42">
                  <c:v>26.766556046440108</c:v>
                </c:pt>
                <c:pt idx="43">
                  <c:v>28.294102542019363</c:v>
                </c:pt>
                <c:pt idx="44">
                  <c:v>29.84824185746929</c:v>
                </c:pt>
                <c:pt idx="45">
                  <c:v>31.426692115928514</c:v>
                </c:pt>
                <c:pt idx="46">
                  <c:v>33.027095220820925</c:v>
                </c:pt>
                <c:pt idx="47">
                  <c:v>34.647021923884388</c:v>
                </c:pt>
                <c:pt idx="48">
                  <c:v>36.283977058804929</c:v>
                </c:pt>
                <c:pt idx="49">
                  <c:v>37.935404928668078</c:v>
                </c:pt>
                <c:pt idx="50">
                  <c:v>39.598694834755655</c:v>
                </c:pt>
                <c:pt idx="51">
                  <c:v>41.271186733660826</c:v>
                </c:pt>
                <c:pt idx="52">
                  <c:v>42.95017700925024</c:v>
                </c:pt>
                <c:pt idx="53">
                  <c:v>44.632924345656235</c:v>
                </c:pt>
                <c:pt idx="54">
                  <c:v>46.316655687222976</c:v>
                </c:pt>
                <c:pt idx="55">
                  <c:v>47.998572271147623</c:v>
                </c:pt>
                <c:pt idx="56">
                  <c:v>49.675855718443614</c:v>
                </c:pt>
                <c:pt idx="57">
                  <c:v>51.345674168800166</c:v>
                </c:pt>
                <c:pt idx="58">
                  <c:v>53.005188444913934</c:v>
                </c:pt>
                <c:pt idx="59">
                  <c:v>54.65155823192034</c:v>
                </c:pt>
                <c:pt idx="60">
                  <c:v>56.281948257648395</c:v>
                </c:pt>
                <c:pt idx="61">
                  <c:v>57.893534459559639</c:v>
                </c:pt>
                <c:pt idx="62">
                  <c:v>59.483510124405861</c:v>
                </c:pt>
                <c:pt idx="63">
                  <c:v>61.049091986847728</c:v>
                </c:pt>
                <c:pt idx="64">
                  <c:v>62.587526273514825</c:v>
                </c:pt>
                <c:pt idx="65">
                  <c:v>64.096094679254094</c:v>
                </c:pt>
                <c:pt idx="66">
                  <c:v>65.572120262605722</c:v>
                </c:pt>
                <c:pt idx="67">
                  <c:v>67.012973247861581</c:v>
                </c:pt>
                <c:pt idx="68">
                  <c:v>68.416076721398511</c:v>
                </c:pt>
                <c:pt idx="69">
                  <c:v>69.778912210336145</c:v>
                </c:pt>
                <c:pt idx="70">
                  <c:v>71.09902513194443</c:v>
                </c:pt>
                <c:pt idx="71">
                  <c:v>72.374030102618221</c:v>
                </c:pt>
                <c:pt idx="72">
                  <c:v>73.601616095643649</c:v>
                </c:pt>
                <c:pt idx="73">
                  <c:v>74.77955143740266</c:v>
                </c:pt>
                <c:pt idx="74">
                  <c:v>75.90568863209613</c:v>
                </c:pt>
                <c:pt idx="75">
                  <c:v>76.977969005512165</c:v>
                </c:pt>
                <c:pt idx="76">
                  <c:v>77.994427158822532</c:v>
                </c:pt>
                <c:pt idx="77">
                  <c:v>78.953195223856554</c:v>
                </c:pt>
                <c:pt idx="78">
                  <c:v>79.852506911776601</c:v>
                </c:pt>
                <c:pt idx="79">
                  <c:v>80.690701347562054</c:v>
                </c:pt>
                <c:pt idx="80">
                  <c:v>81.466226683198343</c:v>
                </c:pt>
                <c:pt idx="81">
                  <c:v>82.177643482963362</c:v>
                </c:pt>
                <c:pt idx="82">
                  <c:v>82.823627874704968</c:v>
                </c:pt>
                <c:pt idx="83">
                  <c:v>83.402974461508904</c:v>
                </c:pt>
                <c:pt idx="84">
                  <c:v>83.914598988666313</c:v>
                </c:pt>
                <c:pt idx="85">
                  <c:v>84.357540761362728</c:v>
                </c:pt>
                <c:pt idx="86">
                  <c:v>84.73096480902592</c:v>
                </c:pt>
                <c:pt idx="87">
                  <c:v>85.034163792786913</c:v>
                </c:pt>
                <c:pt idx="88">
                  <c:v>85.266559653026704</c:v>
                </c:pt>
                <c:pt idx="89">
                  <c:v>85.427704994499763</c:v>
                </c:pt>
                <c:pt idx="90">
                  <c:v>85.517284207043645</c:v>
                </c:pt>
              </c:numCache>
            </c:numRef>
          </c:yVal>
          <c:smooth val="1"/>
          <c:extLst>
            <c:ext xmlns:c16="http://schemas.microsoft.com/office/drawing/2014/chart" uri="{C3380CC4-5D6E-409C-BE32-E72D297353CC}">
              <c16:uniqueId val="{00000000-1CF8-436C-9D3E-5275E3C3A8BB}"/>
            </c:ext>
          </c:extLst>
        </c:ser>
        <c:ser>
          <c:idx val="1"/>
          <c:order val="1"/>
          <c:tx>
            <c:v>Design</c:v>
          </c:tx>
          <c:spPr>
            <a:ln w="19050" cap="rnd">
              <a:solidFill>
                <a:schemeClr val="accent2"/>
              </a:solidFill>
              <a:round/>
            </a:ln>
            <a:effectLst/>
          </c:spPr>
          <c:marker>
            <c:symbol val="none"/>
          </c:marker>
          <c:xVal>
            <c:numRef>
              <c:f>Simulation!$H$5:$H$146</c:f>
              <c:numCache>
                <c:formatCode>0.000</c:formatCode>
                <c:ptCount val="142"/>
                <c:pt idx="0">
                  <c:v>0</c:v>
                </c:pt>
                <c:pt idx="1">
                  <c:v>1.6240281286266571</c:v>
                </c:pt>
                <c:pt idx="2">
                  <c:v>3.2242134523728891</c:v>
                </c:pt>
                <c:pt idx="3">
                  <c:v>4.8029792638129445</c:v>
                </c:pt>
                <c:pt idx="4">
                  <c:v>6.3624331084956518</c:v>
                </c:pt>
                <c:pt idx="5">
                  <c:v>7.9043910251691161</c:v>
                </c:pt>
                <c:pt idx="6">
                  <c:v>9.4303976924179729</c:v>
                </c:pt>
                <c:pt idx="7">
                  <c:v>10.941687199378165</c:v>
                </c:pt>
                <c:pt idx="8">
                  <c:v>12.439290518732896</c:v>
                </c:pt>
                <c:pt idx="9">
                  <c:v>13.924054345642627</c:v>
                </c:pt>
                <c:pt idx="10">
                  <c:v>15.396658473920864</c:v>
                </c:pt>
                <c:pt idx="11">
                  <c:v>16.857631644497047</c:v>
                </c:pt>
                <c:pt idx="12">
                  <c:v>18.307365910741673</c:v>
                </c:pt>
                <c:pt idx="13">
                  <c:v>19.746129622885032</c:v>
                </c:pt>
                <c:pt idx="14">
                  <c:v>21.174079158781112</c:v>
                </c:pt>
                <c:pt idx="15">
                  <c:v>22.591269533766059</c:v>
                </c:pt>
                <c:pt idx="16">
                  <c:v>23.997664016967295</c:v>
                </c:pt>
                <c:pt idx="17">
                  <c:v>25.393142870607921</c:v>
                </c:pt>
                <c:pt idx="18">
                  <c:v>26.777511315946413</c:v>
                </c:pt>
                <c:pt idx="19">
                  <c:v>28.150506816405041</c:v>
                </c:pt>
                <c:pt idx="20">
                  <c:v>29.511805756184945</c:v>
                </c:pt>
                <c:pt idx="21">
                  <c:v>30.861029581703608</c:v>
                </c:pt>
                <c:pt idx="22">
                  <c:v>32.197750463661457</c:v>
                </c:pt>
                <c:pt idx="23">
                  <c:v>33.521496529410612</c:v>
                </c:pt>
                <c:pt idx="24">
                  <c:v>34.831756708435286</c:v>
                </c:pt>
                <c:pt idx="25">
                  <c:v>36.127985227999133</c:v>
                </c:pt>
                <c:pt idx="26">
                  <c:v>37.409605791204527</c:v>
                </c:pt>
                <c:pt idx="27">
                  <c:v>38.676015465687357</c:v>
                </c:pt>
                <c:pt idx="28">
                  <c:v>39.926588307800635</c:v>
                </c:pt>
                <c:pt idx="29">
                  <c:v>41.16067874430378</c:v>
                </c:pt>
                <c:pt idx="30">
                  <c:v>42.377624731172872</c:v>
                </c:pt>
                <c:pt idx="31">
                  <c:v>43.576750707100004</c:v>
                </c:pt>
                <c:pt idx="32">
                  <c:v>44.757370357490615</c:v>
                </c:pt>
                <c:pt idx="33">
                  <c:v>45.918789203243946</c:v>
                </c:pt>
                <c:pt idx="34">
                  <c:v>47.060307027270561</c:v>
                </c:pt>
                <c:pt idx="35">
                  <c:v>48.181220150528581</c:v>
                </c:pt>
                <c:pt idx="36">
                  <c:v>49.280823568319917</c:v>
                </c:pt>
                <c:pt idx="37">
                  <c:v>50.358412956657887</c:v>
                </c:pt>
                <c:pt idx="38">
                  <c:v>51.413286557681438</c:v>
                </c:pt>
                <c:pt idx="39">
                  <c:v>52.444746952334761</c:v>
                </c:pt>
                <c:pt idx="40">
                  <c:v>53.45210272784405</c:v>
                </c:pt>
                <c:pt idx="41">
                  <c:v>54.434670046896635</c:v>
                </c:pt>
                <c:pt idx="42">
                  <c:v>55.3917741248544</c:v>
                </c:pt>
                <c:pt idx="43">
                  <c:v>56.322750620808129</c:v>
                </c:pt>
                <c:pt idx="44">
                  <c:v>57.226946947796691</c:v>
                </c:pt>
                <c:pt idx="45">
                  <c:v>58.103723507071521</c:v>
                </c:pt>
                <c:pt idx="46">
                  <c:v>58.952454850878652</c:v>
                </c:pt>
                <c:pt idx="47">
                  <c:v>59.77253077785511</c:v>
                </c:pt>
                <c:pt idx="48">
                  <c:v>60.563357364790974</c:v>
                </c:pt>
                <c:pt idx="49">
                  <c:v>61.324357938190744</c:v>
                </c:pt>
                <c:pt idx="50">
                  <c:v>62.054973988775551</c:v>
                </c:pt>
                <c:pt idx="51">
                  <c:v>62.754666031799673</c:v>
                </c:pt>
                <c:pt idx="52">
                  <c:v>63.422914415808641</c:v>
                </c:pt>
                <c:pt idx="53">
                  <c:v>64.059220082240799</c:v>
                </c:pt>
                <c:pt idx="54">
                  <c:v>64.663105278067718</c:v>
                </c:pt>
                <c:pt idx="55">
                  <c:v>65.234114223480091</c:v>
                </c:pt>
                <c:pt idx="56">
                  <c:v>65.771813736453524</c:v>
                </c:pt>
                <c:pt idx="57">
                  <c:v>66.275793815871339</c:v>
                </c:pt>
                <c:pt idx="58">
                  <c:v>66.745668184738733</c:v>
                </c:pt>
                <c:pt idx="59">
                  <c:v>67.18107479489241</c:v>
                </c:pt>
                <c:pt idx="60">
                  <c:v>67.581676294491999</c:v>
                </c:pt>
                <c:pt idx="61">
                  <c:v>67.947160459472542</c:v>
                </c:pt>
                <c:pt idx="62">
                  <c:v>68.277240590040819</c:v>
                </c:pt>
                <c:pt idx="63">
                  <c:v>68.571655873210915</c:v>
                </c:pt>
                <c:pt idx="64">
                  <c:v>68.830171712295964</c:v>
                </c:pt>
                <c:pt idx="65">
                  <c:v>69.052580024202129</c:v>
                </c:pt>
                <c:pt idx="66">
                  <c:v>69.238699505307792</c:v>
                </c:pt>
                <c:pt idx="67">
                  <c:v>69.388375866654044</c:v>
                </c:pt>
                <c:pt idx="68">
                  <c:v>69.501482039121953</c:v>
                </c:pt>
                <c:pt idx="69">
                  <c:v>69.577918349227332</c:v>
                </c:pt>
                <c:pt idx="70">
                  <c:v>69.617612666123463</c:v>
                </c:pt>
                <c:pt idx="71">
                  <c:v>69.620520520367393</c:v>
                </c:pt>
                <c:pt idx="72">
                  <c:v>69.586625194974118</c:v>
                </c:pt>
                <c:pt idx="73">
                  <c:v>69.515937789256142</c:v>
                </c:pt>
                <c:pt idx="74">
                  <c:v>69.408497255922015</c:v>
                </c:pt>
                <c:pt idx="75">
                  <c:v>69.264370411887356</c:v>
                </c:pt>
                <c:pt idx="76">
                  <c:v>69.083651923234342</c:v>
                </c:pt>
                <c:pt idx="77">
                  <c:v>68.866464264740657</c:v>
                </c:pt>
                <c:pt idx="78">
                  <c:v>68.612957654386818</c:v>
                </c:pt>
                <c:pt idx="79">
                  <c:v>68.323309963240348</c:v>
                </c:pt>
                <c:pt idx="80">
                  <c:v>67.99772660110709</c:v>
                </c:pt>
                <c:pt idx="81">
                  <c:v>67.636440378333617</c:v>
                </c:pt>
                <c:pt idx="82">
                  <c:v>67.239711344139693</c:v>
                </c:pt>
                <c:pt idx="83">
                  <c:v>66.807826601856604</c:v>
                </c:pt>
                <c:pt idx="84">
                  <c:v>66.341100101444866</c:v>
                </c:pt>
                <c:pt idx="85">
                  <c:v>65.839872409664352</c:v>
                </c:pt>
                <c:pt idx="86">
                  <c:v>65.304510458269633</c:v>
                </c:pt>
                <c:pt idx="87">
                  <c:v>64.735407270604952</c:v>
                </c:pt>
                <c:pt idx="88">
                  <c:v>64.132981666975013</c:v>
                </c:pt>
                <c:pt idx="89">
                  <c:v>63.497677949170608</c:v>
                </c:pt>
                <c:pt idx="90">
                  <c:v>62.82996556453179</c:v>
                </c:pt>
              </c:numCache>
            </c:numRef>
          </c:xVal>
          <c:yVal>
            <c:numRef>
              <c:f>Simulation!$I$5:$I$146</c:f>
              <c:numCache>
                <c:formatCode>0.000</c:formatCode>
                <c:ptCount val="142"/>
                <c:pt idx="0">
                  <c:v>0</c:v>
                </c:pt>
                <c:pt idx="1">
                  <c:v>-1.4168621196726232E-2</c:v>
                </c:pt>
                <c:pt idx="2">
                  <c:v>-3.5035074712947582E-2</c:v>
                </c:pt>
                <c:pt idx="3">
                  <c:v>-5.6439956574369177E-2</c:v>
                </c:pt>
                <c:pt idx="4">
                  <c:v>-7.3293048634773178E-2</c:v>
                </c:pt>
                <c:pt idx="5">
                  <c:v>-8.1376522774601112E-2</c:v>
                </c:pt>
                <c:pt idx="6">
                  <c:v>-7.7185052352309089E-2</c:v>
                </c:pt>
                <c:pt idx="7">
                  <c:v>-5.7799789778164176E-2</c:v>
                </c:pt>
                <c:pt idx="8">
                  <c:v>-2.0780064522515171E-2</c:v>
                </c:pt>
                <c:pt idx="9">
                  <c:v>3.592204263169807E-2</c:v>
                </c:pt>
                <c:pt idx="10">
                  <c:v>0.11403096550247555</c:v>
                </c:pt>
                <c:pt idx="11">
                  <c:v>0.21500366500717616</c:v>
                </c:pt>
                <c:pt idx="12">
                  <c:v>0.34007482034214659</c:v>
                </c:pt>
                <c:pt idx="13">
                  <c:v>0.49029322155647459</c:v>
                </c:pt>
                <c:pt idx="14">
                  <c:v>0.66655103499834367</c:v>
                </c:pt>
                <c:pt idx="15">
                  <c:v>0.86960731457086904</c:v>
                </c:pt>
                <c:pt idx="16">
                  <c:v>1.1001068805044658</c:v>
                </c:pt>
                <c:pt idx="17">
                  <c:v>1.3585954779078717</c:v>
                </c:pt>
                <c:pt idx="18">
                  <c:v>1.6455319541806737</c:v>
                </c:pt>
                <c:pt idx="19">
                  <c:v>1.9612980521701968</c:v>
                </c:pt>
                <c:pt idx="20">
                  <c:v>2.3062062998621267</c:v>
                </c:pt>
                <c:pt idx="21">
                  <c:v>2.6805063830550386</c:v>
                </c:pt>
                <c:pt idx="22">
                  <c:v>3.0843903110930224</c:v>
                </c:pt>
                <c:pt idx="23">
                  <c:v>3.5179966240796627</c:v>
                </c:pt>
                <c:pt idx="24">
                  <c:v>3.9814138403469972</c:v>
                </c:pt>
                <c:pt idx="25">
                  <c:v>4.4746833030408979</c:v>
                </c:pt>
                <c:pt idx="26">
                  <c:v>4.9978015526453738</c:v>
                </c:pt>
                <c:pt idx="27">
                  <c:v>5.5507223265784003</c:v>
                </c:pt>
                <c:pt idx="28">
                  <c:v>6.1333582664117774</c:v>
                </c:pt>
                <c:pt idx="29">
                  <c:v>6.7455823967936892</c:v>
                </c:pt>
                <c:pt idx="30">
                  <c:v>7.3872294269751473</c:v>
                </c:pt>
                <c:pt idx="31">
                  <c:v>8.0580969153079618</c:v>
                </c:pt>
                <c:pt idx="32">
                  <c:v>8.7579463286678347</c:v>
                </c:pt>
                <c:pt idx="33">
                  <c:v>9.4865040220403838</c:v>
                </c:pt>
                <c:pt idx="34">
                  <c:v>10.243462158152258</c:v>
                </c:pt>
                <c:pt idx="35">
                  <c:v>11.028479582762856</c:v>
                </c:pt>
                <c:pt idx="36">
                  <c:v>11.841182667836957</c:v>
                </c:pt>
                <c:pt idx="37">
                  <c:v>12.681166132120477</c:v>
                </c:pt>
                <c:pt idx="38">
                  <c:v>13.547993846500601</c:v>
                </c:pt>
                <c:pt idx="39">
                  <c:v>14.44119962983574</c:v>
                </c:pt>
                <c:pt idx="40">
                  <c:v>15.360288039600086</c:v>
                </c:pt>
                <c:pt idx="41">
                  <c:v>16.304735160630006</c:v>
                </c:pt>
                <c:pt idx="42">
                  <c:v>17.273989394427375</c:v>
                </c:pt>
                <c:pt idx="43">
                  <c:v>18.267472250821854</c:v>
                </c:pt>
                <c:pt idx="44">
                  <c:v>19.284579143283285</c:v>
                </c:pt>
                <c:pt idx="45">
                  <c:v>20.32468018877686</c:v>
                </c:pt>
                <c:pt idx="46">
                  <c:v>21.387121012744114</c:v>
                </c:pt>
                <c:pt idx="47">
                  <c:v>22.471223559553149</c:v>
                </c:pt>
                <c:pt idx="48">
                  <c:v>23.57628690857668</c:v>
                </c:pt>
                <c:pt idx="49">
                  <c:v>24.701588095914712</c:v>
                </c:pt>
                <c:pt idx="50">
                  <c:v>25.846382941670154</c:v>
                </c:pt>
                <c:pt idx="51">
                  <c:v>27.009906882603307</c:v>
                </c:pt>
                <c:pt idx="52">
                  <c:v>28.191375809928591</c:v>
                </c:pt>
                <c:pt idx="53">
                  <c:v>29.389986911969729</c:v>
                </c:pt>
                <c:pt idx="54">
                  <c:v>30.604919521354141</c:v>
                </c:pt>
                <c:pt idx="55">
                  <c:v>31.835335966400581</c:v>
                </c:pt>
                <c:pt idx="56">
                  <c:v>33.080382426333998</c:v>
                </c:pt>
                <c:pt idx="57">
                  <c:v>34.339189789946445</c:v>
                </c:pt>
                <c:pt idx="58">
                  <c:v>35.610874517311302</c:v>
                </c:pt>
                <c:pt idx="59">
                  <c:v>36.894539504149094</c:v>
                </c:pt>
                <c:pt idx="60">
                  <c:v>38.189274948436079</c:v>
                </c:pt>
                <c:pt idx="61">
                  <c:v>39.494159218841126</c:v>
                </c:pt>
                <c:pt idx="62">
                  <c:v>40.8082597245713</c:v>
                </c:pt>
                <c:pt idx="63">
                  <c:v>42.130633786202601</c:v>
                </c:pt>
                <c:pt idx="64">
                  <c:v>43.460329507068231</c:v>
                </c:pt>
                <c:pt idx="65">
                  <c:v>44.796386644773428</c:v>
                </c:pt>
                <c:pt idx="66">
                  <c:v>46.137837482402418</c:v>
                </c:pt>
                <c:pt idx="67">
                  <c:v>47.48370769897997</c:v>
                </c:pt>
                <c:pt idx="68">
                  <c:v>48.833017238746919</c:v>
                </c:pt>
                <c:pt idx="69">
                  <c:v>50.184781178806205</c:v>
                </c:pt>
                <c:pt idx="70">
                  <c:v>51.538010594693056</c:v>
                </c:pt>
                <c:pt idx="71">
                  <c:v>52.891713423420498</c:v>
                </c:pt>
                <c:pt idx="72">
                  <c:v>54.244895323548867</c:v>
                </c:pt>
                <c:pt idx="73">
                  <c:v>55.596560531825709</c:v>
                </c:pt>
                <c:pt idx="74">
                  <c:v>56.945712715940623</c:v>
                </c:pt>
                <c:pt idx="75">
                  <c:v>58.291355822937781</c:v>
                </c:pt>
                <c:pt idx="76">
                  <c:v>59.632494922827348</c:v>
                </c:pt>
                <c:pt idx="77">
                  <c:v>60.968137046936093</c:v>
                </c:pt>
                <c:pt idx="78">
                  <c:v>62.297292020536446</c:v>
                </c:pt>
                <c:pt idx="79">
                  <c:v>63.618973289292988</c:v>
                </c:pt>
                <c:pt idx="80">
                  <c:v>64.932198739065143</c:v>
                </c:pt>
                <c:pt idx="81">
                  <c:v>66.23599150860511</c:v>
                </c:pt>
                <c:pt idx="82">
                  <c:v>67.529380794690894</c:v>
                </c:pt>
                <c:pt idx="83">
                  <c:v>68.811402649235148</c:v>
                </c:pt>
                <c:pt idx="84">
                  <c:v>70.081100767912176</c:v>
                </c:pt>
                <c:pt idx="85">
                  <c:v>71.337527269847158</c:v>
                </c:pt>
                <c:pt idx="86">
                  <c:v>72.579743467914156</c:v>
                </c:pt>
                <c:pt idx="87">
                  <c:v>73.806820629191975</c:v>
                </c:pt>
                <c:pt idx="88">
                  <c:v>75.017840725130213</c:v>
                </c:pt>
                <c:pt idx="89">
                  <c:v>76.211897170981231</c:v>
                </c:pt>
                <c:pt idx="90">
                  <c:v>77.388095554058026</c:v>
                </c:pt>
              </c:numCache>
            </c:numRef>
          </c:yVal>
          <c:smooth val="1"/>
          <c:extLst>
            <c:ext xmlns:c16="http://schemas.microsoft.com/office/drawing/2014/chart" uri="{C3380CC4-5D6E-409C-BE32-E72D297353CC}">
              <c16:uniqueId val="{00000001-1CF8-436C-9D3E-5275E3C3A8BB}"/>
            </c:ext>
          </c:extLst>
        </c:ser>
        <c:dLbls>
          <c:showLegendKey val="0"/>
          <c:showVal val="0"/>
          <c:showCatName val="0"/>
          <c:showSerName val="0"/>
          <c:showPercent val="0"/>
          <c:showBubbleSize val="0"/>
        </c:dLbls>
        <c:axId val="1684860559"/>
        <c:axId val="1684855759"/>
      </c:scatterChart>
      <c:valAx>
        <c:axId val="1684860559"/>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855759"/>
        <c:crosses val="autoZero"/>
        <c:crossBetween val="midCat"/>
      </c:valAx>
      <c:valAx>
        <c:axId val="168485575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86055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Olympias</c:v>
          </c:tx>
          <c:spPr>
            <a:ln w="19050" cap="rnd">
              <a:solidFill>
                <a:schemeClr val="accent1"/>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Powering!$N$88:$N$288</c:f>
              <c:numCache>
                <c:formatCode>General</c:formatCode>
                <c:ptCount val="201"/>
                <c:pt idx="0">
                  <c:v>0.53436273541774104</c:v>
                </c:pt>
                <c:pt idx="1">
                  <c:v>1.0520246603987182</c:v>
                </c:pt>
                <c:pt idx="2">
                  <c:v>1.5533447044777295</c:v>
                </c:pt>
                <c:pt idx="3">
                  <c:v>2.0374256303802398</c:v>
                </c:pt>
                <c:pt idx="4">
                  <c:v>2.5047429646890698</c:v>
                </c:pt>
                <c:pt idx="5">
                  <c:v>2.9545259894983729</c:v>
                </c:pt>
                <c:pt idx="6">
                  <c:v>3.3874326132293726</c:v>
                </c:pt>
                <c:pt idx="7">
                  <c:v>3.8028819400738421</c:v>
                </c:pt>
                <c:pt idx="8">
                  <c:v>4.2014411913433278</c:v>
                </c:pt>
                <c:pt idx="9">
                  <c:v>4.5831657651280233</c:v>
                </c:pt>
                <c:pt idx="10">
                  <c:v>4.9481751106908227</c:v>
                </c:pt>
                <c:pt idx="11">
                  <c:v>5.2972011663812522</c:v>
                </c:pt>
                <c:pt idx="12">
                  <c:v>5.6300124644037037</c:v>
                </c:pt>
                <c:pt idx="13">
                  <c:v>5.9472074347338229</c:v>
                </c:pt>
                <c:pt idx="14">
                  <c:v>6.2495188340179215</c:v>
                </c:pt>
                <c:pt idx="15">
                  <c:v>6.5353556517526892</c:v>
                </c:pt>
                <c:pt idx="16">
                  <c:v>6.8051576913273895</c:v>
                </c:pt>
                <c:pt idx="17">
                  <c:v>7.059824466361996</c:v>
                </c:pt>
                <c:pt idx="18">
                  <c:v>7.2991547956945038</c:v>
                </c:pt>
                <c:pt idx="19">
                  <c:v>7.5208577457086223</c:v>
                </c:pt>
                <c:pt idx="20">
                  <c:v>7.7262316244896692</c:v>
                </c:pt>
                <c:pt idx="21">
                  <c:v>7.9164791159320975</c:v>
                </c:pt>
                <c:pt idx="22">
                  <c:v>8.0927143227410614</c:v>
                </c:pt>
                <c:pt idx="23">
                  <c:v>8.2554062714880736</c:v>
                </c:pt>
                <c:pt idx="24">
                  <c:v>8.4051275149717686</c:v>
                </c:pt>
                <c:pt idx="25">
                  <c:v>8.5429121498166136</c:v>
                </c:pt>
                <c:pt idx="26">
                  <c:v>8.6697118287238712</c:v>
                </c:pt>
                <c:pt idx="27">
                  <c:v>8.7864023333587937</c:v>
                </c:pt>
                <c:pt idx="28">
                  <c:v>8.8937896232107825</c:v>
                </c:pt>
                <c:pt idx="29">
                  <c:v>8.9926154022048319</c:v>
                </c:pt>
                <c:pt idx="30">
                  <c:v>9.083562241511812</c:v>
                </c:pt>
                <c:pt idx="31">
                  <c:v>9.1659567929916133</c:v>
                </c:pt>
                <c:pt idx="32">
                  <c:v>9.2404990795421593</c:v>
                </c:pt>
                <c:pt idx="33">
                  <c:v>9.3079374281269658</c:v>
                </c:pt>
                <c:pt idx="34">
                  <c:v>9.3689488495670918</c:v>
                </c:pt>
                <c:pt idx="35">
                  <c:v>9.4241458350250564</c:v>
                </c:pt>
                <c:pt idx="36">
                  <c:v>9.4740825047785471</c:v>
                </c:pt>
                <c:pt idx="37">
                  <c:v>9.519260171011215</c:v>
                </c:pt>
                <c:pt idx="38">
                  <c:v>9.5601323704651548</c:v>
                </c:pt>
                <c:pt idx="39">
                  <c:v>9.5971094174777054</c:v>
                </c:pt>
                <c:pt idx="40">
                  <c:v>9.6305625231102834</c:v>
                </c:pt>
                <c:pt idx="41">
                  <c:v>9.6608275217210302</c:v>
                </c:pt>
                <c:pt idx="42">
                  <c:v>9.6882082423921929</c:v>
                </c:pt>
                <c:pt idx="43">
                  <c:v>9.7129795590578407</c:v>
                </c:pt>
                <c:pt idx="44">
                  <c:v>9.7353901499520425</c:v>
                </c:pt>
                <c:pt idx="45">
                  <c:v>9.755664994079476</c:v>
                </c:pt>
                <c:pt idx="46">
                  <c:v>9.7740076297704448</c:v>
                </c:pt>
                <c:pt idx="47">
                  <c:v>9.7906021979938487</c:v>
                </c:pt>
                <c:pt idx="48">
                  <c:v>9.8056152909408372</c:v>
                </c:pt>
                <c:pt idx="49">
                  <c:v>9.8191976244369883</c:v>
                </c:pt>
                <c:pt idx="50">
                  <c:v>9.8314855509723156</c:v>
                </c:pt>
                <c:pt idx="51">
                  <c:v>9.842602428538342</c:v>
                </c:pt>
                <c:pt idx="52">
                  <c:v>9.8526598590139116</c:v>
                </c:pt>
                <c:pt idx="53">
                  <c:v>9.8617588085319046</c:v>
                </c:pt>
                <c:pt idx="54">
                  <c:v>9.8699906210740878</c:v>
                </c:pt>
                <c:pt idx="55">
                  <c:v>9.8774379354696311</c:v>
                </c:pt>
                <c:pt idx="56">
                  <c:v>9.8841755150029176</c:v>
                </c:pt>
                <c:pt idx="57">
                  <c:v>9.8902709979590977</c:v>
                </c:pt>
                <c:pt idx="58">
                  <c:v>9.895785576642071</c:v>
                </c:pt>
                <c:pt idx="59">
                  <c:v>9.900774611681511</c:v>
                </c:pt>
                <c:pt idx="60">
                  <c:v>9.9052881877959695</c:v>
                </c:pt>
                <c:pt idx="61">
                  <c:v>9.9093716165913097</c:v>
                </c:pt>
                <c:pt idx="62">
                  <c:v>9.9130658914420611</c:v>
                </c:pt>
                <c:pt idx="63">
                  <c:v>9.9164080990222416</c:v>
                </c:pt>
                <c:pt idx="64">
                  <c:v>9.9194317916169421</c:v>
                </c:pt>
                <c:pt idx="65">
                  <c:v>9.9221673239523547</c:v>
                </c:pt>
                <c:pt idx="66">
                  <c:v>9.9246421579256268</c:v>
                </c:pt>
                <c:pt idx="67">
                  <c:v>9.9268811382937141</c:v>
                </c:pt>
                <c:pt idx="68">
                  <c:v>9.9289067420888859</c:v>
                </c:pt>
                <c:pt idx="69">
                  <c:v>9.9307393042647316</c:v>
                </c:pt>
                <c:pt idx="70">
                  <c:v>9.9323972218379222</c:v>
                </c:pt>
                <c:pt idx="71">
                  <c:v>9.9338971385751158</c:v>
                </c:pt>
                <c:pt idx="72">
                  <c:v>9.9352541120790399</c:v>
                </c:pt>
                <c:pt idx="73">
                  <c:v>9.9364817649511554</c:v>
                </c:pt>
                <c:pt idx="74">
                  <c:v>9.9375924215483984</c:v>
                </c:pt>
                <c:pt idx="75">
                  <c:v>9.9385972317068862</c:v>
                </c:pt>
                <c:pt idx="76">
                  <c:v>9.939506282674671</c:v>
                </c:pt>
                <c:pt idx="77">
                  <c:v>9.9403287003772078</c:v>
                </c:pt>
                <c:pt idx="78">
                  <c:v>9.9410727410321513</c:v>
                </c:pt>
                <c:pt idx="79">
                  <c:v>9.941745874033181</c:v>
                </c:pt>
                <c:pt idx="80">
                  <c:v>9.9423548569349407</c:v>
                </c:pt>
                <c:pt idx="81">
                  <c:v>9.942905803291854</c:v>
                </c:pt>
                <c:pt idx="82">
                  <c:v>9.9434042440318482</c:v>
                </c:pt>
                <c:pt idx="83">
                  <c:v>9.9438551829811086</c:v>
                </c:pt>
                <c:pt idx="84">
                  <c:v>9.9442631470972902</c:v>
                </c:pt>
                <c:pt idx="85">
                  <c:v>9.9446322319154543</c:v>
                </c:pt>
                <c:pt idx="86">
                  <c:v>9.9449661426629863</c:v>
                </c:pt>
                <c:pt idx="87">
                  <c:v>9.9452682314562093</c:v>
                </c:pt>
                <c:pt idx="88">
                  <c:v>9.9455415309521573</c:v>
                </c:pt>
                <c:pt idx="89">
                  <c:v>9.9457887847932795</c:v>
                </c:pt>
                <c:pt idx="90">
                  <c:v>9.9460124751507699</c:v>
                </c:pt>
                <c:pt idx="91">
                  <c:v>9.9462148476429704</c:v>
                </c:pt>
                <c:pt idx="92">
                  <c:v>9.9463979338790445</c:v>
                </c:pt>
                <c:pt idx="93">
                  <c:v>9.946563571854222</c:v>
                </c:pt>
                <c:pt idx="94">
                  <c:v>9.9467134244013593</c:v>
                </c:pt>
                <c:pt idx="95">
                  <c:v>9.9468489958840411</c:v>
                </c:pt>
                <c:pt idx="96">
                  <c:v>9.9469716472988328</c:v>
                </c:pt>
                <c:pt idx="97">
                  <c:v>9.9470826099382688</c:v>
                </c:pt>
                <c:pt idx="98">
                  <c:v>9.9471829977517405</c:v>
                </c:pt>
                <c:pt idx="99">
                  <c:v>9.9472738185284015</c:v>
                </c:pt>
                <c:pt idx="100">
                  <c:v>9.9473559840143118</c:v>
                </c:pt>
                <c:pt idx="101">
                  <c:v>9.9474303190654183</c:v>
                </c:pt>
                <c:pt idx="102">
                  <c:v>9.9474975699282595</c:v>
                </c:pt>
                <c:pt idx="103">
                  <c:v>9.9475584117314941</c:v>
                </c:pt>
                <c:pt idx="104">
                  <c:v>9.9476134552634932</c:v>
                </c:pt>
                <c:pt idx="105">
                  <c:v>9.9476632531040217</c:v>
                </c:pt>
                <c:pt idx="106">
                  <c:v>9.9477083051715631</c:v>
                </c:pt>
                <c:pt idx="107">
                  <c:v>9.9477490637419788</c:v>
                </c:pt>
                <c:pt idx="108">
                  <c:v>9.9477859379888898</c:v>
                </c:pt>
                <c:pt idx="109">
                  <c:v>9.9478192980913498</c:v>
                </c:pt>
                <c:pt idx="110">
                  <c:v>9.9478494789500616</c:v>
                </c:pt>
                <c:pt idx="111">
                  <c:v>9.9478767835494342</c:v>
                </c:pt>
                <c:pt idx="112">
                  <c:v>9.9479014859992176</c:v>
                </c:pt>
                <c:pt idx="113">
                  <c:v>9.9479238342862981</c:v>
                </c:pt>
                <c:pt idx="114">
                  <c:v>9.9479440527642158</c:v>
                </c:pt>
                <c:pt idx="115">
                  <c:v>9.9479623444054397</c:v>
                </c:pt>
                <c:pt idx="116">
                  <c:v>9.9479788928390072</c:v>
                </c:pt>
                <c:pt idx="117">
                  <c:v>9.9479938641939682</c:v>
                </c:pt>
                <c:pt idx="118">
                  <c:v>9.9480074087671415</c:v>
                </c:pt>
                <c:pt idx="119">
                  <c:v>9.9480196625319408</c:v>
                </c:pt>
                <c:pt idx="120">
                  <c:v>9.9480307485034096</c:v>
                </c:pt>
                <c:pt idx="121">
                  <c:v>9.9480407779731639</c:v>
                </c:pt>
                <c:pt idx="122">
                  <c:v>9.9480498516266405</c:v>
                </c:pt>
                <c:pt idx="123">
                  <c:v>9.9480580605538727</c:v>
                </c:pt>
                <c:pt idx="124">
                  <c:v>9.9480654871639462</c:v>
                </c:pt>
                <c:pt idx="125">
                  <c:v>9.948072206012295</c:v>
                </c:pt>
                <c:pt idx="126">
                  <c:v>9.9480782845491618</c:v>
                </c:pt>
                <c:pt idx="127">
                  <c:v>9.9480837837967329</c:v>
                </c:pt>
                <c:pt idx="128">
                  <c:v>9.9480887589617275</c:v>
                </c:pt>
                <c:pt idx="129">
                  <c:v>9.948093259989621</c:v>
                </c:pt>
                <c:pt idx="130">
                  <c:v>9.9480973320660535</c:v>
                </c:pt>
                <c:pt idx="131">
                  <c:v>9.948101016070428</c:v>
                </c:pt>
                <c:pt idx="132">
                  <c:v>9.9481043489863179</c:v>
                </c:pt>
                <c:pt idx="133">
                  <c:v>9.9481073642727278</c:v>
                </c:pt>
                <c:pt idx="134">
                  <c:v>9.9481100921999932</c:v>
                </c:pt>
                <c:pt idx="135">
                  <c:v>9.9481125601536675</c:v>
                </c:pt>
                <c:pt idx="136">
                  <c:v>9.9481147929094327</c:v>
                </c:pt>
                <c:pt idx="137">
                  <c:v>9.9481168128818354</c:v>
                </c:pt>
                <c:pt idx="138">
                  <c:v>9.9481186403492945</c:v>
                </c:pt>
                <c:pt idx="139">
                  <c:v>9.9481202936576807</c:v>
                </c:pt>
                <c:pt idx="140">
                  <c:v>9.9481217894044924</c:v>
                </c:pt>
                <c:pt idx="141">
                  <c:v>9.9481231426054659</c:v>
                </c:pt>
                <c:pt idx="142">
                  <c:v>9.9481243668453327</c:v>
                </c:pt>
                <c:pt idx="143">
                  <c:v>9.9481254744141872</c:v>
                </c:pt>
                <c:pt idx="144">
                  <c:v>9.9481264764308666</c:v>
                </c:pt>
                <c:pt idx="145">
                  <c:v>9.948127382954576</c:v>
                </c:pt>
                <c:pt idx="146">
                  <c:v>9.9481282030858722</c:v>
                </c:pt>
                <c:pt idx="147">
                  <c:v>9.9481289450580164</c:v>
                </c:pt>
                <c:pt idx="148">
                  <c:v>9.9481296163196351</c:v>
                </c:pt>
                <c:pt idx="149">
                  <c:v>9.9481302236095015</c:v>
                </c:pt>
                <c:pt idx="150">
                  <c:v>9.9481307730241681</c:v>
                </c:pt>
                <c:pt idx="151">
                  <c:v>9.9481312700791893</c:v>
                </c:pt>
                <c:pt idx="152">
                  <c:v>9.948131719764481</c:v>
                </c:pt>
                <c:pt idx="153">
                  <c:v>9.9481321265944143</c:v>
                </c:pt>
                <c:pt idx="154">
                  <c:v>9.9481324946531373</c:v>
                </c:pt>
                <c:pt idx="155">
                  <c:v>9.9481328276355789</c:v>
                </c:pt>
                <c:pt idx="156">
                  <c:v>9.9481331288845318</c:v>
                </c:pt>
                <c:pt idx="157">
                  <c:v>9.9481334014242258</c:v>
                </c:pt>
                <c:pt idx="158">
                  <c:v>9.9481336479906748</c:v>
                </c:pt>
                <c:pt idx="159">
                  <c:v>9.9481338710591505</c:v>
                </c:pt>
                <c:pt idx="160">
                  <c:v>9.9481340728690242</c:v>
                </c:pt>
                <c:pt idx="161">
                  <c:v>9.9481342554462628</c:v>
                </c:pt>
                <c:pt idx="162">
                  <c:v>9.9481344206237452</c:v>
                </c:pt>
                <c:pt idx="163">
                  <c:v>9.9481345700596879</c:v>
                </c:pt>
                <c:pt idx="164">
                  <c:v>9.948134705254267</c:v>
                </c:pt>
                <c:pt idx="165">
                  <c:v>9.9481348275646972</c:v>
                </c:pt>
                <c:pt idx="166">
                  <c:v>9.9481349382188498</c:v>
                </c:pt>
                <c:pt idx="167">
                  <c:v>9.9481350383275764</c:v>
                </c:pt>
                <c:pt idx="168">
                  <c:v>9.9481351288958599</c:v>
                </c:pt>
                <c:pt idx="169">
                  <c:v>9.9481352108329162</c:v>
                </c:pt>
                <c:pt idx="170">
                  <c:v>9.9481352849613085</c:v>
                </c:pt>
                <c:pt idx="171">
                  <c:v>9.9481353520252078</c:v>
                </c:pt>
                <c:pt idx="172">
                  <c:v>9.9481354126978641</c:v>
                </c:pt>
                <c:pt idx="173">
                  <c:v>9.9481354675883686</c:v>
                </c:pt>
                <c:pt idx="174">
                  <c:v>9.948135517247767</c:v>
                </c:pt>
                <c:pt idx="175">
                  <c:v>9.9481355621745848</c:v>
                </c:pt>
                <c:pt idx="176">
                  <c:v>9.9481356028198427</c:v>
                </c:pt>
                <c:pt idx="177">
                  <c:v>9.948135639591575</c:v>
                </c:pt>
                <c:pt idx="178">
                  <c:v>9.9481356728589336</c:v>
                </c:pt>
                <c:pt idx="179">
                  <c:v>9.9481357029558843</c:v>
                </c:pt>
                <c:pt idx="180">
                  <c:v>9.9481357301845765</c:v>
                </c:pt>
                <c:pt idx="181">
                  <c:v>9.9481357548183489</c:v>
                </c:pt>
                <c:pt idx="182">
                  <c:v>9.9481357771045076</c:v>
                </c:pt>
                <c:pt idx="183">
                  <c:v>9.9481357972667759</c:v>
                </c:pt>
                <c:pt idx="184">
                  <c:v>9.9481358155075643</c:v>
                </c:pt>
                <c:pt idx="185">
                  <c:v>9.9481358320099904</c:v>
                </c:pt>
                <c:pt idx="186">
                  <c:v>9.9481358469397243</c:v>
                </c:pt>
                <c:pt idx="187">
                  <c:v>9.9481358604466426</c:v>
                </c:pt>
                <c:pt idx="188">
                  <c:v>9.9481358726663416</c:v>
                </c:pt>
                <c:pt idx="189">
                  <c:v>9.948135883721493</c:v>
                </c:pt>
                <c:pt idx="190">
                  <c:v>9.9481358937230802</c:v>
                </c:pt>
                <c:pt idx="191">
                  <c:v>9.9481359027715079</c:v>
                </c:pt>
                <c:pt idx="192">
                  <c:v>9.948135910957614</c:v>
                </c:pt>
                <c:pt idx="193">
                  <c:v>9.948135918363576</c:v>
                </c:pt>
                <c:pt idx="194">
                  <c:v>9.9481359250637453</c:v>
                </c:pt>
                <c:pt idx="195">
                  <c:v>9.9481359311253836</c:v>
                </c:pt>
                <c:pt idx="196">
                  <c:v>9.9481359366093436</c:v>
                </c:pt>
                <c:pt idx="197">
                  <c:v>9.9481359415706763</c:v>
                </c:pt>
                <c:pt idx="198">
                  <c:v>9.9481359460591925</c:v>
                </c:pt>
                <c:pt idx="199">
                  <c:v>9.9481359501199478</c:v>
                </c:pt>
                <c:pt idx="200">
                  <c:v>9.9481359537937095</c:v>
                </c:pt>
              </c:numCache>
            </c:numRef>
          </c:yVal>
          <c:smooth val="1"/>
          <c:extLst>
            <c:ext xmlns:c16="http://schemas.microsoft.com/office/drawing/2014/chart" uri="{C3380CC4-5D6E-409C-BE32-E72D297353CC}">
              <c16:uniqueId val="{00000000-0B58-4A7A-8664-E8F7F3953FB6}"/>
            </c:ext>
          </c:extLst>
        </c:ser>
        <c:ser>
          <c:idx val="1"/>
          <c:order val="1"/>
          <c:tx>
            <c:v>Design</c:v>
          </c:tx>
          <c:spPr>
            <a:ln w="19050" cap="rnd">
              <a:solidFill>
                <a:schemeClr val="accent2"/>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Powering!$V$88:$V$288</c:f>
              <c:numCache>
                <c:formatCode>General</c:formatCode>
                <c:ptCount val="201"/>
                <c:pt idx="0">
                  <c:v>0.49484735498681731</c:v>
                </c:pt>
                <c:pt idx="1">
                  <c:v>0.97453273413851049</c:v>
                </c:pt>
                <c:pt idx="2">
                  <c:v>1.4395206958869033</c:v>
                </c:pt>
                <c:pt idx="3">
                  <c:v>1.8881196165963687</c:v>
                </c:pt>
                <c:pt idx="4">
                  <c:v>2.3207874100392649</c:v>
                </c:pt>
                <c:pt idx="5">
                  <c:v>2.7366991212235519</c:v>
                </c:pt>
                <c:pt idx="6">
                  <c:v>3.136037415211228</c:v>
                </c:pt>
                <c:pt idx="7">
                  <c:v>3.5188429697766344</c:v>
                </c:pt>
                <c:pt idx="8">
                  <c:v>3.884650385163515</c:v>
                </c:pt>
                <c:pt idx="9">
                  <c:v>4.2342144485793343</c:v>
                </c:pt>
                <c:pt idx="10">
                  <c:v>4.5666937342576901</c:v>
                </c:pt>
                <c:pt idx="11">
                  <c:v>4.8821912457506489</c:v>
                </c:pt>
                <c:pt idx="12">
                  <c:v>5.1815743473329361</c:v>
                </c:pt>
                <c:pt idx="13">
                  <c:v>5.4636687778562791</c:v>
                </c:pt>
                <c:pt idx="14">
                  <c:v>5.7282518525127006</c:v>
                </c:pt>
                <c:pt idx="15">
                  <c:v>5.9764106100775809</c:v>
                </c:pt>
                <c:pt idx="16">
                  <c:v>6.2091646100683739</c:v>
                </c:pt>
                <c:pt idx="17">
                  <c:v>6.4233312132208926</c:v>
                </c:pt>
                <c:pt idx="18">
                  <c:v>6.6199652764058339</c:v>
                </c:pt>
                <c:pt idx="19">
                  <c:v>6.8005020838981052</c:v>
                </c:pt>
                <c:pt idx="20">
                  <c:v>6.9662594218261011</c:v>
                </c:pt>
                <c:pt idx="21">
                  <c:v>7.1184471970428094</c:v>
                </c:pt>
                <c:pt idx="22">
                  <c:v>7.2571845000693536</c:v>
                </c:pt>
                <c:pt idx="23">
                  <c:v>7.3834025498968456</c:v>
                </c:pt>
                <c:pt idx="24">
                  <c:v>7.4982310477465361</c:v>
                </c:pt>
                <c:pt idx="25">
                  <c:v>7.6026977538669183</c:v>
                </c:pt>
                <c:pt idx="26">
                  <c:v>7.6977376863924452</c:v>
                </c:pt>
                <c:pt idx="27">
                  <c:v>7.784201490123829</c:v>
                </c:pt>
                <c:pt idx="28">
                  <c:v>7.8628630501337868</c:v>
                </c:pt>
                <c:pt idx="29">
                  <c:v>7.9344264183430244</c:v>
                </c:pt>
                <c:pt idx="30">
                  <c:v>7.9995321150620144</c:v>
                </c:pt>
                <c:pt idx="31">
                  <c:v>8.0587628618998632</c:v>
                </c:pt>
                <c:pt idx="32">
                  <c:v>8.1115929182546811</c:v>
                </c:pt>
                <c:pt idx="33">
                  <c:v>8.1587064674106227</c:v>
                </c:pt>
                <c:pt idx="34">
                  <c:v>8.2007220673782157</c:v>
                </c:pt>
                <c:pt idx="35">
                  <c:v>8.238191344736066</c:v>
                </c:pt>
                <c:pt idx="36">
                  <c:v>8.2716062369856704</c:v>
                </c:pt>
                <c:pt idx="37">
                  <c:v>8.3014054512429674</c:v>
                </c:pt>
                <c:pt idx="38">
                  <c:v>8.327980224063392</c:v>
                </c:pt>
                <c:pt idx="39">
                  <c:v>8.351679458021696</c:v>
                </c:pt>
                <c:pt idx="40">
                  <c:v>8.3728143024851143</c:v>
                </c:pt>
                <c:pt idx="41">
                  <c:v>8.3916622387213149</c:v>
                </c:pt>
                <c:pt idx="42">
                  <c:v>8.4084707229748297</c:v>
                </c:pt>
                <c:pt idx="43">
                  <c:v>8.4234604353422782</c:v>
                </c:pt>
                <c:pt idx="44">
                  <c:v>8.4368281771011393</c:v>
                </c:pt>
                <c:pt idx="45">
                  <c:v>8.4487494545313613</c:v>
                </c:pt>
                <c:pt idx="46">
                  <c:v>8.4593807831530512</c:v>
                </c:pt>
                <c:pt idx="47">
                  <c:v>8.468861742632761</c:v>
                </c:pt>
                <c:pt idx="48">
                  <c:v>8.4773168093374576</c:v>
                </c:pt>
                <c:pt idx="49">
                  <c:v>8.4848569905958886</c:v>
                </c:pt>
                <c:pt idx="50">
                  <c:v>8.4915812821237644</c:v>
                </c:pt>
                <c:pt idx="51">
                  <c:v>8.4975779677473735</c:v>
                </c:pt>
                <c:pt idx="52">
                  <c:v>8.502925778489864</c:v>
                </c:pt>
                <c:pt idx="53">
                  <c:v>8.507694926237896</c:v>
                </c:pt>
                <c:pt idx="54">
                  <c:v>8.5119480255597999</c:v>
                </c:pt>
                <c:pt idx="55">
                  <c:v>8.5157409157778599</c:v>
                </c:pt>
                <c:pt idx="56">
                  <c:v>8.5191233940877726</c:v>
                </c:pt>
                <c:pt idx="57">
                  <c:v>8.5221398693505019</c:v>
                </c:pt>
                <c:pt idx="58">
                  <c:v>8.5248299451401977</c:v>
                </c:pt>
                <c:pt idx="59">
                  <c:v>8.5272289397030612</c:v>
                </c:pt>
                <c:pt idx="60">
                  <c:v>8.529368349653776</c:v>
                </c:pt>
                <c:pt idx="61">
                  <c:v>8.5312762634973787</c:v>
                </c:pt>
                <c:pt idx="62">
                  <c:v>8.532977730405765</c:v>
                </c:pt>
                <c:pt idx="63">
                  <c:v>8.5344950890905089</c:v>
                </c:pt>
                <c:pt idx="64">
                  <c:v>8.5358482610898108</c:v>
                </c:pt>
                <c:pt idx="65">
                  <c:v>8.5370550123201578</c:v>
                </c:pt>
                <c:pt idx="66">
                  <c:v>8.5381311863266394</c:v>
                </c:pt>
                <c:pt idx="67">
                  <c:v>8.5390909122942631</c:v>
                </c:pt>
                <c:pt idx="68">
                  <c:v>8.539946790551296</c:v>
                </c:pt>
                <c:pt idx="69">
                  <c:v>8.5407100580000996</c:v>
                </c:pt>
                <c:pt idx="70">
                  <c:v>8.5413907356474397</c:v>
                </c:pt>
                <c:pt idx="71">
                  <c:v>8.5419977601711672</c:v>
                </c:pt>
                <c:pt idx="72">
                  <c:v>8.5425391012506733</c:v>
                </c:pt>
                <c:pt idx="73">
                  <c:v>8.5430218662015225</c:v>
                </c:pt>
                <c:pt idx="74">
                  <c:v>8.54345239328803</c:v>
                </c:pt>
                <c:pt idx="75">
                  <c:v>8.5438363349389164</c:v>
                </c:pt>
                <c:pt idx="76">
                  <c:v>8.5441787319585316</c:v>
                </c:pt>
                <c:pt idx="77">
                  <c:v>8.5444840797080435</c:v>
                </c:pt>
                <c:pt idx="78">
                  <c:v>8.5447563871254282</c:v>
                </c:pt>
                <c:pt idx="79">
                  <c:v>8.5449992293591812</c:v>
                </c:pt>
                <c:pt idx="80">
                  <c:v>8.545215794706758</c:v>
                </c:pt>
                <c:pt idx="81">
                  <c:v>8.5454089264740247</c:v>
                </c:pt>
                <c:pt idx="82">
                  <c:v>8.5455811603052645</c:v>
                </c:pt>
                <c:pt idx="83">
                  <c:v>8.5457347574738911</c:v>
                </c:pt>
                <c:pt idx="84">
                  <c:v>8.5458717345709001</c:v>
                </c:pt>
                <c:pt idx="85">
                  <c:v>8.5459938899808776</c:v>
                </c:pt>
                <c:pt idx="86">
                  <c:v>8.5461028274931543</c:v>
                </c:pt>
                <c:pt idx="87">
                  <c:v>8.546199977358091</c:v>
                </c:pt>
                <c:pt idx="88">
                  <c:v>8.546286615064977</c:v>
                </c:pt>
                <c:pt idx="89">
                  <c:v>8.5463638780880302</c:v>
                </c:pt>
                <c:pt idx="90">
                  <c:v>8.5464327808204104</c:v>
                </c:pt>
                <c:pt idx="91">
                  <c:v>8.5464942278922642</c:v>
                </c:pt>
                <c:pt idx="92">
                  <c:v>8.5465490260477086</c:v>
                </c:pt>
                <c:pt idx="93">
                  <c:v>8.5465978947366406</c:v>
                </c:pt>
                <c:pt idx="94">
                  <c:v>8.5466414755604561</c:v>
                </c:pt>
                <c:pt idx="95">
                  <c:v>8.5466803406956995</c:v>
                </c:pt>
                <c:pt idx="96">
                  <c:v>8.5467150004062127</c:v>
                </c:pt>
                <c:pt idx="97">
                  <c:v>8.5467459097424463</c:v>
                </c:pt>
                <c:pt idx="98">
                  <c:v>8.5467734745158417</c:v>
                </c:pt>
                <c:pt idx="99">
                  <c:v>8.546798056626784</c:v>
                </c:pt>
                <c:pt idx="100">
                  <c:v>8.5468199788160106</c:v>
                </c:pt>
                <c:pt idx="101">
                  <c:v>8.5468395289019092</c:v>
                </c:pt>
                <c:pt idx="102">
                  <c:v>8.5468569635593088</c:v>
                </c:pt>
                <c:pt idx="103">
                  <c:v>8.54687251168939</c:v>
                </c:pt>
                <c:pt idx="104">
                  <c:v>8.5468863774249471</c:v>
                </c:pt>
                <c:pt idx="105">
                  <c:v>8.5468987428104644</c:v>
                </c:pt>
                <c:pt idx="106">
                  <c:v>8.5469097701921974</c:v>
                </c:pt>
                <c:pt idx="107">
                  <c:v>8.5469196043496289</c:v>
                </c:pt>
                <c:pt idx="108">
                  <c:v>8.5469283743962947</c:v>
                </c:pt>
                <c:pt idx="109">
                  <c:v>8.5469361954749221</c:v>
                </c:pt>
                <c:pt idx="110">
                  <c:v>8.5469431702691541</c:v>
                </c:pt>
                <c:pt idx="111">
                  <c:v>8.546949390351692</c:v>
                </c:pt>
                <c:pt idx="112">
                  <c:v>8.5469549373865537</c:v>
                </c:pt>
                <c:pt idx="113">
                  <c:v>8.5469598842012591</c:v>
                </c:pt>
                <c:pt idx="114">
                  <c:v>8.5469642957429812</c:v>
                </c:pt>
                <c:pt idx="115">
                  <c:v>8.5469682299312453</c:v>
                </c:pt>
                <c:pt idx="116">
                  <c:v>8.5469717384183657</c:v>
                </c:pt>
                <c:pt idx="117">
                  <c:v>8.5469748672675792</c:v>
                </c:pt>
                <c:pt idx="118">
                  <c:v>8.5469776575578322</c:v>
                </c:pt>
                <c:pt idx="119">
                  <c:v>8.5469801459230936</c:v>
                </c:pt>
                <c:pt idx="120">
                  <c:v>8.5469823650333332</c:v>
                </c:pt>
                <c:pt idx="121">
                  <c:v>8.5469843440234499</c:v>
                </c:pt>
                <c:pt idx="122">
                  <c:v>8.5469861088757817</c:v>
                </c:pt>
                <c:pt idx="123">
                  <c:v>8.5469876827612321</c:v>
                </c:pt>
                <c:pt idx="124">
                  <c:v>8.5469890863434852</c:v>
                </c:pt>
                <c:pt idx="125">
                  <c:v>8.5469903380502998</c:v>
                </c:pt>
                <c:pt idx="126">
                  <c:v>8.5469914543154442</c:v>
                </c:pt>
                <c:pt idx="127">
                  <c:v>8.546992449794466</c:v>
                </c:pt>
                <c:pt idx="128">
                  <c:v>8.5469933375570957</c:v>
                </c:pt>
                <c:pt idx="129">
                  <c:v>8.5469941292588505</c:v>
                </c:pt>
                <c:pt idx="130">
                  <c:v>8.5469948352940524</c:v>
                </c:pt>
                <c:pt idx="131">
                  <c:v>8.5469954649323014</c:v>
                </c:pt>
                <c:pt idx="132">
                  <c:v>8.5469960264401763</c:v>
                </c:pt>
                <c:pt idx="133">
                  <c:v>8.5469965271897621</c:v>
                </c:pt>
                <c:pt idx="134">
                  <c:v>8.5469969737554461</c:v>
                </c:pt>
                <c:pt idx="135">
                  <c:v>8.5469973720002272</c:v>
                </c:pt>
                <c:pt idx="136">
                  <c:v>8.5469977271526982</c:v>
                </c:pt>
                <c:pt idx="137">
                  <c:v>8.5469980438756892</c:v>
                </c:pt>
                <c:pt idx="138">
                  <c:v>8.5469983263274809</c:v>
                </c:pt>
                <c:pt idx="139">
                  <c:v>8.5469985782164137</c:v>
                </c:pt>
                <c:pt idx="140">
                  <c:v>8.546998802849556</c:v>
                </c:pt>
                <c:pt idx="141">
                  <c:v>8.546999003176138</c:v>
                </c:pt>
                <c:pt idx="142">
                  <c:v>8.5469991818262638</c:v>
                </c:pt>
                <c:pt idx="143">
                  <c:v>8.5469993411454492</c:v>
                </c:pt>
                <c:pt idx="144">
                  <c:v>8.5469994832254095</c:v>
                </c:pt>
                <c:pt idx="145">
                  <c:v>8.5469996099315235</c:v>
                </c:pt>
                <c:pt idx="146">
                  <c:v>8.5469997229273282</c:v>
                </c:pt>
                <c:pt idx="147">
                  <c:v>8.5469998236963569</c:v>
                </c:pt>
                <c:pt idx="148">
                  <c:v>8.5469999135616117</c:v>
                </c:pt>
                <c:pt idx="149">
                  <c:v>8.5469999937029435</c:v>
                </c:pt>
                <c:pt idx="150">
                  <c:v>8.5470000651725382</c:v>
                </c:pt>
                <c:pt idx="151">
                  <c:v>8.5470001289087225</c:v>
                </c:pt>
                <c:pt idx="152">
                  <c:v>8.5470001857482938</c:v>
                </c:pt>
                <c:pt idx="153">
                  <c:v>8.5470002364375084</c:v>
                </c:pt>
                <c:pt idx="154">
                  <c:v>8.5470002816418642</c:v>
                </c:pt>
                <c:pt idx="155">
                  <c:v>8.5470003219548598</c:v>
                </c:pt>
                <c:pt idx="156">
                  <c:v>8.5470003579057625</c:v>
                </c:pt>
                <c:pt idx="157">
                  <c:v>8.547000389966577</c:v>
                </c:pt>
                <c:pt idx="158">
                  <c:v>8.5470004185582322</c:v>
                </c:pt>
                <c:pt idx="159">
                  <c:v>8.5470004440561098</c:v>
                </c:pt>
                <c:pt idx="160">
                  <c:v>8.5470004667949748</c:v>
                </c:pt>
                <c:pt idx="161">
                  <c:v>8.5470004870733689</c:v>
                </c:pt>
                <c:pt idx="162">
                  <c:v>8.5470005051575271</c:v>
                </c:pt>
                <c:pt idx="163">
                  <c:v>8.5470005212848772</c:v>
                </c:pt>
                <c:pt idx="164">
                  <c:v>8.5470005356671592</c:v>
                </c:pt>
                <c:pt idx="165">
                  <c:v>8.5470005484931963</c:v>
                </c:pt>
                <c:pt idx="166">
                  <c:v>8.5470005599313854</c:v>
                </c:pt>
                <c:pt idx="167">
                  <c:v>8.5470005701318996</c:v>
                </c:pt>
                <c:pt idx="168">
                  <c:v>8.5470005792286585</c:v>
                </c:pt>
                <c:pt idx="169">
                  <c:v>8.547000587341099</c:v>
                </c:pt>
                <c:pt idx="170">
                  <c:v>8.5470005945757297</c:v>
                </c:pt>
                <c:pt idx="171">
                  <c:v>8.5470006010275306</c:v>
                </c:pt>
                <c:pt idx="172">
                  <c:v>8.5470006067812108</c:v>
                </c:pt>
                <c:pt idx="173">
                  <c:v>8.5470006119123116</c:v>
                </c:pt>
                <c:pt idx="174">
                  <c:v>8.547000616488198</c:v>
                </c:pt>
                <c:pt idx="175">
                  <c:v>8.5470006205689479</c:v>
                </c:pt>
                <c:pt idx="176">
                  <c:v>8.5470006242081382</c:v>
                </c:pt>
                <c:pt idx="177">
                  <c:v>8.5470006274535475</c:v>
                </c:pt>
                <c:pt idx="178">
                  <c:v>8.5470006303477852</c:v>
                </c:pt>
                <c:pt idx="179">
                  <c:v>8.5470006329288513</c:v>
                </c:pt>
                <c:pt idx="180">
                  <c:v>8.5470006352306314</c:v>
                </c:pt>
                <c:pt idx="181">
                  <c:v>8.5470006372833449</c:v>
                </c:pt>
                <c:pt idx="182">
                  <c:v>8.5470006391139446</c:v>
                </c:pt>
                <c:pt idx="183">
                  <c:v>8.5470006407464627</c:v>
                </c:pt>
                <c:pt idx="184">
                  <c:v>8.5470006422023328</c:v>
                </c:pt>
                <c:pt idx="185">
                  <c:v>8.5470006435006685</c:v>
                </c:pt>
                <c:pt idx="186">
                  <c:v>8.5470006446585192</c:v>
                </c:pt>
                <c:pt idx="187">
                  <c:v>8.5470006456910834</c:v>
                </c:pt>
                <c:pt idx="188">
                  <c:v>8.5470006466119184</c:v>
                </c:pt>
                <c:pt idx="189">
                  <c:v>8.5470006474331139</c:v>
                </c:pt>
                <c:pt idx="190">
                  <c:v>8.5470006481654508</c:v>
                </c:pt>
                <c:pt idx="191">
                  <c:v>8.5470006488185462</c:v>
                </c:pt>
                <c:pt idx="192">
                  <c:v>8.5470006494009709</c:v>
                </c:pt>
                <c:pt idx="193">
                  <c:v>8.5470006499203759</c:v>
                </c:pt>
                <c:pt idx="194">
                  <c:v>8.5470006503835787</c:v>
                </c:pt>
                <c:pt idx="195">
                  <c:v>8.5470006507966598</c:v>
                </c:pt>
                <c:pt idx="196">
                  <c:v>8.5470006511650425</c:v>
                </c:pt>
                <c:pt idx="197">
                  <c:v>8.5470006514935655</c:v>
                </c:pt>
                <c:pt idx="198">
                  <c:v>8.54700065178654</c:v>
                </c:pt>
                <c:pt idx="199">
                  <c:v>8.5470006520478119</c:v>
                </c:pt>
                <c:pt idx="200">
                  <c:v>8.5470006522808131</c:v>
                </c:pt>
              </c:numCache>
            </c:numRef>
          </c:yVal>
          <c:smooth val="1"/>
          <c:extLst>
            <c:ext xmlns:c16="http://schemas.microsoft.com/office/drawing/2014/chart" uri="{C3380CC4-5D6E-409C-BE32-E72D297353CC}">
              <c16:uniqueId val="{00000001-0B58-4A7A-8664-E8F7F3953FB6}"/>
            </c:ext>
          </c:extLst>
        </c:ser>
        <c:dLbls>
          <c:showLegendKey val="0"/>
          <c:showVal val="0"/>
          <c:showCatName val="0"/>
          <c:showSerName val="0"/>
          <c:showPercent val="0"/>
          <c:showBubbleSize val="0"/>
        </c:dLbls>
        <c:axId val="1167372831"/>
        <c:axId val="1167373791"/>
      </c:scatterChart>
      <c:valAx>
        <c:axId val="1167372831"/>
        <c:scaling>
          <c:orientation val="minMax"/>
          <c:max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(Seconds)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5"/>
      </c:valAx>
      <c:valAx>
        <c:axId val="1167373791"/>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Speed</a:t>
                </a:r>
                <a:r>
                  <a:rPr lang="en-GB" baseline="0"/>
                  <a:t> (kts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Powering!$A$55:$A$71</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numCache>
            </c:numRef>
          </c:xVal>
          <c:yVal>
            <c:numRef>
              <c:f>Powering!$G$55:$G$71</c:f>
              <c:numCache>
                <c:formatCode>0</c:formatCode>
                <c:ptCount val="17"/>
                <c:pt idx="0">
                  <c:v>0</c:v>
                </c:pt>
                <c:pt idx="1">
                  <c:v>40.200000000000003</c:v>
                </c:pt>
                <c:pt idx="2">
                  <c:v>160.80000000000001</c:v>
                </c:pt>
                <c:pt idx="3">
                  <c:v>361.8</c:v>
                </c:pt>
                <c:pt idx="4">
                  <c:v>643.20000000000005</c:v>
                </c:pt>
                <c:pt idx="5">
                  <c:v>1005.0000000000001</c:v>
                </c:pt>
                <c:pt idx="6">
                  <c:v>1447.2</c:v>
                </c:pt>
                <c:pt idx="7">
                  <c:v>2124.8000000000002</c:v>
                </c:pt>
                <c:pt idx="8">
                  <c:v>3252.8</c:v>
                </c:pt>
                <c:pt idx="9">
                  <c:v>4536.5999999999995</c:v>
                </c:pt>
                <c:pt idx="10">
                  <c:v>6220</c:v>
                </c:pt>
                <c:pt idx="11">
                  <c:v>8080.5999999999985</c:v>
                </c:pt>
                <c:pt idx="12">
                  <c:v>10118.4</c:v>
                </c:pt>
                <c:pt idx="13">
                  <c:v>12333.4</c:v>
                </c:pt>
                <c:pt idx="14">
                  <c:v>14725.599999999999</c:v>
                </c:pt>
                <c:pt idx="15">
                  <c:v>17295</c:v>
                </c:pt>
                <c:pt idx="16">
                  <c:v>20041.599999999999</c:v>
                </c:pt>
              </c:numCache>
            </c:numRef>
          </c:yVal>
          <c:smooth val="1"/>
          <c:extLst>
            <c:ext xmlns:c16="http://schemas.microsoft.com/office/drawing/2014/chart" uri="{C3380CC4-5D6E-409C-BE32-E72D297353CC}">
              <c16:uniqueId val="{00000000-C8B8-4D14-AC2C-56B74BEE7CBA}"/>
            </c:ext>
          </c:extLst>
        </c:ser>
        <c:ser>
          <c:idx val="1"/>
          <c:order val="1"/>
          <c:spPr>
            <a:ln w="19050" cap="rnd">
              <a:solidFill>
                <a:schemeClr val="accent2"/>
              </a:solidFill>
              <a:round/>
            </a:ln>
            <a:effectLst/>
          </c:spPr>
          <c:marker>
            <c:symbol val="none"/>
          </c:marker>
          <c:xVal>
            <c:numRef>
              <c:f>Powering!$A$55:$A$71</c:f>
              <c:numCache>
                <c:formatCode>General</c:formatCode>
                <c:ptCount val="1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numCache>
            </c:numRef>
          </c:xVal>
          <c:yVal>
            <c:numRef>
              <c:f>Powering!$Y$55:$Y$71</c:f>
              <c:numCache>
                <c:formatCode>0</c:formatCode>
                <c:ptCount val="17"/>
                <c:pt idx="0">
                  <c:v>0</c:v>
                </c:pt>
                <c:pt idx="1">
                  <c:v>25.65293326677477</c:v>
                </c:pt>
                <c:pt idx="2">
                  <c:v>91.016488287338319</c:v>
                </c:pt>
                <c:pt idx="3">
                  <c:v>191.7064061084107</c:v>
                </c:pt>
                <c:pt idx="4">
                  <c:v>329.51843984294112</c:v>
                </c:pt>
                <c:pt idx="5">
                  <c:v>521.69783430469943</c:v>
                </c:pt>
                <c:pt idx="6">
                  <c:v>803.51087079110323</c:v>
                </c:pt>
                <c:pt idx="7">
                  <c:v>1246.5646067882001</c:v>
                </c:pt>
                <c:pt idx="8">
                  <c:v>1757.8463337215319</c:v>
                </c:pt>
                <c:pt idx="9">
                  <c:v>2415.543986999789</c:v>
                </c:pt>
                <c:pt idx="10">
                  <c:v>3736.0221120049159</c:v>
                </c:pt>
                <c:pt idx="11">
                  <c:v>5924.4673696641876</c:v>
                </c:pt>
                <c:pt idx="12">
                  <c:v>8503.7653686596459</c:v>
                </c:pt>
                <c:pt idx="13">
                  <c:v>10790.128401406417</c:v>
                </c:pt>
                <c:pt idx="14">
                  <c:v>10400.561389827408</c:v>
                </c:pt>
                <c:pt idx="15">
                  <c:v>11328.763457681342</c:v>
                </c:pt>
                <c:pt idx="16">
                  <c:v>12095.645104998361</c:v>
                </c:pt>
              </c:numCache>
            </c:numRef>
          </c:yVal>
          <c:smooth val="1"/>
          <c:extLst>
            <c:ext xmlns:c16="http://schemas.microsoft.com/office/drawing/2014/chart" uri="{C3380CC4-5D6E-409C-BE32-E72D297353CC}">
              <c16:uniqueId val="{00000001-C8B8-4D14-AC2C-56B74BEE7CBA}"/>
            </c:ext>
          </c:extLst>
        </c:ser>
        <c:dLbls>
          <c:showLegendKey val="0"/>
          <c:showVal val="0"/>
          <c:showCatName val="0"/>
          <c:showSerName val="0"/>
          <c:showPercent val="0"/>
          <c:showBubbleSize val="0"/>
        </c:dLbls>
        <c:axId val="1167372831"/>
        <c:axId val="1167373791"/>
      </c:scatterChart>
      <c:valAx>
        <c:axId val="1167372831"/>
        <c:scaling>
          <c:orientation val="minMax"/>
          <c:max val="1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Speed (kts))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1"/>
      </c:valAx>
      <c:valAx>
        <c:axId val="1167373791"/>
        <c:scaling>
          <c:orientation val="minMax"/>
          <c:max val="7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Resistance</a:t>
                </a:r>
                <a:r>
                  <a:rPr lang="en-GB" baseline="0"/>
                  <a:t> (N)</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Powering!$O$88:$O$288</c:f>
              <c:numCache>
                <c:formatCode>General</c:formatCode>
                <c:ptCount val="201"/>
                <c:pt idx="0">
                  <c:v>0</c:v>
                </c:pt>
                <c:pt idx="1">
                  <c:v>0.5407406754449412</c:v>
                </c:pt>
                <c:pt idx="2">
                  <c:v>1.3391598535464944</c:v>
                </c:pt>
                <c:pt idx="3">
                  <c:v>2.3863966275619379</c:v>
                </c:pt>
                <c:pt idx="4">
                  <c:v>3.67383451141212</c:v>
                </c:pt>
                <c:pt idx="5">
                  <c:v>5.1924608700142834</c:v>
                </c:pt>
                <c:pt idx="6">
                  <c:v>6.9336012332141808</c:v>
                </c:pt>
                <c:pt idx="7">
                  <c:v>8.8882825504121357</c:v>
                </c:pt>
                <c:pt idx="8">
                  <c:v>11.047823322762607</c:v>
                </c:pt>
                <c:pt idx="9">
                  <c:v>13.403570526038411</c:v>
                </c:pt>
                <c:pt idx="10">
                  <c:v>15.946932532933495</c:v>
                </c:pt>
                <c:pt idx="11">
                  <c:v>18.669693932453459</c:v>
                </c:pt>
                <c:pt idx="12">
                  <c:v>21.563520339156963</c:v>
                </c:pt>
                <c:pt idx="13">
                  <c:v>24.620384960610146</c:v>
                </c:pt>
                <c:pt idx="14">
                  <c:v>27.832637641295356</c:v>
                </c:pt>
                <c:pt idx="15">
                  <c:v>31.191810446296238</c:v>
                </c:pt>
                <c:pt idx="16">
                  <c:v>34.689661499638518</c:v>
                </c:pt>
                <c:pt idx="17">
                  <c:v>38.318411275348581</c:v>
                </c:pt>
                <c:pt idx="18">
                  <c:v>42.070176840335556</c:v>
                </c:pt>
                <c:pt idx="19">
                  <c:v>45.935897721629786</c:v>
                </c:pt>
                <c:pt idx="20">
                  <c:v>49.907180776617473</c:v>
                </c:pt>
                <c:pt idx="21">
                  <c:v>53.97625104220657</c:v>
                </c:pt>
                <c:pt idx="22">
                  <c:v>58.135906204095477</c:v>
                </c:pt>
                <c:pt idx="23">
                  <c:v>62.379185027640347</c:v>
                </c:pt>
                <c:pt idx="24">
                  <c:v>66.699420570335832</c:v>
                </c:pt>
                <c:pt idx="25">
                  <c:v>71.090477415341567</c:v>
                </c:pt>
                <c:pt idx="26">
                  <c:v>75.546709295305632</c:v>
                </c:pt>
                <c:pt idx="27">
                  <c:v>80.062920094652057</c:v>
                </c:pt>
                <c:pt idx="28">
                  <c:v>84.634327960982404</c:v>
                </c:pt>
                <c:pt idx="29">
                  <c:v>89.256532277715692</c:v>
                </c:pt>
                <c:pt idx="30">
                  <c:v>93.925483269852762</c:v>
                </c:pt>
                <c:pt idx="31">
                  <c:v>98.636785061450453</c:v>
                </c:pt>
                <c:pt idx="32">
                  <c:v>103.38640158833512</c:v>
                </c:pt>
                <c:pt idx="33">
                  <c:v>108.17068142639238</c:v>
                </c:pt>
                <c:pt idx="34">
                  <c:v>112.98632113506986</c:v>
                </c:pt>
                <c:pt idx="35">
                  <c:v>117.83033209427273</c:v>
                </c:pt>
                <c:pt idx="36">
                  <c:v>122.70001050172891</c:v>
                </c:pt>
                <c:pt idx="37">
                  <c:v>127.59291022962867</c:v>
                </c:pt>
                <c:pt idx="38">
                  <c:v>132.50681826804777</c:v>
                </c:pt>
                <c:pt idx="39">
                  <c:v>137.43973250863129</c:v>
                </c:pt>
                <c:pt idx="40">
                  <c:v>142.38984164550999</c:v>
                </c:pt>
                <c:pt idx="41">
                  <c:v>147.35550699167459</c:v>
                </c:pt>
                <c:pt idx="42">
                  <c:v>152.33524602826418</c:v>
                </c:pt>
                <c:pt idx="43">
                  <c:v>157.32771752161992</c:v>
                </c:pt>
                <c:pt idx="44">
                  <c:v>162.33170805869526</c:v>
                </c:pt>
                <c:pt idx="45">
                  <c:v>167.3461198656521</c:v>
                </c:pt>
                <c:pt idx="46">
                  <c:v>172.36995978735411</c:v>
                </c:pt>
                <c:pt idx="47">
                  <c:v>177.40232931712293</c:v>
                </c:pt>
                <c:pt idx="48">
                  <c:v>182.44241557666652</c:v>
                </c:pt>
                <c:pt idx="49">
                  <c:v>187.48948315562714</c:v>
                </c:pt>
                <c:pt idx="50">
                  <c:v>192.54286672882691</c:v>
                </c:pt>
                <c:pt idx="51">
                  <c:v>197.60196437709561</c:v>
                </c:pt>
                <c:pt idx="52">
                  <c:v>202.66623154462877</c:v>
                </c:pt>
                <c:pt idx="53">
                  <c:v>207.73517557221416</c:v>
                </c:pt>
                <c:pt idx="54">
                  <c:v>212.80835075144626</c:v>
                </c:pt>
                <c:pt idx="55">
                  <c:v>217.88535385027765</c:v>
                </c:pt>
                <c:pt idx="56">
                  <c:v>222.96582006498915</c:v>
                </c:pt>
                <c:pt idx="57">
                  <c:v>228.04941935794011</c:v>
                </c:pt>
                <c:pt idx="58">
                  <c:v>233.13585314433413</c:v>
                </c:pt>
                <c:pt idx="59">
                  <c:v>238.22485129473844</c:v>
                </c:pt>
                <c:pt idx="60">
                  <c:v>243.31616942326556</c:v>
                </c:pt>
                <c:pt idx="61">
                  <c:v>248.4095864341935</c:v>
                </c:pt>
                <c:pt idx="62">
                  <c:v>253.50490230239473</c:v>
                </c:pt>
                <c:pt idx="63">
                  <c:v>258.60193606529214</c:v>
                </c:pt>
                <c:pt idx="64">
                  <c:v>263.70052400618323</c:v>
                </c:pt>
                <c:pt idx="65">
                  <c:v>268.80051801069476</c:v>
                </c:pt>
                <c:pt idx="66">
                  <c:v>273.90178407986855</c:v>
                </c:pt>
                <c:pt idx="67">
                  <c:v>279.00420098495152</c:v>
                </c:pt>
                <c:pt idx="68">
                  <c:v>284.10765905038522</c:v>
                </c:pt>
                <c:pt idx="69">
                  <c:v>289.21205905277731</c:v>
                </c:pt>
                <c:pt idx="70">
                  <c:v>294.31731122480198</c:v>
                </c:pt>
                <c:pt idx="71">
                  <c:v>299.42333435402958</c:v>
                </c:pt>
                <c:pt idx="72">
                  <c:v>304.53005496763819</c:v>
                </c:pt>
                <c:pt idx="73">
                  <c:v>309.63740659482306</c:v>
                </c:pt>
                <c:pt idx="74">
                  <c:v>314.74532909949892</c:v>
                </c:pt>
                <c:pt idx="75">
                  <c:v>319.85376807659628</c:v>
                </c:pt>
                <c:pt idx="76">
                  <c:v>324.96267430589108</c:v>
                </c:pt>
                <c:pt idx="77">
                  <c:v>330.07200325788494</c:v>
                </c:pt>
                <c:pt idx="78">
                  <c:v>335.18171464677545</c:v>
                </c:pt>
                <c:pt idx="79">
                  <c:v>340.29177202602853</c:v>
                </c:pt>
                <c:pt idx="80">
                  <c:v>345.40214242249306</c:v>
                </c:pt>
                <c:pt idx="81">
                  <c:v>350.5127960053851</c:v>
                </c:pt>
                <c:pt idx="82">
                  <c:v>355.62370578681748</c:v>
                </c:pt>
                <c:pt idx="83">
                  <c:v>360.73484735086976</c:v>
                </c:pt>
                <c:pt idx="84">
                  <c:v>365.84619860847778</c:v>
                </c:pt>
                <c:pt idx="85">
                  <c:v>370.9577395756823</c:v>
                </c:pt>
                <c:pt idx="86">
                  <c:v>376.06945217301109</c:v>
                </c:pt>
                <c:pt idx="87">
                  <c:v>381.18132004397955</c:v>
                </c:pt>
                <c:pt idx="88">
                  <c:v>386.29332839088897</c:v>
                </c:pt>
                <c:pt idx="89">
                  <c:v>391.40546382627269</c:v>
                </c:pt>
                <c:pt idx="90">
                  <c:v>396.51771423850016</c:v>
                </c:pt>
                <c:pt idx="91">
                  <c:v>401.63006867018862</c:v>
                </c:pt>
                <c:pt idx="92">
                  <c:v>406.74251720820246</c:v>
                </c:pt>
                <c:pt idx="93">
                  <c:v>411.85505088413555</c:v>
                </c:pt>
                <c:pt idx="94">
                  <c:v>416.96766158427783</c:v>
                </c:pt>
                <c:pt idx="95">
                  <c:v>422.08034196816226</c:v>
                </c:pt>
                <c:pt idx="96">
                  <c:v>427.19308539487383</c:v>
                </c:pt>
                <c:pt idx="97">
                  <c:v>432.30588585638208</c:v>
                </c:pt>
                <c:pt idx="98">
                  <c:v>437.41873791722645</c:v>
                </c:pt>
                <c:pt idx="99">
                  <c:v>442.53163665995004</c:v>
                </c:pt>
                <c:pt idx="100">
                  <c:v>447.64457763573341</c:v>
                </c:pt>
                <c:pt idx="101">
                  <c:v>452.75755681973305</c:v>
                </c:pt>
                <c:pt idx="102">
                  <c:v>457.87057057067619</c:v>
                </c:pt>
                <c:pt idx="103">
                  <c:v>462.98361559430617</c:v>
                </c:pt>
                <c:pt idx="104">
                  <c:v>468.09668891031163</c:v>
                </c:pt>
                <c:pt idx="105">
                  <c:v>473.20978782240712</c:v>
                </c:pt>
                <c:pt idx="106">
                  <c:v>478.32290989126528</c:v>
                </c:pt>
                <c:pt idx="107">
                  <c:v>483.43605291002865</c:v>
                </c:pt>
                <c:pt idx="108">
                  <c:v>488.54921488215496</c:v>
                </c:pt>
                <c:pt idx="109">
                  <c:v>493.66239400137391</c:v>
                </c:pt>
                <c:pt idx="110">
                  <c:v>498.77558863355426</c:v>
                </c:pt>
                <c:pt idx="111">
                  <c:v>503.88879730029868</c:v>
                </c:pt>
                <c:pt idx="112">
                  <c:v>509.00201866410225</c:v>
                </c:pt>
                <c:pt idx="113">
                  <c:v>514.11525151492538</c:v>
                </c:pt>
                <c:pt idx="114">
                  <c:v>519.22849475804617</c:v>
                </c:pt>
                <c:pt idx="115">
                  <c:v>524.3417474030706</c:v>
                </c:pt>
                <c:pt idx="116">
                  <c:v>529.45500855398984</c:v>
                </c:pt>
                <c:pt idx="117">
                  <c:v>534.56827740018559</c:v>
                </c:pt>
                <c:pt idx="118">
                  <c:v>539.68155320829192</c:v>
                </c:pt>
                <c:pt idx="119">
                  <c:v>544.79483531483334</c:v>
                </c:pt>
                <c:pt idx="120">
                  <c:v>549.90812311956404</c:v>
                </c:pt>
                <c:pt idx="121">
                  <c:v>555.02141607944225</c:v>
                </c:pt>
                <c:pt idx="122">
                  <c:v>560.13471370317836</c:v>
                </c:pt>
                <c:pt idx="123">
                  <c:v>565.24801554630301</c:v>
                </c:pt>
                <c:pt idx="124">
                  <c:v>570.36132120670527</c:v>
                </c:pt>
                <c:pt idx="125">
                  <c:v>575.47463032059557</c:v>
                </c:pt>
                <c:pt idx="126">
                  <c:v>580.5879425588538</c:v>
                </c:pt>
                <c:pt idx="127">
                  <c:v>585.70125762372527</c:v>
                </c:pt>
                <c:pt idx="128">
                  <c:v>590.81457524583163</c:v>
                </c:pt>
                <c:pt idx="129">
                  <c:v>595.92789518146628</c:v>
                </c:pt>
                <c:pt idx="130">
                  <c:v>601.04121721014826</c:v>
                </c:pt>
                <c:pt idx="131">
                  <c:v>606.15454113240844</c:v>
                </c:pt>
                <c:pt idx="132">
                  <c:v>611.26786676778738</c:v>
                </c:pt>
                <c:pt idx="133">
                  <c:v>616.38119395302351</c:v>
                </c:pt>
                <c:pt idx="134">
                  <c:v>621.49452254041432</c:v>
                </c:pt>
                <c:pt idx="135">
                  <c:v>626.60785239633333</c:v>
                </c:pt>
                <c:pt idx="136">
                  <c:v>631.72118339988879</c:v>
                </c:pt>
                <c:pt idx="137">
                  <c:v>636.8345154417101</c:v>
                </c:pt>
                <c:pt idx="138">
                  <c:v>641.94784842284969</c:v>
                </c:pt>
                <c:pt idx="139">
                  <c:v>647.06118225378975</c:v>
                </c:pt>
                <c:pt idx="140">
                  <c:v>652.17451685354365</c:v>
                </c:pt>
                <c:pt idx="141">
                  <c:v>657.28785214884283</c:v>
                </c:pt>
                <c:pt idx="142">
                  <c:v>662.40118807340139</c:v>
                </c:pt>
                <c:pt idx="143">
                  <c:v>667.51452456725031</c:v>
                </c:pt>
                <c:pt idx="144">
                  <c:v>672.62786157613573</c:v>
                </c:pt>
                <c:pt idx="145">
                  <c:v>677.74119905097439</c:v>
                </c:pt>
                <c:pt idx="146">
                  <c:v>682.85453694736054</c:v>
                </c:pt>
                <c:pt idx="147">
                  <c:v>687.96787522512034</c:v>
                </c:pt>
                <c:pt idx="148">
                  <c:v>693.08121384790866</c:v>
                </c:pt>
                <c:pt idx="149">
                  <c:v>698.19455278284397</c:v>
                </c:pt>
                <c:pt idx="150">
                  <c:v>703.30789200017841</c:v>
                </c:pt>
                <c:pt idx="151">
                  <c:v>708.42123147299912</c:v>
                </c:pt>
                <c:pt idx="152">
                  <c:v>713.53457117695802</c:v>
                </c:pt>
                <c:pt idx="153">
                  <c:v>718.64791109002761</c:v>
                </c:pt>
                <c:pt idx="154">
                  <c:v>723.76125119227936</c:v>
                </c:pt>
                <c:pt idx="155">
                  <c:v>728.87459146568403</c:v>
                </c:pt>
                <c:pt idx="156">
                  <c:v>733.98793189393064</c:v>
                </c:pt>
                <c:pt idx="157">
                  <c:v>739.10127246226273</c:v>
                </c:pt>
                <c:pt idx="158">
                  <c:v>744.21461315732995</c:v>
                </c:pt>
                <c:pt idx="159">
                  <c:v>749.32795396705433</c:v>
                </c:pt>
                <c:pt idx="160">
                  <c:v>754.44129488050896</c:v>
                </c:pt>
                <c:pt idx="161">
                  <c:v>759.55463588780833</c:v>
                </c:pt>
                <c:pt idx="162">
                  <c:v>764.66797698000892</c:v>
                </c:pt>
                <c:pt idx="163">
                  <c:v>769.78131814901963</c:v>
                </c:pt>
                <c:pt idx="164">
                  <c:v>774.89465938752028</c:v>
                </c:pt>
                <c:pt idx="165">
                  <c:v>780.0080006888885</c:v>
                </c:pt>
                <c:pt idx="166">
                  <c:v>785.121342047133</c:v>
                </c:pt>
                <c:pt idx="167">
                  <c:v>790.23468345683341</c:v>
                </c:pt>
                <c:pt idx="168">
                  <c:v>795.34802491308585</c:v>
                </c:pt>
                <c:pt idx="169">
                  <c:v>800.46136641145392</c:v>
                </c:pt>
                <c:pt idx="170">
                  <c:v>805.57470794792403</c:v>
                </c:pt>
                <c:pt idx="171">
                  <c:v>810.688049518865</c:v>
                </c:pt>
                <c:pt idx="172">
                  <c:v>815.80139112099175</c:v>
                </c:pt>
                <c:pt idx="173">
                  <c:v>820.91473275133217</c:v>
                </c:pt>
                <c:pt idx="174">
                  <c:v>826.02807440719755</c:v>
                </c:pt>
                <c:pt idx="175">
                  <c:v>831.14141608615523</c:v>
                </c:pt>
                <c:pt idx="176">
                  <c:v>836.25475778600457</c:v>
                </c:pt>
                <c:pt idx="177">
                  <c:v>841.3680995047547</c:v>
                </c:pt>
                <c:pt idx="178">
                  <c:v>846.48144124060423</c:v>
                </c:pt>
                <c:pt idx="179">
                  <c:v>851.59478299192358</c:v>
                </c:pt>
                <c:pt idx="180">
                  <c:v>856.70812475723847</c:v>
                </c:pt>
                <c:pt idx="181">
                  <c:v>861.82146653521511</c:v>
                </c:pt>
                <c:pt idx="182">
                  <c:v>866.93480832464684</c:v>
                </c:pt>
                <c:pt idx="183">
                  <c:v>872.04815012444192</c:v>
                </c:pt>
                <c:pt idx="184">
                  <c:v>877.16149193361275</c:v>
                </c:pt>
                <c:pt idx="185">
                  <c:v>882.27483375126587</c:v>
                </c:pt>
                <c:pt idx="186">
                  <c:v>887.38817557659286</c:v>
                </c:pt>
                <c:pt idx="187">
                  <c:v>892.50151740886247</c:v>
                </c:pt>
                <c:pt idx="188">
                  <c:v>897.61485924741294</c:v>
                </c:pt>
                <c:pt idx="189">
                  <c:v>902.72820109164581</c:v>
                </c:pt>
                <c:pt idx="190">
                  <c:v>907.8415429410195</c:v>
                </c:pt>
                <c:pt idx="191">
                  <c:v>912.95488479504411</c:v>
                </c:pt>
                <c:pt idx="192">
                  <c:v>918.06822665327627</c:v>
                </c:pt>
                <c:pt idx="193">
                  <c:v>923.18156851531512</c:v>
                </c:pt>
                <c:pt idx="194">
                  <c:v>928.29491038079789</c:v>
                </c:pt>
                <c:pt idx="195">
                  <c:v>933.40825224939636</c:v>
                </c:pt>
                <c:pt idx="196">
                  <c:v>938.52159412081357</c:v>
                </c:pt>
                <c:pt idx="197">
                  <c:v>943.6349359947809</c:v>
                </c:pt>
                <c:pt idx="198">
                  <c:v>948.74827787105528</c:v>
                </c:pt>
                <c:pt idx="199">
                  <c:v>953.86161974941695</c:v>
                </c:pt>
                <c:pt idx="200">
                  <c:v>958.97496162966695</c:v>
                </c:pt>
              </c:numCache>
            </c:numRef>
          </c:yVal>
          <c:smooth val="1"/>
          <c:extLst>
            <c:ext xmlns:c16="http://schemas.microsoft.com/office/drawing/2014/chart" uri="{C3380CC4-5D6E-409C-BE32-E72D297353CC}">
              <c16:uniqueId val="{00000000-4777-42BA-88B2-19D0DC63C164}"/>
            </c:ext>
          </c:extLst>
        </c:ser>
        <c:ser>
          <c:idx val="1"/>
          <c:order val="1"/>
          <c:spPr>
            <a:ln w="19050" cap="rnd">
              <a:solidFill>
                <a:schemeClr val="accent2"/>
              </a:solidFill>
              <a:round/>
            </a:ln>
            <a:effectLst/>
          </c:spPr>
          <c:marker>
            <c:symbol val="none"/>
          </c:marker>
          <c:xVal>
            <c:numRef>
              <c:f>Powering!$A$88:$A$288</c:f>
              <c:numCache>
                <c:formatCode>General</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xVal>
          <c:yVal>
            <c:numRef>
              <c:f>Powering!$W$88:$W$288</c:f>
              <c:numCache>
                <c:formatCode>General</c:formatCode>
                <c:ptCount val="201"/>
                <c:pt idx="0">
                  <c:v>0</c:v>
                </c:pt>
                <c:pt idx="1">
                  <c:v>0.50090982534719442</c:v>
                </c:pt>
                <c:pt idx="2">
                  <c:v>1.2408234630330628</c:v>
                </c:pt>
                <c:pt idx="3">
                  <c:v>2.2113169459635964</c:v>
                </c:pt>
                <c:pt idx="4">
                  <c:v>3.4042016747237787</c:v>
                </c:pt>
                <c:pt idx="5">
                  <c:v>4.8108650230326848</c:v>
                </c:pt>
                <c:pt idx="6">
                  <c:v>6.4227882544512562</c:v>
                </c:pt>
                <c:pt idx="7">
                  <c:v>8.231473540916447</c:v>
                </c:pt>
                <c:pt idx="8">
                  <c:v>10.228183838890494</c:v>
                </c:pt>
                <c:pt idx="9">
                  <c:v>12.404570065460273</c:v>
                </c:pt>
                <c:pt idx="10">
                  <c:v>14.751850644868727</c:v>
                </c:pt>
                <c:pt idx="11">
                  <c:v>17.261296945184561</c:v>
                </c:pt>
                <c:pt idx="12">
                  <c:v>19.924626159713689</c:v>
                </c:pt>
                <c:pt idx="13">
                  <c:v>22.732951911531817</c:v>
                </c:pt>
                <c:pt idx="14">
                  <c:v>25.677273363723344</c:v>
                </c:pt>
                <c:pt idx="15">
                  <c:v>28.749148417303221</c:v>
                </c:pt>
                <c:pt idx="16">
                  <c:v>31.940659026878365</c:v>
                </c:pt>
                <c:pt idx="17">
                  <c:v>35.242251270473901</c:v>
                </c:pt>
                <c:pt idx="18">
                  <c:v>38.644913422546502</c:v>
                </c:pt>
                <c:pt idx="19">
                  <c:v>42.140371493670131</c:v>
                </c:pt>
                <c:pt idx="20">
                  <c:v>45.721028836488749</c:v>
                </c:pt>
                <c:pt idx="21">
                  <c:v>49.37991069576875</c:v>
                </c:pt>
                <c:pt idx="22">
                  <c:v>53.110103528804395</c:v>
                </c:pt>
                <c:pt idx="23">
                  <c:v>56.905172439451377</c:v>
                </c:pt>
                <c:pt idx="24">
                  <c:v>60.7592631979931</c:v>
                </c:pt>
                <c:pt idx="25">
                  <c:v>64.667049843480697</c:v>
                </c:pt>
                <c:pt idx="26">
                  <c:v>68.623687014286418</c:v>
                </c:pt>
                <c:pt idx="27">
                  <c:v>72.624766580210064</c:v>
                </c:pt>
                <c:pt idx="28">
                  <c:v>76.666278187978833</c:v>
                </c:pt>
                <c:pt idx="29">
                  <c:v>80.744573367007149</c:v>
                </c:pt>
                <c:pt idx="30">
                  <c:v>84.856332874149018</c:v>
                </c:pt>
                <c:pt idx="31">
                  <c:v>88.998536985165543</c:v>
                </c:pt>
                <c:pt idx="32">
                  <c:v>93.167895745148456</c:v>
                </c:pt>
                <c:pt idx="33">
                  <c:v>97.361470869397522</c:v>
                </c:pt>
                <c:pt idx="34">
                  <c:v>101.57664201202992</c:v>
                </c:pt>
                <c:pt idx="35">
                  <c:v>105.81107236322426</c:v>
                </c:pt>
                <c:pt idx="36">
                  <c:v>110.06267796903489</c:v>
                </c:pt>
                <c:pt idx="37">
                  <c:v>114.32960037097378</c:v>
                </c:pt>
                <c:pt idx="38">
                  <c:v>118.61018220614237</c:v>
                </c:pt>
                <c:pt idx="39">
                  <c:v>122.90294544756551</c:v>
                </c:pt>
                <c:pt idx="40">
                  <c:v>127.20657199904286</c:v>
                </c:pt>
                <c:pt idx="41">
                  <c:v>131.51988638974561</c:v>
                </c:pt>
                <c:pt idx="42">
                  <c:v>135.84184034135467</c:v>
                </c:pt>
                <c:pt idx="43">
                  <c:v>140.17149900512061</c:v>
                </c:pt>
                <c:pt idx="44">
                  <c:v>144.5080286881506</c:v>
                </c:pt>
                <c:pt idx="45">
                  <c:v>148.85068590777973</c:v>
                </c:pt>
                <c:pt idx="46">
                  <c:v>153.1988076303204</c:v>
                </c:pt>
                <c:pt idx="47">
                  <c:v>157.55180256603364</c:v>
                </c:pt>
                <c:pt idx="48">
                  <c:v>161.90914340603311</c:v>
                </c:pt>
                <c:pt idx="49">
                  <c:v>166.27035989919941</c:v>
                </c:pt>
                <c:pt idx="50">
                  <c:v>170.63503267821102</c:v>
                </c:pt>
                <c:pt idx="51">
                  <c:v>175.00278775363316</c:v>
                </c:pt>
                <c:pt idx="52">
                  <c:v>179.37329160377695</c:v>
                </c:pt>
                <c:pt idx="53">
                  <c:v>183.74624679586321</c:v>
                </c:pt>
                <c:pt idx="54">
                  <c:v>188.12138808100096</c:v>
                </c:pt>
                <c:pt idx="55">
                  <c:v>192.49847891171078</c:v>
                </c:pt>
                <c:pt idx="56">
                  <c:v>196.87730833627188</c:v>
                </c:pt>
                <c:pt idx="57">
                  <c:v>201.25768822911803</c:v>
                </c:pt>
                <c:pt idx="58">
                  <c:v>205.6394508209201</c:v>
                </c:pt>
                <c:pt idx="59">
                  <c:v>210.02244649592748</c:v>
                </c:pt>
                <c:pt idx="60">
                  <c:v>214.40654182764953</c:v>
                </c:pt>
                <c:pt idx="61">
                  <c:v>218.79161782708718</c:v>
                </c:pt>
                <c:pt idx="62">
                  <c:v>223.17756838051574</c:v>
                </c:pt>
                <c:pt idx="63">
                  <c:v>227.56429885630826</c:v>
                </c:pt>
                <c:pt idx="64">
                  <c:v>231.95172486250843</c:v>
                </c:pt>
                <c:pt idx="65">
                  <c:v>236.339771138841</c:v>
                </c:pt>
                <c:pt idx="66">
                  <c:v>240.72837056861289</c:v>
                </c:pt>
                <c:pt idx="67">
                  <c:v>245.11746329753214</c:v>
                </c:pt>
                <c:pt idx="68">
                  <c:v>249.50699594787551</c:v>
                </c:pt>
                <c:pt idx="69">
                  <c:v>253.89692091768757</c:v>
                </c:pt>
                <c:pt idx="70">
                  <c:v>258.28719575581033</c:v>
                </c:pt>
                <c:pt idx="71">
                  <c:v>262.67778260453832</c:v>
                </c:pt>
                <c:pt idx="72">
                  <c:v>267.06864770258119</c:v>
                </c:pt>
                <c:pt idx="73">
                  <c:v>271.45976094180878</c:v>
                </c:pt>
                <c:pt idx="74">
                  <c:v>275.85109547195884</c:v>
                </c:pt>
                <c:pt idx="75">
                  <c:v>280.24262734811742</c:v>
                </c:pt>
                <c:pt idx="76">
                  <c:v>284.63433521634408</c:v>
                </c:pt>
                <c:pt idx="77">
                  <c:v>289.02620003331401</c:v>
                </c:pt>
                <c:pt idx="78">
                  <c:v>293.41820481629651</c:v>
                </c:pt>
                <c:pt idx="79">
                  <c:v>297.81033442018713</c:v>
                </c:pt>
                <c:pt idx="80">
                  <c:v>302.20257533866641</c:v>
                </c:pt>
                <c:pt idx="81">
                  <c:v>306.59491552687405</c:v>
                </c:pt>
                <c:pt idx="82">
                  <c:v>310.98734424327097</c:v>
                </c:pt>
                <c:pt idx="83">
                  <c:v>315.37985190861252</c:v>
                </c:pt>
                <c:pt idx="84">
                  <c:v>319.77242998018198</c:v>
                </c:pt>
                <c:pt idx="85">
                  <c:v>324.16507083963216</c:v>
                </c:pt>
                <c:pt idx="86">
                  <c:v>328.55776769296364</c:v>
                </c:pt>
                <c:pt idx="87">
                  <c:v>332.95051448132568</c:v>
                </c:pt>
                <c:pt idx="88">
                  <c:v>337.34330580146906</c:v>
                </c:pt>
                <c:pt idx="89">
                  <c:v>341.7361368348063</c:v>
                </c:pt>
                <c:pt idx="90">
                  <c:v>346.12900328414798</c:v>
                </c:pt>
                <c:pt idx="91">
                  <c:v>350.52190131728463</c:v>
                </c:pt>
                <c:pt idx="92">
                  <c:v>354.91482751667314</c:v>
                </c:pt>
                <c:pt idx="93">
                  <c:v>359.30777883456778</c:v>
                </c:pt>
                <c:pt idx="94">
                  <c:v>363.70075255300588</c:v>
                </c:pt>
                <c:pt idx="95">
                  <c:v>368.09374624812347</c:v>
                </c:pt>
                <c:pt idx="96">
                  <c:v>372.48675775833226</c:v>
                </c:pt>
                <c:pt idx="97">
                  <c:v>376.87978515593989</c:v>
                </c:pt>
                <c:pt idx="98">
                  <c:v>381.27282672184106</c:v>
                </c:pt>
                <c:pt idx="99">
                  <c:v>385.66588092294722</c:v>
                </c:pt>
                <c:pt idx="100">
                  <c:v>390.05894639205866</c:v>
                </c:pt>
                <c:pt idx="101">
                  <c:v>394.45202190991427</c:v>
                </c:pt>
                <c:pt idx="102">
                  <c:v>398.84510638918374</c:v>
                </c:pt>
                <c:pt idx="103">
                  <c:v>403.23819886019209</c:v>
                </c:pt>
                <c:pt idx="104">
                  <c:v>407.6312984581885</c:v>
                </c:pt>
                <c:pt idx="105">
                  <c:v>412.02440441199309</c:v>
                </c:pt>
                <c:pt idx="106">
                  <c:v>416.41751603387189</c:v>
                </c:pt>
                <c:pt idx="107">
                  <c:v>420.8106327105076</c:v>
                </c:pt>
                <c:pt idx="108">
                  <c:v>425.20375389494728</c:v>
                </c:pt>
                <c:pt idx="109">
                  <c:v>429.59687909942141</c:v>
                </c:pt>
                <c:pt idx="110">
                  <c:v>433.99000788893977</c:v>
                </c:pt>
                <c:pt idx="111">
                  <c:v>438.38313987558053</c:v>
                </c:pt>
                <c:pt idx="112">
                  <c:v>442.77627471339724</c:v>
                </c:pt>
                <c:pt idx="113">
                  <c:v>447.1694120938767</c:v>
                </c:pt>
                <c:pt idx="114">
                  <c:v>451.56255174188857</c:v>
                </c:pt>
                <c:pt idx="115">
                  <c:v>455.95569341207323</c:v>
                </c:pt>
                <c:pt idx="116">
                  <c:v>460.34883688562024</c:v>
                </c:pt>
                <c:pt idx="117">
                  <c:v>464.74198196739576</c:v>
                </c:pt>
                <c:pt idx="118">
                  <c:v>469.13512848338047</c:v>
                </c:pt>
                <c:pt idx="119">
                  <c:v>473.52827627838496</c:v>
                </c:pt>
                <c:pt idx="120">
                  <c:v>477.92142521401212</c:v>
                </c:pt>
                <c:pt idx="121">
                  <c:v>482.31457516684014</c:v>
                </c:pt>
                <c:pt idx="122">
                  <c:v>486.70772602680228</c:v>
                </c:pt>
                <c:pt idx="123">
                  <c:v>491.10087769574153</c:v>
                </c:pt>
                <c:pt idx="124">
                  <c:v>495.49403008612211</c:v>
                </c:pt>
                <c:pt idx="125">
                  <c:v>499.88718311987998</c:v>
                </c:pt>
                <c:pt idx="126">
                  <c:v>504.28033672739809</c:v>
                </c:pt>
                <c:pt idx="127">
                  <c:v>508.67349084659247</c:v>
                </c:pt>
                <c:pt idx="128">
                  <c:v>513.06664542209683</c:v>
                </c:pt>
                <c:pt idx="129">
                  <c:v>517.45980040453583</c:v>
                </c:pt>
                <c:pt idx="130">
                  <c:v>521.85295574987697</c:v>
                </c:pt>
                <c:pt idx="131">
                  <c:v>526.24611141885214</c:v>
                </c:pt>
                <c:pt idx="132">
                  <c:v>530.63926737644238</c:v>
                </c:pt>
                <c:pt idx="133">
                  <c:v>535.03242359141791</c:v>
                </c:pt>
                <c:pt idx="134">
                  <c:v>539.42558003592819</c:v>
                </c:pt>
                <c:pt idx="135">
                  <c:v>543.81873668513629</c:v>
                </c:pt>
                <c:pt idx="136">
                  <c:v>548.21189351689281</c:v>
                </c:pt>
                <c:pt idx="137">
                  <c:v>552.60505051144492</c:v>
                </c:pt>
                <c:pt idx="138">
                  <c:v>556.99820765117727</c:v>
                </c:pt>
                <c:pt idx="139">
                  <c:v>561.39136492038051</c:v>
                </c:pt>
                <c:pt idx="140">
                  <c:v>565.78452230504513</c:v>
                </c:pt>
                <c:pt idx="141">
                  <c:v>570.17767979267762</c:v>
                </c:pt>
                <c:pt idx="142">
                  <c:v>574.57083737213634</c:v>
                </c:pt>
                <c:pt idx="143">
                  <c:v>578.96399503348505</c:v>
                </c:pt>
                <c:pt idx="144">
                  <c:v>583.35715276786289</c:v>
                </c:pt>
                <c:pt idx="145">
                  <c:v>587.75031056736771</c:v>
                </c:pt>
                <c:pt idx="146">
                  <c:v>592.1434684249524</c:v>
                </c:pt>
                <c:pt idx="147">
                  <c:v>596.53662633433237</c:v>
                </c:pt>
                <c:pt idx="148">
                  <c:v>600.92978428990307</c:v>
                </c:pt>
                <c:pt idx="149">
                  <c:v>605.32294228666638</c:v>
                </c:pt>
                <c:pt idx="150">
                  <c:v>609.71610032016508</c:v>
                </c:pt>
                <c:pt idx="151">
                  <c:v>614.10925838642413</c:v>
                </c:pt>
                <c:pt idx="152">
                  <c:v>618.50241648189876</c:v>
                </c:pt>
                <c:pt idx="153">
                  <c:v>622.89557460342769</c:v>
                </c:pt>
                <c:pt idx="154">
                  <c:v>627.28873274819159</c:v>
                </c:pt>
                <c:pt idx="155">
                  <c:v>631.6818909136764</c:v>
                </c:pt>
                <c:pt idx="156">
                  <c:v>636.07504909763998</c:v>
                </c:pt>
                <c:pt idx="157">
                  <c:v>640.4682072980828</c:v>
                </c:pt>
                <c:pt idx="158">
                  <c:v>644.8613655132217</c:v>
                </c:pt>
                <c:pt idx="159">
                  <c:v>649.25452374146653</c:v>
                </c:pt>
                <c:pt idx="160">
                  <c:v>653.64768198139916</c:v>
                </c:pt>
                <c:pt idx="161">
                  <c:v>658.04084023175483</c:v>
                </c:pt>
                <c:pt idx="162">
                  <c:v>662.43399849140576</c:v>
                </c:pt>
                <c:pt idx="163">
                  <c:v>666.82715675934617</c:v>
                </c:pt>
                <c:pt idx="164">
                  <c:v>671.22031503467906</c:v>
                </c:pt>
                <c:pt idx="165">
                  <c:v>675.61347331660454</c:v>
                </c:pt>
                <c:pt idx="166">
                  <c:v>680.00663160440922</c:v>
                </c:pt>
                <c:pt idx="167">
                  <c:v>684.39978989745703</c:v>
                </c:pt>
                <c:pt idx="168">
                  <c:v>688.79294819518054</c:v>
                </c:pt>
                <c:pt idx="169">
                  <c:v>693.18610649707387</c:v>
                </c:pt>
                <c:pt idx="170">
                  <c:v>697.57926480268577</c:v>
                </c:pt>
                <c:pt idx="171">
                  <c:v>701.97242311161392</c:v>
                </c:pt>
                <c:pt idx="172">
                  <c:v>706.36558142349941</c:v>
                </c:pt>
                <c:pt idx="173">
                  <c:v>710.75873973802231</c:v>
                </c:pt>
                <c:pt idx="174">
                  <c:v>715.15189805489729</c:v>
                </c:pt>
                <c:pt idx="175">
                  <c:v>719.54505637386978</c:v>
                </c:pt>
                <c:pt idx="176">
                  <c:v>723.93821469471277</c:v>
                </c:pt>
                <c:pt idx="177">
                  <c:v>728.33137301722388</c:v>
                </c:pt>
                <c:pt idx="178">
                  <c:v>732.7245313412227</c:v>
                </c:pt>
                <c:pt idx="179">
                  <c:v>737.11768966654813</c:v>
                </c:pt>
                <c:pt idx="180">
                  <c:v>741.5108479930567</c:v>
                </c:pt>
                <c:pt idx="181">
                  <c:v>745.90400632062028</c:v>
                </c:pt>
                <c:pt idx="182">
                  <c:v>750.29716464912485</c:v>
                </c:pt>
                <c:pt idx="183">
                  <c:v>754.69032297846854</c:v>
                </c:pt>
                <c:pt idx="184">
                  <c:v>759.08348130856052</c:v>
                </c:pt>
                <c:pt idx="185">
                  <c:v>763.47663963931984</c:v>
                </c:pt>
                <c:pt idx="186">
                  <c:v>767.86979797067431</c:v>
                </c:pt>
                <c:pt idx="187">
                  <c:v>772.26295630255947</c:v>
                </c:pt>
                <c:pt idx="188">
                  <c:v>776.65611463491803</c:v>
                </c:pt>
                <c:pt idx="189">
                  <c:v>781.0492729676987</c:v>
                </c:pt>
                <c:pt idx="190">
                  <c:v>785.44243130085579</c:v>
                </c:pt>
                <c:pt idx="191">
                  <c:v>789.83558963434848</c:v>
                </c:pt>
                <c:pt idx="192">
                  <c:v>794.22874796814062</c:v>
                </c:pt>
                <c:pt idx="193">
                  <c:v>798.6219063021997</c:v>
                </c:pt>
                <c:pt idx="194">
                  <c:v>803.01506463649685</c:v>
                </c:pt>
                <c:pt idx="195">
                  <c:v>807.40822297100635</c:v>
                </c:pt>
                <c:pt idx="196">
                  <c:v>811.80138130570515</c:v>
                </c:pt>
                <c:pt idx="197">
                  <c:v>816.19453964057288</c:v>
                </c:pt>
                <c:pt idx="198">
                  <c:v>820.58769797559114</c:v>
                </c:pt>
                <c:pt idx="199">
                  <c:v>824.98085631074366</c:v>
                </c:pt>
                <c:pt idx="200">
                  <c:v>829.37401464601601</c:v>
                </c:pt>
              </c:numCache>
            </c:numRef>
          </c:yVal>
          <c:smooth val="1"/>
          <c:extLst>
            <c:ext xmlns:c16="http://schemas.microsoft.com/office/drawing/2014/chart" uri="{C3380CC4-5D6E-409C-BE32-E72D297353CC}">
              <c16:uniqueId val="{00000001-4777-42BA-88B2-19D0DC63C164}"/>
            </c:ext>
          </c:extLst>
        </c:ser>
        <c:dLbls>
          <c:showLegendKey val="0"/>
          <c:showVal val="0"/>
          <c:showCatName val="0"/>
          <c:showSerName val="0"/>
          <c:showPercent val="0"/>
          <c:showBubbleSize val="0"/>
        </c:dLbls>
        <c:axId val="1167372831"/>
        <c:axId val="1167373791"/>
      </c:scatterChart>
      <c:valAx>
        <c:axId val="1167372831"/>
        <c:scaling>
          <c:orientation val="minMax"/>
          <c:max val="6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(Seconds)</a:t>
                </a:r>
              </a:p>
            </c:rich>
          </c:tx>
          <c:layout>
            <c:manualLayout>
              <c:xMode val="edge"/>
              <c:yMode val="edge"/>
              <c:x val="0.45922175548220773"/>
              <c:y val="0.8976698650599060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3791"/>
        <c:crosses val="autoZero"/>
        <c:crossBetween val="midCat"/>
        <c:majorUnit val="5"/>
      </c:valAx>
      <c:valAx>
        <c:axId val="1167373791"/>
        <c:scaling>
          <c:orientation val="minMax"/>
          <c:max val="2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Distance</a:t>
                </a:r>
                <a:r>
                  <a:rPr lang="en-GB" baseline="0"/>
                  <a:t> (m)</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3728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GB"/>
              <a:t>INPUT DATA FORE BODY</a:t>
            </a:r>
          </a:p>
        </c:rich>
      </c:tx>
      <c:layout>
        <c:manualLayout>
          <c:xMode val="edge"/>
          <c:yMode val="edge"/>
          <c:x val="0.37547632723058649"/>
          <c:y val="2.8620437335917855E-2"/>
        </c:manualLayout>
      </c:layout>
      <c:overlay val="0"/>
      <c:spPr>
        <a:noFill/>
        <a:ln w="25400">
          <a:noFill/>
        </a:ln>
      </c:spPr>
    </c:title>
    <c:autoTitleDeleted val="0"/>
    <c:plotArea>
      <c:layout>
        <c:manualLayout>
          <c:layoutTarget val="inner"/>
          <c:xMode val="edge"/>
          <c:yMode val="edge"/>
          <c:x val="6.6916573169807494E-2"/>
          <c:y val="9.0911977419974352E-2"/>
          <c:w val="0.88478580080078795"/>
          <c:h val="0.82157490705458314"/>
        </c:manualLayout>
      </c:layout>
      <c:scatterChart>
        <c:scatterStyle val="lineMarker"/>
        <c:varyColors val="0"/>
        <c:ser>
          <c:idx val="0"/>
          <c:order val="0"/>
          <c:spPr>
            <a:ln w="12700">
              <a:solidFill>
                <a:srgbClr val="000000"/>
              </a:solidFill>
              <a:prstDash val="solid"/>
            </a:ln>
          </c:spPr>
          <c:marker>
            <c:symbol val="diamond"/>
            <c:size val="5"/>
            <c:spPr>
              <a:solidFill>
                <a:srgbClr val="000080"/>
              </a:solidFill>
              <a:ln>
                <a:solidFill>
                  <a:srgbClr val="000080"/>
                </a:solidFill>
                <a:prstDash val="solid"/>
              </a:ln>
            </c:spPr>
          </c:marker>
          <c:xVal>
            <c:numRef>
              <c:f>Transform!$V$12:$V$23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Transform!$W$12:$W$23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0-C858-424A-828F-9823F794EB1F}"/>
            </c:ext>
          </c:extLst>
        </c:ser>
        <c:ser>
          <c:idx val="1"/>
          <c:order val="1"/>
          <c:spPr>
            <a:ln w="12700">
              <a:solidFill>
                <a:srgbClr val="000000"/>
              </a:solidFill>
              <a:prstDash val="solid"/>
            </a:ln>
          </c:spPr>
          <c:marker>
            <c:symbol val="square"/>
            <c:size val="5"/>
            <c:spPr>
              <a:solidFill>
                <a:srgbClr val="FF00FF"/>
              </a:solidFill>
              <a:ln>
                <a:solidFill>
                  <a:srgbClr val="FF00FF"/>
                </a:solidFill>
                <a:prstDash val="solid"/>
              </a:ln>
            </c:spPr>
          </c:marker>
          <c:xVal>
            <c:numRef>
              <c:f>Transform!$X$12:$X$23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Transform!$Y$12:$Y$23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1-C858-424A-828F-9823F794EB1F}"/>
            </c:ext>
          </c:extLst>
        </c:ser>
        <c:ser>
          <c:idx val="2"/>
          <c:order val="2"/>
          <c:spPr>
            <a:ln w="12700">
              <a:solidFill>
                <a:srgbClr val="000000"/>
              </a:solidFill>
              <a:prstDash val="solid"/>
            </a:ln>
          </c:spPr>
          <c:marker>
            <c:symbol val="triangle"/>
            <c:size val="5"/>
            <c:spPr>
              <a:solidFill>
                <a:srgbClr val="FFFF00"/>
              </a:solidFill>
              <a:ln>
                <a:solidFill>
                  <a:srgbClr val="FFFF00"/>
                </a:solidFill>
                <a:prstDash val="solid"/>
              </a:ln>
            </c:spPr>
          </c:marker>
          <c:xVal>
            <c:numRef>
              <c:f>Transform!$Z$12:$Z$23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Transform!$AA$12:$AA$23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2-C858-424A-828F-9823F794EB1F}"/>
            </c:ext>
          </c:extLst>
        </c:ser>
        <c:ser>
          <c:idx val="3"/>
          <c:order val="3"/>
          <c:spPr>
            <a:ln w="12700">
              <a:solidFill>
                <a:srgbClr val="000000"/>
              </a:solidFill>
              <a:prstDash val="solid"/>
            </a:ln>
          </c:spPr>
          <c:marker>
            <c:symbol val="x"/>
            <c:size val="5"/>
            <c:spPr>
              <a:noFill/>
              <a:ln>
                <a:solidFill>
                  <a:srgbClr val="00FFFF"/>
                </a:solidFill>
                <a:prstDash val="solid"/>
              </a:ln>
            </c:spPr>
          </c:marker>
          <c:xVal>
            <c:numRef>
              <c:f>Transform!$AB$12:$AB$23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Transform!$AC$12:$AC$23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3-C858-424A-828F-9823F794EB1F}"/>
            </c:ext>
          </c:extLst>
        </c:ser>
        <c:ser>
          <c:idx val="4"/>
          <c:order val="4"/>
          <c:spPr>
            <a:ln w="12700">
              <a:solidFill>
                <a:srgbClr val="000000"/>
              </a:solidFill>
              <a:prstDash val="solid"/>
            </a:ln>
          </c:spPr>
          <c:marker>
            <c:symbol val="star"/>
            <c:size val="5"/>
            <c:spPr>
              <a:noFill/>
              <a:ln>
                <a:solidFill>
                  <a:srgbClr val="800080"/>
                </a:solidFill>
                <a:prstDash val="solid"/>
              </a:ln>
            </c:spPr>
          </c:marker>
          <c:xVal>
            <c:numRef>
              <c:f>Transform!$AD$12:$AD$22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Transform!$AE$12:$AE$22</c:f>
              <c:numCache>
                <c:formatCode>0.00</c:formatCode>
                <c:ptCount val="11"/>
                <c:pt idx="0">
                  <c:v>0.08</c:v>
                </c:pt>
                <c:pt idx="1">
                  <c:v>0.09</c:v>
                </c:pt>
                <c:pt idx="2">
                  <c:v>0.22</c:v>
                </c:pt>
                <c:pt idx="3">
                  <c:v>0.92</c:v>
                </c:pt>
                <c:pt idx="4">
                  <c:v>1.37</c:v>
                </c:pt>
                <c:pt idx="5">
                  <c:v>1.65</c:v>
                </c:pt>
                <c:pt idx="6">
                  <c:v>1.83</c:v>
                </c:pt>
                <c:pt idx="7">
                  <c:v>1.96</c:v>
                </c:pt>
                <c:pt idx="8">
                  <c:v>2.06</c:v>
                </c:pt>
                <c:pt idx="9">
                  <c:v>2.13</c:v>
                </c:pt>
                <c:pt idx="10">
                  <c:v>2.17</c:v>
                </c:pt>
              </c:numCache>
            </c:numRef>
          </c:yVal>
          <c:smooth val="0"/>
          <c:extLst>
            <c:ext xmlns:c16="http://schemas.microsoft.com/office/drawing/2014/chart" uri="{C3380CC4-5D6E-409C-BE32-E72D297353CC}">
              <c16:uniqueId val="{00000004-C858-424A-828F-9823F794EB1F}"/>
            </c:ext>
          </c:extLst>
        </c:ser>
        <c:ser>
          <c:idx val="5"/>
          <c:order val="5"/>
          <c:spPr>
            <a:ln w="12700">
              <a:solidFill>
                <a:srgbClr val="000000"/>
              </a:solidFill>
              <a:prstDash val="solid"/>
            </a:ln>
          </c:spPr>
          <c:marker>
            <c:symbol val="circle"/>
            <c:size val="5"/>
            <c:spPr>
              <a:solidFill>
                <a:srgbClr val="800000"/>
              </a:solidFill>
              <a:ln>
                <a:solidFill>
                  <a:srgbClr val="800000"/>
                </a:solidFill>
                <a:prstDash val="solid"/>
              </a:ln>
            </c:spPr>
          </c:marker>
          <c:xVal>
            <c:numRef>
              <c:f>Transform!$AF$12:$AF$22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Transform!$AG$12:$AG$22</c:f>
              <c:numCache>
                <c:formatCode>0.00</c:formatCode>
                <c:ptCount val="11"/>
                <c:pt idx="0">
                  <c:v>0</c:v>
                </c:pt>
                <c:pt idx="1">
                  <c:v>0.06</c:v>
                </c:pt>
                <c:pt idx="2">
                  <c:v>0.17</c:v>
                </c:pt>
                <c:pt idx="3">
                  <c:v>0.72</c:v>
                </c:pt>
                <c:pt idx="4">
                  <c:v>1.21</c:v>
                </c:pt>
                <c:pt idx="5">
                  <c:v>1.48</c:v>
                </c:pt>
                <c:pt idx="6">
                  <c:v>1.66</c:v>
                </c:pt>
                <c:pt idx="7">
                  <c:v>1.8</c:v>
                </c:pt>
                <c:pt idx="8">
                  <c:v>1.9</c:v>
                </c:pt>
                <c:pt idx="9">
                  <c:v>1.98</c:v>
                </c:pt>
                <c:pt idx="10">
                  <c:v>2.02</c:v>
                </c:pt>
              </c:numCache>
            </c:numRef>
          </c:yVal>
          <c:smooth val="0"/>
          <c:extLst>
            <c:ext xmlns:c16="http://schemas.microsoft.com/office/drawing/2014/chart" uri="{C3380CC4-5D6E-409C-BE32-E72D297353CC}">
              <c16:uniqueId val="{00000005-C858-424A-828F-9823F794EB1F}"/>
            </c:ext>
          </c:extLst>
        </c:ser>
        <c:ser>
          <c:idx val="6"/>
          <c:order val="6"/>
          <c:spPr>
            <a:ln w="12700">
              <a:solidFill>
                <a:srgbClr val="000000"/>
              </a:solidFill>
              <a:prstDash val="solid"/>
            </a:ln>
          </c:spPr>
          <c:marker>
            <c:symbol val="plus"/>
            <c:size val="5"/>
            <c:spPr>
              <a:noFill/>
              <a:ln>
                <a:solidFill>
                  <a:srgbClr val="008080"/>
                </a:solidFill>
                <a:prstDash val="solid"/>
              </a:ln>
            </c:spPr>
          </c:marker>
          <c:xVal>
            <c:numRef>
              <c:f>Transform!$AH$12:$AH$22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Transform!$AI$12:$AI$22</c:f>
              <c:numCache>
                <c:formatCode>0.00</c:formatCode>
                <c:ptCount val="11"/>
                <c:pt idx="0">
                  <c:v>0</c:v>
                </c:pt>
                <c:pt idx="1">
                  <c:v>0</c:v>
                </c:pt>
                <c:pt idx="2">
                  <c:v>0.13</c:v>
                </c:pt>
                <c:pt idx="3">
                  <c:v>0.45</c:v>
                </c:pt>
                <c:pt idx="4">
                  <c:v>0.92</c:v>
                </c:pt>
                <c:pt idx="5">
                  <c:v>1.18</c:v>
                </c:pt>
                <c:pt idx="6">
                  <c:v>1.37</c:v>
                </c:pt>
                <c:pt idx="7">
                  <c:v>1.5</c:v>
                </c:pt>
                <c:pt idx="8">
                  <c:v>1.6</c:v>
                </c:pt>
                <c:pt idx="9">
                  <c:v>1.66</c:v>
                </c:pt>
                <c:pt idx="10">
                  <c:v>1.71</c:v>
                </c:pt>
              </c:numCache>
            </c:numRef>
          </c:yVal>
          <c:smooth val="0"/>
          <c:extLst>
            <c:ext xmlns:c16="http://schemas.microsoft.com/office/drawing/2014/chart" uri="{C3380CC4-5D6E-409C-BE32-E72D297353CC}">
              <c16:uniqueId val="{00000006-C858-424A-828F-9823F794EB1F}"/>
            </c:ext>
          </c:extLst>
        </c:ser>
        <c:ser>
          <c:idx val="7"/>
          <c:order val="7"/>
          <c:spPr>
            <a:ln w="12700">
              <a:solidFill>
                <a:srgbClr val="000000"/>
              </a:solidFill>
              <a:prstDash val="solid"/>
            </a:ln>
          </c:spPr>
          <c:marker>
            <c:symbol val="dot"/>
            <c:size val="5"/>
            <c:spPr>
              <a:noFill/>
              <a:ln>
                <a:solidFill>
                  <a:srgbClr val="0000FF"/>
                </a:solidFill>
                <a:prstDash val="solid"/>
              </a:ln>
            </c:spPr>
          </c:marker>
          <c:xVal>
            <c:numRef>
              <c:f>Transform!$AJ$12:$AJ$22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Transform!$AK$12:$AK$22</c:f>
              <c:numCache>
                <c:formatCode>0.00</c:formatCode>
                <c:ptCount val="11"/>
                <c:pt idx="0">
                  <c:v>0</c:v>
                </c:pt>
                <c:pt idx="1">
                  <c:v>0</c:v>
                </c:pt>
                <c:pt idx="2">
                  <c:v>0.03</c:v>
                </c:pt>
                <c:pt idx="3">
                  <c:v>0.23</c:v>
                </c:pt>
                <c:pt idx="4">
                  <c:v>0.56000000000000005</c:v>
                </c:pt>
                <c:pt idx="5">
                  <c:v>0.79</c:v>
                </c:pt>
                <c:pt idx="6">
                  <c:v>0.95</c:v>
                </c:pt>
                <c:pt idx="7">
                  <c:v>1.08</c:v>
                </c:pt>
                <c:pt idx="8">
                  <c:v>1.1599999999999999</c:v>
                </c:pt>
                <c:pt idx="9">
                  <c:v>1.21</c:v>
                </c:pt>
                <c:pt idx="10">
                  <c:v>1.25</c:v>
                </c:pt>
              </c:numCache>
            </c:numRef>
          </c:yVal>
          <c:smooth val="0"/>
          <c:extLst>
            <c:ext xmlns:c16="http://schemas.microsoft.com/office/drawing/2014/chart" uri="{C3380CC4-5D6E-409C-BE32-E72D297353CC}">
              <c16:uniqueId val="{00000007-C858-424A-828F-9823F794EB1F}"/>
            </c:ext>
          </c:extLst>
        </c:ser>
        <c:ser>
          <c:idx val="8"/>
          <c:order val="8"/>
          <c:spPr>
            <a:ln w="12700">
              <a:solidFill>
                <a:srgbClr val="000000"/>
              </a:solidFill>
              <a:prstDash val="solid"/>
            </a:ln>
          </c:spPr>
          <c:marker>
            <c:symbol val="dash"/>
            <c:size val="5"/>
            <c:spPr>
              <a:noFill/>
              <a:ln>
                <a:solidFill>
                  <a:srgbClr val="00CCFF"/>
                </a:solidFill>
                <a:prstDash val="solid"/>
              </a:ln>
            </c:spPr>
          </c:marker>
          <c:xVal>
            <c:numRef>
              <c:f>Transform!$AL$12:$AL$22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Transform!$AM$12:$AM$22</c:f>
              <c:numCache>
                <c:formatCode>0.00</c:formatCode>
                <c:ptCount val="11"/>
                <c:pt idx="0">
                  <c:v>0</c:v>
                </c:pt>
                <c:pt idx="1">
                  <c:v>0</c:v>
                </c:pt>
                <c:pt idx="2">
                  <c:v>0</c:v>
                </c:pt>
                <c:pt idx="3">
                  <c:v>0.08</c:v>
                </c:pt>
                <c:pt idx="4">
                  <c:v>0.3</c:v>
                </c:pt>
                <c:pt idx="5">
                  <c:v>0.53</c:v>
                </c:pt>
                <c:pt idx="6">
                  <c:v>0.66</c:v>
                </c:pt>
                <c:pt idx="7">
                  <c:v>0.64</c:v>
                </c:pt>
                <c:pt idx="8">
                  <c:v>0.63</c:v>
                </c:pt>
                <c:pt idx="9">
                  <c:v>0.65</c:v>
                </c:pt>
                <c:pt idx="10">
                  <c:v>0.66</c:v>
                </c:pt>
              </c:numCache>
            </c:numRef>
          </c:yVal>
          <c:smooth val="0"/>
          <c:extLst>
            <c:ext xmlns:c16="http://schemas.microsoft.com/office/drawing/2014/chart" uri="{C3380CC4-5D6E-409C-BE32-E72D297353CC}">
              <c16:uniqueId val="{00000008-C858-424A-828F-9823F794EB1F}"/>
            </c:ext>
          </c:extLst>
        </c:ser>
        <c:ser>
          <c:idx val="9"/>
          <c:order val="9"/>
          <c:spPr>
            <a:ln w="12700">
              <a:solidFill>
                <a:srgbClr val="000000"/>
              </a:solidFill>
              <a:prstDash val="solid"/>
            </a:ln>
          </c:spPr>
          <c:marker>
            <c:symbol val="diamond"/>
            <c:size val="5"/>
            <c:spPr>
              <a:solidFill>
                <a:srgbClr val="CCFFFF"/>
              </a:solidFill>
              <a:ln>
                <a:solidFill>
                  <a:srgbClr val="CCFFFF"/>
                </a:solidFill>
                <a:prstDash val="solid"/>
              </a:ln>
            </c:spPr>
          </c:marker>
          <c:xVal>
            <c:numRef>
              <c:f>Transform!$AN$12:$AN$22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Transform!$AO$12:$AO$22</c:f>
              <c:numCache>
                <c:formatCode>0.00</c:formatCode>
                <c:ptCount val="11"/>
                <c:pt idx="0">
                  <c:v>0</c:v>
                </c:pt>
                <c:pt idx="1">
                  <c:v>0</c:v>
                </c:pt>
                <c:pt idx="2">
                  <c:v>0</c:v>
                </c:pt>
                <c:pt idx="3">
                  <c:v>0</c:v>
                </c:pt>
                <c:pt idx="4">
                  <c:v>0.11</c:v>
                </c:pt>
                <c:pt idx="5">
                  <c:v>0.3</c:v>
                </c:pt>
                <c:pt idx="6">
                  <c:v>0.28000000000000003</c:v>
                </c:pt>
                <c:pt idx="7">
                  <c:v>0.26</c:v>
                </c:pt>
                <c:pt idx="8">
                  <c:v>0.23</c:v>
                </c:pt>
                <c:pt idx="9">
                  <c:v>0.21</c:v>
                </c:pt>
                <c:pt idx="10">
                  <c:v>0.18</c:v>
                </c:pt>
              </c:numCache>
            </c:numRef>
          </c:yVal>
          <c:smooth val="0"/>
          <c:extLst>
            <c:ext xmlns:c16="http://schemas.microsoft.com/office/drawing/2014/chart" uri="{C3380CC4-5D6E-409C-BE32-E72D297353CC}">
              <c16:uniqueId val="{00000009-C858-424A-828F-9823F794EB1F}"/>
            </c:ext>
          </c:extLst>
        </c:ser>
        <c:ser>
          <c:idx val="10"/>
          <c:order val="10"/>
          <c:tx>
            <c:v>Series11</c:v>
          </c:tx>
          <c:spPr>
            <a:ln w="12700">
              <a:solidFill>
                <a:srgbClr val="000000"/>
              </a:solidFill>
              <a:prstDash val="solid"/>
            </a:ln>
          </c:spPr>
          <c:marker>
            <c:symbol val="square"/>
            <c:size val="5"/>
            <c:spPr>
              <a:solidFill>
                <a:srgbClr val="CCFFCC"/>
              </a:solidFill>
              <a:ln>
                <a:solidFill>
                  <a:srgbClr val="CCFFCC"/>
                </a:solidFill>
                <a:prstDash val="solid"/>
              </a:ln>
            </c:spPr>
          </c:marker>
          <c:xVal>
            <c:numRef>
              <c:f>Transform!$AP$12:$AP$22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Transform!$AQ$12:$AQ$22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0A-C858-424A-828F-9823F794EB1F}"/>
            </c:ext>
          </c:extLst>
        </c:ser>
        <c:dLbls>
          <c:showLegendKey val="0"/>
          <c:showVal val="0"/>
          <c:showCatName val="0"/>
          <c:showSerName val="0"/>
          <c:showPercent val="0"/>
          <c:showBubbleSize val="0"/>
        </c:dLbls>
        <c:axId val="1923485919"/>
        <c:axId val="1"/>
      </c:scatterChart>
      <c:valAx>
        <c:axId val="1923485919"/>
        <c:scaling>
          <c:orientation val="minMax"/>
        </c:scaling>
        <c:delete val="0"/>
        <c:axPos val="b"/>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
        <c:crosses val="autoZero"/>
        <c:crossBetween val="midCat"/>
        <c:majorUnit val="1"/>
      </c:valAx>
      <c:valAx>
        <c:axId val="1"/>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923485919"/>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GB"/>
              <a:t>TRANSFORMED HULL FOREBODY</a:t>
            </a:r>
          </a:p>
        </c:rich>
      </c:tx>
      <c:layout>
        <c:manualLayout>
          <c:xMode val="edge"/>
          <c:yMode val="edge"/>
          <c:x val="0.33495020258420616"/>
          <c:y val="2.8765720409194357E-2"/>
        </c:manualLayout>
      </c:layout>
      <c:overlay val="0"/>
      <c:spPr>
        <a:noFill/>
        <a:ln w="25400">
          <a:noFill/>
        </a:ln>
      </c:spPr>
    </c:title>
    <c:autoTitleDeleted val="0"/>
    <c:plotArea>
      <c:layout>
        <c:manualLayout>
          <c:layoutTarget val="inner"/>
          <c:xMode val="edge"/>
          <c:yMode val="edge"/>
          <c:x val="6.7471983254372453E-2"/>
          <c:y val="9.8141869631368978E-2"/>
          <c:w val="0.88436492336981043"/>
          <c:h val="0.81051647505906455"/>
        </c:manualLayout>
      </c:layout>
      <c:scatterChart>
        <c:scatterStyle val="lineMarker"/>
        <c:varyColors val="0"/>
        <c:ser>
          <c:idx val="0"/>
          <c:order val="0"/>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Transform!$M$116:$M$140</c:f>
              <c:numCache>
                <c:formatCode>0.000</c:formatCode>
                <c:ptCount val="25"/>
                <c:pt idx="0">
                  <c:v>6.0540540540540533E-2</c:v>
                </c:pt>
                <c:pt idx="1">
                  <c:v>6.8121904317421697E-2</c:v>
                </c:pt>
                <c:pt idx="2">
                  <c:v>0.12114502243749126</c:v>
                </c:pt>
                <c:pt idx="3">
                  <c:v>0.4510917941647451</c:v>
                </c:pt>
                <c:pt idx="4">
                  <c:v>0.8388137482582545</c:v>
                </c:pt>
                <c:pt idx="5">
                  <c:v>1.0371723138628222</c:v>
                </c:pt>
                <c:pt idx="6">
                  <c:v>1.1568901428698595</c:v>
                </c:pt>
                <c:pt idx="7">
                  <c:v>1.2599870577656005</c:v>
                </c:pt>
                <c:pt idx="8">
                  <c:v>1.3415185931317146</c:v>
                </c:pt>
                <c:pt idx="9">
                  <c:v>1.4052347776661305</c:v>
                </c:pt>
                <c:pt idx="10">
                  <c:v>1.4622722974392979</c:v>
                </c:pt>
                <c:pt idx="11">
                  <c:v>1.51603050527974</c:v>
                </c:pt>
                <c:pt idx="12">
                  <c:v>1.5633570817906712</c:v>
                </c:pt>
                <c:pt idx="13">
                  <c:v>1.6019182739164242</c:v>
                </c:pt>
                <c:pt idx="14">
                  <c:v>1.6302514995243331</c:v>
                </c:pt>
                <c:pt idx="15">
                  <c:v>1.6505755798027735</c:v>
                </c:pt>
                <c:pt idx="16">
                  <c:v>1.6672940472507658</c:v>
                </c:pt>
                <c:pt idx="17">
                  <c:v>1.6822388825717927</c:v>
                </c:pt>
                <c:pt idx="18">
                  <c:v>1.6936932095223654</c:v>
                </c:pt>
                <c:pt idx="19">
                  <c:v>1.700073555603876</c:v>
                </c:pt>
                <c:pt idx="20">
                  <c:v>1.7023873535528493</c:v>
                </c:pt>
                <c:pt idx="21">
                  <c:v>1.7027029154948938</c:v>
                </c:pt>
                <c:pt idx="22">
                  <c:v>1.7027059276846961</c:v>
                </c:pt>
                <c:pt idx="23">
                  <c:v>1.7027052401298592</c:v>
                </c:pt>
                <c:pt idx="24">
                  <c:v>1.7027027027027026</c:v>
                </c:pt>
              </c:numCache>
            </c:numRef>
          </c:yVal>
          <c:smooth val="0"/>
          <c:extLst>
            <c:ext xmlns:c16="http://schemas.microsoft.com/office/drawing/2014/chart" uri="{C3380CC4-5D6E-409C-BE32-E72D297353CC}">
              <c16:uniqueId val="{00000000-7DB5-4197-B4A2-A371EC56BC72}"/>
            </c:ext>
          </c:extLst>
        </c:ser>
        <c:ser>
          <c:idx val="1"/>
          <c:order val="1"/>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Transform!$N$116:$N$140</c:f>
              <c:numCache>
                <c:formatCode>0.000</c:formatCode>
                <c:ptCount val="25"/>
                <c:pt idx="0">
                  <c:v>6.0540540540540533E-2</c:v>
                </c:pt>
                <c:pt idx="1">
                  <c:v>6.8106169683771034E-2</c:v>
                </c:pt>
                <c:pt idx="2">
                  <c:v>0.11742672452863323</c:v>
                </c:pt>
                <c:pt idx="3">
                  <c:v>0.43862216627486883</c:v>
                </c:pt>
                <c:pt idx="4">
                  <c:v>0.82884899429855619</c:v>
                </c:pt>
                <c:pt idx="5">
                  <c:v>1.0318702834087272</c:v>
                </c:pt>
                <c:pt idx="6">
                  <c:v>1.1524260379820059</c:v>
                </c:pt>
                <c:pt idx="7">
                  <c:v>1.2560647473514739</c:v>
                </c:pt>
                <c:pt idx="8">
                  <c:v>1.338415990026961</c:v>
                </c:pt>
                <c:pt idx="9">
                  <c:v>1.4026427591084263</c:v>
                </c:pt>
                <c:pt idx="10">
                  <c:v>1.4598266500665724</c:v>
                </c:pt>
                <c:pt idx="11">
                  <c:v>1.5138270748391547</c:v>
                </c:pt>
                <c:pt idx="12">
                  <c:v>1.5615439799008672</c:v>
                </c:pt>
                <c:pt idx="13">
                  <c:v>1.600572222845021</c:v>
                </c:pt>
                <c:pt idx="14">
                  <c:v>1.6293592181150713</c:v>
                </c:pt>
                <c:pt idx="15">
                  <c:v>1.6499512847444531</c:v>
                </c:pt>
                <c:pt idx="16">
                  <c:v>1.6667827123476635</c:v>
                </c:pt>
                <c:pt idx="17">
                  <c:v>1.68185174538767</c:v>
                </c:pt>
                <c:pt idx="18">
                  <c:v>1.6934644741835476</c:v>
                </c:pt>
                <c:pt idx="19">
                  <c:v>1.6999857323992118</c:v>
                </c:pt>
                <c:pt idx="20">
                  <c:v>1.7023688599785687</c:v>
                </c:pt>
                <c:pt idx="21">
                  <c:v>1.702702872146721</c:v>
                </c:pt>
                <c:pt idx="22">
                  <c:v>1.7027066156045634</c:v>
                </c:pt>
                <c:pt idx="23">
                  <c:v>1.7027057991353876</c:v>
                </c:pt>
                <c:pt idx="24">
                  <c:v>1.7027027027027026</c:v>
                </c:pt>
              </c:numCache>
            </c:numRef>
          </c:yVal>
          <c:smooth val="0"/>
          <c:extLst>
            <c:ext xmlns:c16="http://schemas.microsoft.com/office/drawing/2014/chart" uri="{C3380CC4-5D6E-409C-BE32-E72D297353CC}">
              <c16:uniqueId val="{00000001-7DB5-4197-B4A2-A371EC56BC72}"/>
            </c:ext>
          </c:extLst>
        </c:ser>
        <c:ser>
          <c:idx val="2"/>
          <c:order val="2"/>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Transform!$O$116:$O$140</c:f>
              <c:numCache>
                <c:formatCode>0.000</c:formatCode>
                <c:ptCount val="25"/>
                <c:pt idx="0">
                  <c:v>6.0540540540540526E-2</c:v>
                </c:pt>
                <c:pt idx="1">
                  <c:v>6.8078261599640949E-2</c:v>
                </c:pt>
                <c:pt idx="2">
                  <c:v>0.10749448811764978</c:v>
                </c:pt>
                <c:pt idx="3">
                  <c:v>0.40244371973608345</c:v>
                </c:pt>
                <c:pt idx="4">
                  <c:v>0.7979944053947523</c:v>
                </c:pt>
                <c:pt idx="5">
                  <c:v>1.0153927604163704</c:v>
                </c:pt>
                <c:pt idx="6">
                  <c:v>1.1389858130574111</c:v>
                </c:pt>
                <c:pt idx="7">
                  <c:v>1.2441685838085337</c:v>
                </c:pt>
                <c:pt idx="8">
                  <c:v>1.3289427846064368</c:v>
                </c:pt>
                <c:pt idx="9">
                  <c:v>1.3947835246752427</c:v>
                </c:pt>
                <c:pt idx="10">
                  <c:v>1.4524423691242034</c:v>
                </c:pt>
                <c:pt idx="11">
                  <c:v>1.5071225454420083</c:v>
                </c:pt>
                <c:pt idx="12">
                  <c:v>1.5559786884783195</c:v>
                </c:pt>
                <c:pt idx="13">
                  <c:v>1.5963988739684425</c:v>
                </c:pt>
                <c:pt idx="14">
                  <c:v>1.6265848587658764</c:v>
                </c:pt>
                <c:pt idx="15">
                  <c:v>1.6480282618426265</c:v>
                </c:pt>
                <c:pt idx="16">
                  <c:v>1.6652198576111497</c:v>
                </c:pt>
                <c:pt idx="17">
                  <c:v>1.6806574682822875</c:v>
                </c:pt>
                <c:pt idx="18">
                  <c:v>1.6927479189293129</c:v>
                </c:pt>
                <c:pt idx="19">
                  <c:v>1.6997067683992533</c:v>
                </c:pt>
                <c:pt idx="20">
                  <c:v>1.7023084224415455</c:v>
                </c:pt>
                <c:pt idx="21">
                  <c:v>1.7027025304928958</c:v>
                </c:pt>
                <c:pt idx="22">
                  <c:v>1.7027086812607559</c:v>
                </c:pt>
                <c:pt idx="23">
                  <c:v>1.7027075197168657</c:v>
                </c:pt>
                <c:pt idx="24">
                  <c:v>1.7027027027027026</c:v>
                </c:pt>
              </c:numCache>
            </c:numRef>
          </c:yVal>
          <c:smooth val="0"/>
          <c:extLst>
            <c:ext xmlns:c16="http://schemas.microsoft.com/office/drawing/2014/chart" uri="{C3380CC4-5D6E-409C-BE32-E72D297353CC}">
              <c16:uniqueId val="{00000002-7DB5-4197-B4A2-A371EC56BC72}"/>
            </c:ext>
          </c:extLst>
        </c:ser>
        <c:ser>
          <c:idx val="3"/>
          <c:order val="3"/>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Transform!$P$116:$P$140</c:f>
              <c:numCache>
                <c:formatCode>0.000</c:formatCode>
                <c:ptCount val="25"/>
                <c:pt idx="0">
                  <c:v>6.0540540540540554E-2</c:v>
                </c:pt>
                <c:pt idx="1">
                  <c:v>6.8078919649115929E-2</c:v>
                </c:pt>
                <c:pt idx="2">
                  <c:v>9.4436556234972102E-2</c:v>
                </c:pt>
                <c:pt idx="3">
                  <c:v>0.34654473172219813</c:v>
                </c:pt>
                <c:pt idx="4">
                  <c:v>0.7435107006672651</c:v>
                </c:pt>
                <c:pt idx="5">
                  <c:v>0.98582148937437153</c:v>
                </c:pt>
                <c:pt idx="6">
                  <c:v>1.1164388120973252</c:v>
                </c:pt>
                <c:pt idx="7">
                  <c:v>1.2239600083745941</c:v>
                </c:pt>
                <c:pt idx="8">
                  <c:v>1.3125900187038488</c:v>
                </c:pt>
                <c:pt idx="9">
                  <c:v>1.3813726887437046</c:v>
                </c:pt>
                <c:pt idx="10">
                  <c:v>1.4399999375657619</c:v>
                </c:pt>
                <c:pt idx="11">
                  <c:v>1.4956558683427625</c:v>
                </c:pt>
                <c:pt idx="12">
                  <c:v>1.5462905645276526</c:v>
                </c:pt>
                <c:pt idx="13">
                  <c:v>1.5889894932120483</c:v>
                </c:pt>
                <c:pt idx="14">
                  <c:v>1.6216105830651537</c:v>
                </c:pt>
                <c:pt idx="15">
                  <c:v>1.6446390332703231</c:v>
                </c:pt>
                <c:pt idx="16">
                  <c:v>1.6625200408342344</c:v>
                </c:pt>
                <c:pt idx="17">
                  <c:v>1.6785554913148828</c:v>
                </c:pt>
                <c:pt idx="18">
                  <c:v>1.6914490867022658</c:v>
                </c:pt>
                <c:pt idx="19">
                  <c:v>1.6991858568680591</c:v>
                </c:pt>
                <c:pt idx="20">
                  <c:v>1.7021894091722023</c:v>
                </c:pt>
                <c:pt idx="21">
                  <c:v>1.70270095470424</c:v>
                </c:pt>
                <c:pt idx="22">
                  <c:v>1.7027121122151649</c:v>
                </c:pt>
                <c:pt idx="23">
                  <c:v>1.7027105368475504</c:v>
                </c:pt>
                <c:pt idx="24">
                  <c:v>1.7027027027027024</c:v>
                </c:pt>
              </c:numCache>
            </c:numRef>
          </c:yVal>
          <c:smooth val="0"/>
          <c:extLst>
            <c:ext xmlns:c16="http://schemas.microsoft.com/office/drawing/2014/chart" uri="{C3380CC4-5D6E-409C-BE32-E72D297353CC}">
              <c16:uniqueId val="{00000003-7DB5-4197-B4A2-A371EC56BC72}"/>
            </c:ext>
          </c:extLst>
        </c:ser>
        <c:ser>
          <c:idx val="4"/>
          <c:order val="4"/>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Transform!$Q$116:$Q$140</c:f>
              <c:numCache>
                <c:formatCode>0.000</c:formatCode>
                <c:ptCount val="25"/>
                <c:pt idx="0">
                  <c:v>6.0540540540540533E-2</c:v>
                </c:pt>
                <c:pt idx="1">
                  <c:v>6.7496534546662976E-2</c:v>
                </c:pt>
                <c:pt idx="2">
                  <c:v>8.550495552168047E-2</c:v>
                </c:pt>
                <c:pt idx="3">
                  <c:v>0.26963065755325905</c:v>
                </c:pt>
                <c:pt idx="4">
                  <c:v>0.62254942062763297</c:v>
                </c:pt>
                <c:pt idx="5">
                  <c:v>0.88456565466551218</c:v>
                </c:pt>
                <c:pt idx="6">
                  <c:v>1.0314147987778595</c:v>
                </c:pt>
                <c:pt idx="7">
                  <c:v>1.146440846738807</c:v>
                </c:pt>
                <c:pt idx="8">
                  <c:v>1.2429603101293127</c:v>
                </c:pt>
                <c:pt idx="9">
                  <c:v>1.3167922401073031</c:v>
                </c:pt>
                <c:pt idx="10">
                  <c:v>1.3769425571828127</c:v>
                </c:pt>
                <c:pt idx="11">
                  <c:v>1.4342626135356225</c:v>
                </c:pt>
                <c:pt idx="12">
                  <c:v>1.4863194710849614</c:v>
                </c:pt>
                <c:pt idx="13">
                  <c:v>1.5278633548225964</c:v>
                </c:pt>
                <c:pt idx="14">
                  <c:v>1.5607770213780046</c:v>
                </c:pt>
                <c:pt idx="15">
                  <c:v>1.5877428270793923</c:v>
                </c:pt>
                <c:pt idx="16">
                  <c:v>1.6092208371742851</c:v>
                </c:pt>
                <c:pt idx="17">
                  <c:v>1.6253423569478589</c:v>
                </c:pt>
                <c:pt idx="18">
                  <c:v>1.6370609317098936</c:v>
                </c:pt>
                <c:pt idx="19">
                  <c:v>1.6456349222062721</c:v>
                </c:pt>
                <c:pt idx="20">
                  <c:v>1.6519812339900342</c:v>
                </c:pt>
                <c:pt idx="21">
                  <c:v>1.6566180143437159</c:v>
                </c:pt>
                <c:pt idx="22">
                  <c:v>1.660031910617779</c:v>
                </c:pt>
                <c:pt idx="23">
                  <c:v>1.6626478537622422</c:v>
                </c:pt>
                <c:pt idx="24">
                  <c:v>1.6648648648648647</c:v>
                </c:pt>
              </c:numCache>
            </c:numRef>
          </c:yVal>
          <c:smooth val="0"/>
          <c:extLst>
            <c:ext xmlns:c16="http://schemas.microsoft.com/office/drawing/2014/chart" uri="{C3380CC4-5D6E-409C-BE32-E72D297353CC}">
              <c16:uniqueId val="{00000004-7DB5-4197-B4A2-A371EC56BC72}"/>
            </c:ext>
          </c:extLst>
        </c:ser>
        <c:ser>
          <c:idx val="5"/>
          <c:order val="5"/>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Transform!$R$116:$R$140</c:f>
              <c:numCache>
                <c:formatCode>0.000</c:formatCode>
                <c:ptCount val="25"/>
                <c:pt idx="0">
                  <c:v>0</c:v>
                </c:pt>
                <c:pt idx="1">
                  <c:v>3.7407966633995086E-2</c:v>
                </c:pt>
                <c:pt idx="2">
                  <c:v>5.9444886128064284E-2</c:v>
                </c:pt>
                <c:pt idx="3">
                  <c:v>0.15688569574851394</c:v>
                </c:pt>
                <c:pt idx="4">
                  <c:v>0.40181434545186706</c:v>
                </c:pt>
                <c:pt idx="5">
                  <c:v>0.66169243375527997</c:v>
                </c:pt>
                <c:pt idx="6">
                  <c:v>0.85575239242427181</c:v>
                </c:pt>
                <c:pt idx="7">
                  <c:v>0.99146727819274016</c:v>
                </c:pt>
                <c:pt idx="8">
                  <c:v>1.0855814054253865</c:v>
                </c:pt>
                <c:pt idx="9">
                  <c:v>1.1582937125225612</c:v>
                </c:pt>
                <c:pt idx="10">
                  <c:v>1.2227936426049435</c:v>
                </c:pt>
                <c:pt idx="11">
                  <c:v>1.285701609064744</c:v>
                </c:pt>
                <c:pt idx="12">
                  <c:v>1.3454135380488776</c:v>
                </c:pt>
                <c:pt idx="13">
                  <c:v>1.3925891985877425</c:v>
                </c:pt>
                <c:pt idx="14">
                  <c:v>1.4284358156329116</c:v>
                </c:pt>
                <c:pt idx="15">
                  <c:v>1.4602669863913738</c:v>
                </c:pt>
                <c:pt idx="16">
                  <c:v>1.4882547573796143</c:v>
                </c:pt>
                <c:pt idx="17">
                  <c:v>1.5086385307254906</c:v>
                </c:pt>
                <c:pt idx="18">
                  <c:v>1.5215411472777487</c:v>
                </c:pt>
                <c:pt idx="19">
                  <c:v>1.5304606909038723</c:v>
                </c:pt>
                <c:pt idx="20">
                  <c:v>1.5376962730818844</c:v>
                </c:pt>
                <c:pt idx="21">
                  <c:v>1.5427963090761905</c:v>
                </c:pt>
                <c:pt idx="22">
                  <c:v>1.5450759987926832</c:v>
                </c:pt>
                <c:pt idx="23">
                  <c:v>1.5450167846183485</c:v>
                </c:pt>
                <c:pt idx="24">
                  <c:v>1.5437837837837836</c:v>
                </c:pt>
              </c:numCache>
            </c:numRef>
          </c:yVal>
          <c:smooth val="0"/>
          <c:extLst>
            <c:ext xmlns:c16="http://schemas.microsoft.com/office/drawing/2014/chart" uri="{C3380CC4-5D6E-409C-BE32-E72D297353CC}">
              <c16:uniqueId val="{00000005-7DB5-4197-B4A2-A371EC56BC72}"/>
            </c:ext>
          </c:extLst>
        </c:ser>
        <c:ser>
          <c:idx val="6"/>
          <c:order val="6"/>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Transform!$S$116:$S$140</c:f>
              <c:numCache>
                <c:formatCode>0.000</c:formatCode>
                <c:ptCount val="25"/>
                <c:pt idx="0">
                  <c:v>0</c:v>
                </c:pt>
                <c:pt idx="1">
                  <c:v>-6.2632566089643122E-3</c:v>
                </c:pt>
                <c:pt idx="2">
                  <c:v>1.8818400496165788E-2</c:v>
                </c:pt>
                <c:pt idx="3">
                  <c:v>8.8969103013508008E-2</c:v>
                </c:pt>
                <c:pt idx="4">
                  <c:v>0.20239743887817427</c:v>
                </c:pt>
                <c:pt idx="5">
                  <c:v>0.3613220076300015</c:v>
                </c:pt>
                <c:pt idx="6">
                  <c:v>0.55344145064147243</c:v>
                </c:pt>
                <c:pt idx="7">
                  <c:v>0.72086428964892568</c:v>
                </c:pt>
                <c:pt idx="8">
                  <c:v>0.82586875965369322</c:v>
                </c:pt>
                <c:pt idx="9">
                  <c:v>0.89835245870470404</c:v>
                </c:pt>
                <c:pt idx="10">
                  <c:v>0.96846682196308465</c:v>
                </c:pt>
                <c:pt idx="11">
                  <c:v>1.0357097503674466</c:v>
                </c:pt>
                <c:pt idx="12">
                  <c:v>1.0947016104747096</c:v>
                </c:pt>
                <c:pt idx="13">
                  <c:v>1.1450473218091088</c:v>
                </c:pt>
                <c:pt idx="14">
                  <c:v>1.1868727375278496</c:v>
                </c:pt>
                <c:pt idx="15">
                  <c:v>1.2186210702116074</c:v>
                </c:pt>
                <c:pt idx="16">
                  <c:v>1.2411203188281075</c:v>
                </c:pt>
                <c:pt idx="17">
                  <c:v>1.2598449650667485</c:v>
                </c:pt>
                <c:pt idx="18">
                  <c:v>1.278143519731946</c:v>
                </c:pt>
                <c:pt idx="19">
                  <c:v>1.2934632234046057</c:v>
                </c:pt>
                <c:pt idx="20">
                  <c:v>1.3031809461506123</c:v>
                </c:pt>
                <c:pt idx="21">
                  <c:v>1.3080873666271446</c:v>
                </c:pt>
                <c:pt idx="22">
                  <c:v>1.3099302617422013</c:v>
                </c:pt>
                <c:pt idx="23">
                  <c:v>1.3099997814342215</c:v>
                </c:pt>
                <c:pt idx="24">
                  <c:v>1.3091891891891889</c:v>
                </c:pt>
              </c:numCache>
            </c:numRef>
          </c:yVal>
          <c:smooth val="0"/>
          <c:extLst>
            <c:ext xmlns:c16="http://schemas.microsoft.com/office/drawing/2014/chart" uri="{C3380CC4-5D6E-409C-BE32-E72D297353CC}">
              <c16:uniqueId val="{00000006-7DB5-4197-B4A2-A371EC56BC72}"/>
            </c:ext>
          </c:extLst>
        </c:ser>
        <c:ser>
          <c:idx val="7"/>
          <c:order val="7"/>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Transform!$T$116:$T$140</c:f>
              <c:numCache>
                <c:formatCode>0.000</c:formatCode>
                <c:ptCount val="25"/>
                <c:pt idx="0">
                  <c:v>0</c:v>
                </c:pt>
                <c:pt idx="1">
                  <c:v>1.5743618238699288E-4</c:v>
                </c:pt>
                <c:pt idx="2">
                  <c:v>-3.4250651196698553E-5</c:v>
                </c:pt>
                <c:pt idx="3">
                  <c:v>9.6569974918407769E-3</c:v>
                </c:pt>
                <c:pt idx="4">
                  <c:v>5.3846454700269955E-2</c:v>
                </c:pt>
                <c:pt idx="5">
                  <c:v>0.13977957330905683</c:v>
                </c:pt>
                <c:pt idx="6">
                  <c:v>0.25834313569862294</c:v>
                </c:pt>
                <c:pt idx="7">
                  <c:v>0.38532891132255276</c:v>
                </c:pt>
                <c:pt idx="8">
                  <c:v>0.4898251558308529</c:v>
                </c:pt>
                <c:pt idx="9">
                  <c:v>0.56704665416599842</c:v>
                </c:pt>
                <c:pt idx="10">
                  <c:v>0.62901401899140408</c:v>
                </c:pt>
                <c:pt idx="11">
                  <c:v>0.68542640711077496</c:v>
                </c:pt>
                <c:pt idx="12">
                  <c:v>0.74327317612250976</c:v>
                </c:pt>
                <c:pt idx="13">
                  <c:v>0.80028091007645796</c:v>
                </c:pt>
                <c:pt idx="14">
                  <c:v>0.84367827445672849</c:v>
                </c:pt>
                <c:pt idx="15">
                  <c:v>0.87254196991991706</c:v>
                </c:pt>
                <c:pt idx="16">
                  <c:v>0.893923668559513</c:v>
                </c:pt>
                <c:pt idx="17">
                  <c:v>0.91176508394080613</c:v>
                </c:pt>
                <c:pt idx="18">
                  <c:v>0.9280780199530384</c:v>
                </c:pt>
                <c:pt idx="19">
                  <c:v>0.94195321028032897</c:v>
                </c:pt>
                <c:pt idx="20">
                  <c:v>0.95122084673197027</c:v>
                </c:pt>
                <c:pt idx="21">
                  <c:v>0.95594125938347996</c:v>
                </c:pt>
                <c:pt idx="22">
                  <c:v>0.95773693268641735</c:v>
                </c:pt>
                <c:pt idx="23">
                  <c:v>0.95791329868891972</c:v>
                </c:pt>
                <c:pt idx="24">
                  <c:v>0.95729729729729707</c:v>
                </c:pt>
              </c:numCache>
            </c:numRef>
          </c:yVal>
          <c:smooth val="0"/>
          <c:extLst>
            <c:ext xmlns:c16="http://schemas.microsoft.com/office/drawing/2014/chart" uri="{C3380CC4-5D6E-409C-BE32-E72D297353CC}">
              <c16:uniqueId val="{00000007-7DB5-4197-B4A2-A371EC56BC72}"/>
            </c:ext>
          </c:extLst>
        </c:ser>
        <c:ser>
          <c:idx val="8"/>
          <c:order val="8"/>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Transform!$U$116:$U$140</c:f>
              <c:numCache>
                <c:formatCode>0.000</c:formatCode>
                <c:ptCount val="25"/>
                <c:pt idx="0">
                  <c:v>-1.4957604455816942E-18</c:v>
                </c:pt>
                <c:pt idx="1">
                  <c:v>8.4468162950232701E-4</c:v>
                </c:pt>
                <c:pt idx="2">
                  <c:v>-4.0232518494579542E-4</c:v>
                </c:pt>
                <c:pt idx="3">
                  <c:v>-2.8194887749709648E-3</c:v>
                </c:pt>
                <c:pt idx="4">
                  <c:v>2.2138808852601019E-3</c:v>
                </c:pt>
                <c:pt idx="5">
                  <c:v>2.4243016775146575E-2</c:v>
                </c:pt>
                <c:pt idx="6">
                  <c:v>7.2166917456874591E-2</c:v>
                </c:pt>
                <c:pt idx="7">
                  <c:v>0.14732858808380428</c:v>
                </c:pt>
                <c:pt idx="8">
                  <c:v>0.23403261041327852</c:v>
                </c:pt>
                <c:pt idx="9">
                  <c:v>0.31743494660748744</c:v>
                </c:pt>
                <c:pt idx="10">
                  <c:v>0.39279400321419516</c:v>
                </c:pt>
                <c:pt idx="11">
                  <c:v>0.45599489747118199</c:v>
                </c:pt>
                <c:pt idx="12">
                  <c:v>0.49516865912715263</c:v>
                </c:pt>
                <c:pt idx="13">
                  <c:v>0.49895429376194966</c:v>
                </c:pt>
                <c:pt idx="14">
                  <c:v>0.48413339964266766</c:v>
                </c:pt>
                <c:pt idx="15">
                  <c:v>0.47603316519732797</c:v>
                </c:pt>
                <c:pt idx="16">
                  <c:v>0.47770040522834956</c:v>
                </c:pt>
                <c:pt idx="17">
                  <c:v>0.48565286924828932</c:v>
                </c:pt>
                <c:pt idx="18">
                  <c:v>0.49375376719522152</c:v>
                </c:pt>
                <c:pt idx="19">
                  <c:v>0.4981210436337305</c:v>
                </c:pt>
                <c:pt idx="20">
                  <c:v>0.49968664764200643</c:v>
                </c:pt>
                <c:pt idx="21">
                  <c:v>0.49976213432055211</c:v>
                </c:pt>
                <c:pt idx="22">
                  <c:v>0.49941073732810126</c:v>
                </c:pt>
                <c:pt idx="23">
                  <c:v>0.49933715442486837</c:v>
                </c:pt>
                <c:pt idx="24">
                  <c:v>0.49945945945946041</c:v>
                </c:pt>
              </c:numCache>
            </c:numRef>
          </c:yVal>
          <c:smooth val="0"/>
          <c:extLst>
            <c:ext xmlns:c16="http://schemas.microsoft.com/office/drawing/2014/chart" uri="{C3380CC4-5D6E-409C-BE32-E72D297353CC}">
              <c16:uniqueId val="{00000008-7DB5-4197-B4A2-A371EC56BC72}"/>
            </c:ext>
          </c:extLst>
        </c:ser>
        <c:ser>
          <c:idx val="9"/>
          <c:order val="9"/>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Transform!$V$116:$V$140</c:f>
              <c:numCache>
                <c:formatCode>0.000</c:formatCode>
                <c:ptCount val="25"/>
                <c:pt idx="0">
                  <c:v>8.8092187296520665E-19</c:v>
                </c:pt>
                <c:pt idx="1">
                  <c:v>-3.6445738734696716E-4</c:v>
                </c:pt>
                <c:pt idx="2">
                  <c:v>-6.8433978721530131E-5</c:v>
                </c:pt>
                <c:pt idx="3">
                  <c:v>1.0411299177094659E-3</c:v>
                </c:pt>
                <c:pt idx="4">
                  <c:v>5.6392268275695884E-4</c:v>
                </c:pt>
                <c:pt idx="5">
                  <c:v>-3.4179844442138348E-3</c:v>
                </c:pt>
                <c:pt idx="6">
                  <c:v>-3.3682148803330348E-3</c:v>
                </c:pt>
                <c:pt idx="7">
                  <c:v>1.2116709005667638E-2</c:v>
                </c:pt>
                <c:pt idx="8">
                  <c:v>4.9734991751472474E-2</c:v>
                </c:pt>
                <c:pt idx="9">
                  <c:v>0.11234124389979845</c:v>
                </c:pt>
                <c:pt idx="10">
                  <c:v>0.18501458429826467</c:v>
                </c:pt>
                <c:pt idx="11">
                  <c:v>0.23086252549010502</c:v>
                </c:pt>
                <c:pt idx="12">
                  <c:v>0.23040398526475508</c:v>
                </c:pt>
                <c:pt idx="13">
                  <c:v>0.21180269589305531</c:v>
                </c:pt>
                <c:pt idx="14">
                  <c:v>0.20196297181093617</c:v>
                </c:pt>
                <c:pt idx="15">
                  <c:v>0.19367904989152193</c:v>
                </c:pt>
                <c:pt idx="16">
                  <c:v>0.18006828659851135</c:v>
                </c:pt>
                <c:pt idx="17">
                  <c:v>0.16913752326596512</c:v>
                </c:pt>
                <c:pt idx="18">
                  <c:v>0.16155904483670686</c:v>
                </c:pt>
                <c:pt idx="19">
                  <c:v>0.15052729304486437</c:v>
                </c:pt>
                <c:pt idx="20">
                  <c:v>0.13780531057318332</c:v>
                </c:pt>
                <c:pt idx="21">
                  <c:v>0.12894831813421109</c:v>
                </c:pt>
                <c:pt idx="22">
                  <c:v>0.12151263148851768</c:v>
                </c:pt>
                <c:pt idx="23">
                  <c:v>0.11107250828649746</c:v>
                </c:pt>
                <c:pt idx="24">
                  <c:v>9.8378378378379414E-2</c:v>
                </c:pt>
              </c:numCache>
            </c:numRef>
          </c:yVal>
          <c:smooth val="0"/>
          <c:extLst>
            <c:ext xmlns:c16="http://schemas.microsoft.com/office/drawing/2014/chart" uri="{C3380CC4-5D6E-409C-BE32-E72D297353CC}">
              <c16:uniqueId val="{00000009-7DB5-4197-B4A2-A371EC56BC72}"/>
            </c:ext>
          </c:extLst>
        </c:ser>
        <c:ser>
          <c:idx val="10"/>
          <c:order val="10"/>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Transform!$M$116:$M$140</c:f>
              <c:numCache>
                <c:formatCode>0.000</c:formatCode>
                <c:ptCount val="25"/>
                <c:pt idx="0">
                  <c:v>6.0540540540540533E-2</c:v>
                </c:pt>
                <c:pt idx="1">
                  <c:v>6.8121904317421697E-2</c:v>
                </c:pt>
                <c:pt idx="2">
                  <c:v>0.12114502243749126</c:v>
                </c:pt>
                <c:pt idx="3">
                  <c:v>0.4510917941647451</c:v>
                </c:pt>
                <c:pt idx="4">
                  <c:v>0.8388137482582545</c:v>
                </c:pt>
                <c:pt idx="5">
                  <c:v>1.0371723138628222</c:v>
                </c:pt>
                <c:pt idx="6">
                  <c:v>1.1568901428698595</c:v>
                </c:pt>
                <c:pt idx="7">
                  <c:v>1.2599870577656005</c:v>
                </c:pt>
                <c:pt idx="8">
                  <c:v>1.3415185931317146</c:v>
                </c:pt>
                <c:pt idx="9">
                  <c:v>1.4052347776661305</c:v>
                </c:pt>
                <c:pt idx="10">
                  <c:v>1.4622722974392979</c:v>
                </c:pt>
                <c:pt idx="11">
                  <c:v>1.51603050527974</c:v>
                </c:pt>
                <c:pt idx="12">
                  <c:v>1.5633570817906712</c:v>
                </c:pt>
                <c:pt idx="13">
                  <c:v>1.6019182739164242</c:v>
                </c:pt>
                <c:pt idx="14">
                  <c:v>1.6302514995243331</c:v>
                </c:pt>
                <c:pt idx="15">
                  <c:v>1.6505755798027735</c:v>
                </c:pt>
                <c:pt idx="16">
                  <c:v>1.6672940472507658</c:v>
                </c:pt>
                <c:pt idx="17">
                  <c:v>1.6822388825717927</c:v>
                </c:pt>
                <c:pt idx="18">
                  <c:v>1.6936932095223654</c:v>
                </c:pt>
                <c:pt idx="19">
                  <c:v>1.700073555603876</c:v>
                </c:pt>
                <c:pt idx="20">
                  <c:v>1.7023873535528493</c:v>
                </c:pt>
                <c:pt idx="21">
                  <c:v>1.7027029154948938</c:v>
                </c:pt>
                <c:pt idx="22">
                  <c:v>1.7027059276846961</c:v>
                </c:pt>
                <c:pt idx="23">
                  <c:v>1.7027052401298592</c:v>
                </c:pt>
                <c:pt idx="24">
                  <c:v>1.7027027027027026</c:v>
                </c:pt>
              </c:numCache>
            </c:numRef>
          </c:yVal>
          <c:smooth val="0"/>
          <c:extLst>
            <c:ext xmlns:c16="http://schemas.microsoft.com/office/drawing/2014/chart" uri="{C3380CC4-5D6E-409C-BE32-E72D297353CC}">
              <c16:uniqueId val="{0000000A-7DB5-4197-B4A2-A371EC56BC72}"/>
            </c:ext>
          </c:extLst>
        </c:ser>
        <c:ser>
          <c:idx val="11"/>
          <c:order val="11"/>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Transform!$W$116:$W$140</c:f>
              <c:numCache>
                <c:formatCode>0.000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extLst>
            <c:ext xmlns:c16="http://schemas.microsoft.com/office/drawing/2014/chart" uri="{C3380CC4-5D6E-409C-BE32-E72D297353CC}">
              <c16:uniqueId val="{0000000B-7DB5-4197-B4A2-A371EC56BC72}"/>
            </c:ext>
          </c:extLst>
        </c:ser>
        <c:dLbls>
          <c:showLegendKey val="0"/>
          <c:showVal val="0"/>
          <c:showCatName val="0"/>
          <c:showSerName val="0"/>
          <c:showPercent val="0"/>
          <c:showBubbleSize val="0"/>
        </c:dLbls>
        <c:axId val="1923491199"/>
        <c:axId val="1"/>
      </c:scatterChart>
      <c:valAx>
        <c:axId val="1923491199"/>
        <c:scaling>
          <c:orientation val="minMax"/>
          <c:min val="0"/>
        </c:scaling>
        <c:delete val="0"/>
        <c:axPos val="b"/>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majorUnit val="1"/>
        <c:minorUnit val="0.4"/>
      </c:valAx>
      <c:valAx>
        <c:axId val="1"/>
        <c:scaling>
          <c:orientation val="minMax"/>
          <c:min val="0"/>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23491199"/>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 b="1" i="0" u="none" strike="noStrike" baseline="0">
                <a:solidFill>
                  <a:srgbClr val="000000"/>
                </a:solidFill>
                <a:latin typeface="Arial"/>
                <a:ea typeface="Arial"/>
                <a:cs typeface="Arial"/>
              </a:defRPr>
            </a:pPr>
            <a:r>
              <a:rPr lang="en-GB"/>
              <a:t>TRANSFORMED WATERLINES </a:t>
            </a:r>
          </a:p>
        </c:rich>
      </c:tx>
      <c:layout>
        <c:manualLayout>
          <c:xMode val="edge"/>
          <c:yMode val="edge"/>
          <c:x val="0.49040256267838439"/>
          <c:y val="2.8572314023839401E-2"/>
        </c:manualLayout>
      </c:layout>
      <c:overlay val="0"/>
      <c:spPr>
        <a:noFill/>
        <a:ln w="25400">
          <a:noFill/>
        </a:ln>
      </c:spPr>
    </c:title>
    <c:autoTitleDeleted val="0"/>
    <c:plotArea>
      <c:layout>
        <c:manualLayout>
          <c:layoutTarget val="inner"/>
          <c:xMode val="edge"/>
          <c:yMode val="edge"/>
          <c:x val="2.6549485347242961E-2"/>
          <c:y val="8.9288481324498126E-2"/>
          <c:w val="0.95639180549723501"/>
          <c:h val="0.81252518005293295"/>
        </c:manualLayout>
      </c:layout>
      <c:scatterChart>
        <c:scatterStyle val="smoothMarker"/>
        <c:varyColors val="0"/>
        <c:ser>
          <c:idx val="2"/>
          <c:order val="0"/>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Transform!$C$116:$W$116</c:f>
              <c:numCache>
                <c:formatCode>0.000</c:formatCode>
                <c:ptCount val="21"/>
                <c:pt idx="0">
                  <c:v>0</c:v>
                </c:pt>
                <c:pt idx="1">
                  <c:v>-2.3293446324389832E-19</c:v>
                </c:pt>
                <c:pt idx="2">
                  <c:v>1.3077022497903044E-18</c:v>
                </c:pt>
                <c:pt idx="3">
                  <c:v>0</c:v>
                </c:pt>
                <c:pt idx="4">
                  <c:v>0</c:v>
                </c:pt>
                <c:pt idx="5">
                  <c:v>6.0540540540540533E-2</c:v>
                </c:pt>
                <c:pt idx="6">
                  <c:v>6.0540540540540526E-2</c:v>
                </c:pt>
                <c:pt idx="7">
                  <c:v>6.0540540540540533E-2</c:v>
                </c:pt>
                <c:pt idx="8">
                  <c:v>6.0540540540540533E-2</c:v>
                </c:pt>
                <c:pt idx="9">
                  <c:v>6.0540540540540533E-2</c:v>
                </c:pt>
                <c:pt idx="10">
                  <c:v>6.0540540540540533E-2</c:v>
                </c:pt>
                <c:pt idx="11">
                  <c:v>6.0540540540540533E-2</c:v>
                </c:pt>
                <c:pt idx="12">
                  <c:v>6.0540540540540526E-2</c:v>
                </c:pt>
                <c:pt idx="13">
                  <c:v>6.0540540540540554E-2</c:v>
                </c:pt>
                <c:pt idx="14">
                  <c:v>6.0540540540540533E-2</c:v>
                </c:pt>
                <c:pt idx="15">
                  <c:v>0</c:v>
                </c:pt>
                <c:pt idx="16">
                  <c:v>0</c:v>
                </c:pt>
                <c:pt idx="17">
                  <c:v>0</c:v>
                </c:pt>
                <c:pt idx="18">
                  <c:v>-1.4957604455816942E-18</c:v>
                </c:pt>
                <c:pt idx="19">
                  <c:v>8.8092187296520665E-19</c:v>
                </c:pt>
                <c:pt idx="20">
                  <c:v>0</c:v>
                </c:pt>
              </c:numCache>
            </c:numRef>
          </c:yVal>
          <c:smooth val="1"/>
          <c:extLst>
            <c:ext xmlns:c16="http://schemas.microsoft.com/office/drawing/2014/chart" uri="{C3380CC4-5D6E-409C-BE32-E72D297353CC}">
              <c16:uniqueId val="{00000000-AD96-493E-A40C-1C340B799E6B}"/>
            </c:ext>
          </c:extLst>
        </c:ser>
        <c:ser>
          <c:idx val="3"/>
          <c:order val="1"/>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Transform!$C$117:$W$117</c:f>
              <c:numCache>
                <c:formatCode>0.000</c:formatCode>
                <c:ptCount val="21"/>
                <c:pt idx="0">
                  <c:v>7.029973018428768E-5</c:v>
                </c:pt>
                <c:pt idx="1">
                  <c:v>3.1061674659347622E-4</c:v>
                </c:pt>
                <c:pt idx="2">
                  <c:v>3.9757065496441238E-4</c:v>
                </c:pt>
                <c:pt idx="3">
                  <c:v>-5.4460663919468424E-3</c:v>
                </c:pt>
                <c:pt idx="4">
                  <c:v>4.1675724515099224E-2</c:v>
                </c:pt>
                <c:pt idx="5">
                  <c:v>6.4790346219262746E-2</c:v>
                </c:pt>
                <c:pt idx="6">
                  <c:v>6.8138131398385843E-2</c:v>
                </c:pt>
                <c:pt idx="7">
                  <c:v>6.8078919649115929E-2</c:v>
                </c:pt>
                <c:pt idx="8">
                  <c:v>6.8078261599640949E-2</c:v>
                </c:pt>
                <c:pt idx="9">
                  <c:v>6.8106169683771034E-2</c:v>
                </c:pt>
                <c:pt idx="10">
                  <c:v>6.8121904317421697E-2</c:v>
                </c:pt>
                <c:pt idx="11">
                  <c:v>6.8106169683771034E-2</c:v>
                </c:pt>
                <c:pt idx="12">
                  <c:v>6.8078261599640949E-2</c:v>
                </c:pt>
                <c:pt idx="13">
                  <c:v>6.8078919649115929E-2</c:v>
                </c:pt>
                <c:pt idx="14">
                  <c:v>6.7496534546662976E-2</c:v>
                </c:pt>
                <c:pt idx="15">
                  <c:v>3.7407966633995086E-2</c:v>
                </c:pt>
                <c:pt idx="16">
                  <c:v>-6.2632566089643122E-3</c:v>
                </c:pt>
                <c:pt idx="17">
                  <c:v>1.5743618238699288E-4</c:v>
                </c:pt>
                <c:pt idx="18">
                  <c:v>8.4468162950232701E-4</c:v>
                </c:pt>
                <c:pt idx="19">
                  <c:v>-3.6445738734696716E-4</c:v>
                </c:pt>
                <c:pt idx="20">
                  <c:v>0</c:v>
                </c:pt>
              </c:numCache>
            </c:numRef>
          </c:yVal>
          <c:smooth val="1"/>
          <c:extLst>
            <c:ext xmlns:c16="http://schemas.microsoft.com/office/drawing/2014/chart" uri="{C3380CC4-5D6E-409C-BE32-E72D297353CC}">
              <c16:uniqueId val="{00000001-AD96-493E-A40C-1C340B799E6B}"/>
            </c:ext>
          </c:extLst>
        </c:ser>
        <c:ser>
          <c:idx val="4"/>
          <c:order val="2"/>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Transform!$C$118:$W$118</c:f>
              <c:numCache>
                <c:formatCode>0.000</c:formatCode>
                <c:ptCount val="21"/>
                <c:pt idx="0">
                  <c:v>4.5504712752921032E-5</c:v>
                </c:pt>
                <c:pt idx="1">
                  <c:v>5.8324348922286002E-5</c:v>
                </c:pt>
                <c:pt idx="2">
                  <c:v>-1.8936446786681414E-4</c:v>
                </c:pt>
                <c:pt idx="3">
                  <c:v>8.0324163214880902E-3</c:v>
                </c:pt>
                <c:pt idx="4">
                  <c:v>6.9998678635844927E-2</c:v>
                </c:pt>
                <c:pt idx="5">
                  <c:v>8.5690606001584665E-2</c:v>
                </c:pt>
                <c:pt idx="6">
                  <c:v>8.18322262182892E-2</c:v>
                </c:pt>
                <c:pt idx="7">
                  <c:v>9.4436556234972061E-2</c:v>
                </c:pt>
                <c:pt idx="8">
                  <c:v>0.10749448811764979</c:v>
                </c:pt>
                <c:pt idx="9">
                  <c:v>0.11742672452863331</c:v>
                </c:pt>
                <c:pt idx="10">
                  <c:v>0.12114502243749126</c:v>
                </c:pt>
                <c:pt idx="11">
                  <c:v>0.11742672452863323</c:v>
                </c:pt>
                <c:pt idx="12">
                  <c:v>0.10749448811764978</c:v>
                </c:pt>
                <c:pt idx="13">
                  <c:v>9.4436556234972102E-2</c:v>
                </c:pt>
                <c:pt idx="14">
                  <c:v>8.550495552168047E-2</c:v>
                </c:pt>
                <c:pt idx="15">
                  <c:v>5.9444886128064284E-2</c:v>
                </c:pt>
                <c:pt idx="16">
                  <c:v>1.8818400496165788E-2</c:v>
                </c:pt>
                <c:pt idx="17">
                  <c:v>-3.4250651196698553E-5</c:v>
                </c:pt>
                <c:pt idx="18">
                  <c:v>-4.0232518494579542E-4</c:v>
                </c:pt>
                <c:pt idx="19">
                  <c:v>-6.8433978721530131E-5</c:v>
                </c:pt>
                <c:pt idx="20">
                  <c:v>0</c:v>
                </c:pt>
              </c:numCache>
            </c:numRef>
          </c:yVal>
          <c:smooth val="1"/>
          <c:extLst>
            <c:ext xmlns:c16="http://schemas.microsoft.com/office/drawing/2014/chart" uri="{C3380CC4-5D6E-409C-BE32-E72D297353CC}">
              <c16:uniqueId val="{00000002-AD96-493E-A40C-1C340B799E6B}"/>
            </c:ext>
          </c:extLst>
        </c:ser>
        <c:ser>
          <c:idx val="5"/>
          <c:order val="3"/>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Transform!$C$119:$W$119</c:f>
              <c:numCache>
                <c:formatCode>0.000</c:formatCode>
                <c:ptCount val="21"/>
                <c:pt idx="0">
                  <c:v>-1.4106137723678369E-4</c:v>
                </c:pt>
                <c:pt idx="1">
                  <c:v>-8.873256491634127E-4</c:v>
                </c:pt>
                <c:pt idx="2">
                  <c:v>-1.3270633097472095E-3</c:v>
                </c:pt>
                <c:pt idx="3">
                  <c:v>5.0286595397915627E-2</c:v>
                </c:pt>
                <c:pt idx="4">
                  <c:v>0.12566762277574772</c:v>
                </c:pt>
                <c:pt idx="5">
                  <c:v>0.19573964371753436</c:v>
                </c:pt>
                <c:pt idx="6">
                  <c:v>0.27815775832931777</c:v>
                </c:pt>
                <c:pt idx="7">
                  <c:v>0.34654473172219846</c:v>
                </c:pt>
                <c:pt idx="8">
                  <c:v>0.40244371973608384</c:v>
                </c:pt>
                <c:pt idx="9">
                  <c:v>0.43862216627486889</c:v>
                </c:pt>
                <c:pt idx="10">
                  <c:v>0.4510917941647451</c:v>
                </c:pt>
                <c:pt idx="11">
                  <c:v>0.43862216627486883</c:v>
                </c:pt>
                <c:pt idx="12">
                  <c:v>0.40244371973608345</c:v>
                </c:pt>
                <c:pt idx="13">
                  <c:v>0.34654473172219813</c:v>
                </c:pt>
                <c:pt idx="14">
                  <c:v>0.26963065755325905</c:v>
                </c:pt>
                <c:pt idx="15">
                  <c:v>0.15688569574851394</c:v>
                </c:pt>
                <c:pt idx="16">
                  <c:v>8.8969103013508008E-2</c:v>
                </c:pt>
                <c:pt idx="17">
                  <c:v>9.6569974918407769E-3</c:v>
                </c:pt>
                <c:pt idx="18">
                  <c:v>-2.8194887749709648E-3</c:v>
                </c:pt>
                <c:pt idx="19">
                  <c:v>1.0411299177094659E-3</c:v>
                </c:pt>
                <c:pt idx="20">
                  <c:v>0</c:v>
                </c:pt>
              </c:numCache>
            </c:numRef>
          </c:yVal>
          <c:smooth val="1"/>
          <c:extLst>
            <c:ext xmlns:c16="http://schemas.microsoft.com/office/drawing/2014/chart" uri="{C3380CC4-5D6E-409C-BE32-E72D297353CC}">
              <c16:uniqueId val="{00000003-AD96-493E-A40C-1C340B799E6B}"/>
            </c:ext>
          </c:extLst>
        </c:ser>
        <c:ser>
          <c:idx val="6"/>
          <c:order val="4"/>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Transform!$C$120:$W$120</c:f>
              <c:numCache>
                <c:formatCode>0.000</c:formatCode>
                <c:ptCount val="21"/>
                <c:pt idx="0">
                  <c:v>-2.2798392806550562E-4</c:v>
                </c:pt>
                <c:pt idx="1">
                  <c:v>-4.8061538914967369E-4</c:v>
                </c:pt>
                <c:pt idx="2">
                  <c:v>1.0718668149196713E-3</c:v>
                </c:pt>
                <c:pt idx="3">
                  <c:v>0.11863826901878188</c:v>
                </c:pt>
                <c:pt idx="4">
                  <c:v>0.27944134556272426</c:v>
                </c:pt>
                <c:pt idx="5">
                  <c:v>0.44126856955001215</c:v>
                </c:pt>
                <c:pt idx="6">
                  <c:v>0.66224710264727127</c:v>
                </c:pt>
                <c:pt idx="7">
                  <c:v>0.74351070066726566</c:v>
                </c:pt>
                <c:pt idx="8">
                  <c:v>0.79799440539475264</c:v>
                </c:pt>
                <c:pt idx="9">
                  <c:v>0.8288489942985563</c:v>
                </c:pt>
                <c:pt idx="10">
                  <c:v>0.8388137482582545</c:v>
                </c:pt>
                <c:pt idx="11">
                  <c:v>0.82884899429855619</c:v>
                </c:pt>
                <c:pt idx="12">
                  <c:v>0.7979944053947523</c:v>
                </c:pt>
                <c:pt idx="13">
                  <c:v>0.7435107006672651</c:v>
                </c:pt>
                <c:pt idx="14">
                  <c:v>0.62254942062763297</c:v>
                </c:pt>
                <c:pt idx="15">
                  <c:v>0.40181434545186706</c:v>
                </c:pt>
                <c:pt idx="16">
                  <c:v>0.20239743887817427</c:v>
                </c:pt>
                <c:pt idx="17">
                  <c:v>5.3846454700269955E-2</c:v>
                </c:pt>
                <c:pt idx="18">
                  <c:v>2.2138808852601019E-3</c:v>
                </c:pt>
                <c:pt idx="19">
                  <c:v>5.6392268275695884E-4</c:v>
                </c:pt>
                <c:pt idx="20">
                  <c:v>0</c:v>
                </c:pt>
              </c:numCache>
            </c:numRef>
          </c:yVal>
          <c:smooth val="1"/>
          <c:extLst>
            <c:ext xmlns:c16="http://schemas.microsoft.com/office/drawing/2014/chart" uri="{C3380CC4-5D6E-409C-BE32-E72D297353CC}">
              <c16:uniqueId val="{00000004-AD96-493E-A40C-1C340B799E6B}"/>
            </c:ext>
          </c:extLst>
        </c:ser>
        <c:ser>
          <c:idx val="7"/>
          <c:order val="5"/>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Transform!$C$121:$W$121</c:f>
              <c:numCache>
                <c:formatCode>0.000</c:formatCode>
                <c:ptCount val="21"/>
                <c:pt idx="0">
                  <c:v>2.4217213094836044E-4</c:v>
                </c:pt>
                <c:pt idx="1">
                  <c:v>2.9130516895191352E-3</c:v>
                </c:pt>
                <c:pt idx="2">
                  <c:v>1.6723413614413898E-2</c:v>
                </c:pt>
                <c:pt idx="3">
                  <c:v>0.22216267313616767</c:v>
                </c:pt>
                <c:pt idx="4">
                  <c:v>0.49487877889576848</c:v>
                </c:pt>
                <c:pt idx="5">
                  <c:v>0.72107362584788315</c:v>
                </c:pt>
                <c:pt idx="6">
                  <c:v>0.93954429548007412</c:v>
                </c:pt>
                <c:pt idx="7">
                  <c:v>0.98582148937437197</c:v>
                </c:pt>
                <c:pt idx="8">
                  <c:v>1.0153927604163706</c:v>
                </c:pt>
                <c:pt idx="9">
                  <c:v>1.0318702834087272</c:v>
                </c:pt>
                <c:pt idx="10">
                  <c:v>1.0371723138628222</c:v>
                </c:pt>
                <c:pt idx="11">
                  <c:v>1.0318702834087272</c:v>
                </c:pt>
                <c:pt idx="12">
                  <c:v>1.0153927604163704</c:v>
                </c:pt>
                <c:pt idx="13">
                  <c:v>0.98582148937437153</c:v>
                </c:pt>
                <c:pt idx="14">
                  <c:v>0.88456565466551218</c:v>
                </c:pt>
                <c:pt idx="15">
                  <c:v>0.66169243375527997</c:v>
                </c:pt>
                <c:pt idx="16">
                  <c:v>0.3613220076300015</c:v>
                </c:pt>
                <c:pt idx="17">
                  <c:v>0.13977957330905683</c:v>
                </c:pt>
                <c:pt idx="18">
                  <c:v>2.4243016775146575E-2</c:v>
                </c:pt>
                <c:pt idx="19">
                  <c:v>-3.4179844442138348E-3</c:v>
                </c:pt>
                <c:pt idx="20">
                  <c:v>0</c:v>
                </c:pt>
              </c:numCache>
            </c:numRef>
          </c:yVal>
          <c:smooth val="1"/>
          <c:extLst>
            <c:ext xmlns:c16="http://schemas.microsoft.com/office/drawing/2014/chart" uri="{C3380CC4-5D6E-409C-BE32-E72D297353CC}">
              <c16:uniqueId val="{00000005-AD96-493E-A40C-1C340B799E6B}"/>
            </c:ext>
          </c:extLst>
        </c:ser>
        <c:ser>
          <c:idx val="8"/>
          <c:order val="6"/>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Transform!$C$122:$W$122</c:f>
              <c:numCache>
                <c:formatCode>0.000</c:formatCode>
                <c:ptCount val="21"/>
                <c:pt idx="0">
                  <c:v>8.7922103124886799E-4</c:v>
                </c:pt>
                <c:pt idx="1">
                  <c:v>2.8706344946735829E-3</c:v>
                </c:pt>
                <c:pt idx="2">
                  <c:v>6.6092374718647331E-2</c:v>
                </c:pt>
                <c:pt idx="3">
                  <c:v>0.37704805461013574</c:v>
                </c:pt>
                <c:pt idx="4">
                  <c:v>0.71088163073820609</c:v>
                </c:pt>
                <c:pt idx="5">
                  <c:v>0.95593256943324056</c:v>
                </c:pt>
                <c:pt idx="6">
                  <c:v>1.0846019126938546</c:v>
                </c:pt>
                <c:pt idx="7">
                  <c:v>1.1164388120973254</c:v>
                </c:pt>
                <c:pt idx="8">
                  <c:v>1.1389858130574113</c:v>
                </c:pt>
                <c:pt idx="9">
                  <c:v>1.1524260379820059</c:v>
                </c:pt>
                <c:pt idx="10">
                  <c:v>1.1568901428698595</c:v>
                </c:pt>
                <c:pt idx="11">
                  <c:v>1.1524260379820059</c:v>
                </c:pt>
                <c:pt idx="12">
                  <c:v>1.1389858130574111</c:v>
                </c:pt>
                <c:pt idx="13">
                  <c:v>1.1164388120973252</c:v>
                </c:pt>
                <c:pt idx="14">
                  <c:v>1.0314147987778595</c:v>
                </c:pt>
                <c:pt idx="15">
                  <c:v>0.85575239242427181</c:v>
                </c:pt>
                <c:pt idx="16">
                  <c:v>0.55344145064147243</c:v>
                </c:pt>
                <c:pt idx="17">
                  <c:v>0.25834313569862294</c:v>
                </c:pt>
                <c:pt idx="18">
                  <c:v>7.2166917456874591E-2</c:v>
                </c:pt>
                <c:pt idx="19">
                  <c:v>-3.3682148803330348E-3</c:v>
                </c:pt>
                <c:pt idx="20">
                  <c:v>0</c:v>
                </c:pt>
              </c:numCache>
            </c:numRef>
          </c:yVal>
          <c:smooth val="1"/>
          <c:extLst>
            <c:ext xmlns:c16="http://schemas.microsoft.com/office/drawing/2014/chart" uri="{C3380CC4-5D6E-409C-BE32-E72D297353CC}">
              <c16:uniqueId val="{00000006-AD96-493E-A40C-1C340B799E6B}"/>
            </c:ext>
          </c:extLst>
        </c:ser>
        <c:ser>
          <c:idx val="9"/>
          <c:order val="7"/>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Transform!$C$123:$W$123</c:f>
              <c:numCache>
                <c:formatCode>0.000</c:formatCode>
                <c:ptCount val="21"/>
                <c:pt idx="0">
                  <c:v>-1.2853343955949198E-5</c:v>
                </c:pt>
                <c:pt idx="1">
                  <c:v>-8.6793371289104783E-3</c:v>
                </c:pt>
                <c:pt idx="2">
                  <c:v>0.16252514340687821</c:v>
                </c:pt>
                <c:pt idx="3">
                  <c:v>0.56497843559443728</c:v>
                </c:pt>
                <c:pt idx="4">
                  <c:v>0.90064350640877089</c:v>
                </c:pt>
                <c:pt idx="5">
                  <c:v>1.1162830497202489</c:v>
                </c:pt>
                <c:pt idx="6">
                  <c:v>1.195006169876879</c:v>
                </c:pt>
                <c:pt idx="7">
                  <c:v>1.2239600083745943</c:v>
                </c:pt>
                <c:pt idx="8">
                  <c:v>1.2441685838085339</c:v>
                </c:pt>
                <c:pt idx="9">
                  <c:v>1.2560647473514741</c:v>
                </c:pt>
                <c:pt idx="10">
                  <c:v>1.2599870577656005</c:v>
                </c:pt>
                <c:pt idx="11">
                  <c:v>1.2560647473514739</c:v>
                </c:pt>
                <c:pt idx="12">
                  <c:v>1.2441685838085337</c:v>
                </c:pt>
                <c:pt idx="13">
                  <c:v>1.2239600083745941</c:v>
                </c:pt>
                <c:pt idx="14">
                  <c:v>1.146440846738807</c:v>
                </c:pt>
                <c:pt idx="15">
                  <c:v>0.99146727819274016</c:v>
                </c:pt>
                <c:pt idx="16">
                  <c:v>0.72086428964892568</c:v>
                </c:pt>
                <c:pt idx="17">
                  <c:v>0.38532891132255276</c:v>
                </c:pt>
                <c:pt idx="18">
                  <c:v>0.14732858808380428</c:v>
                </c:pt>
                <c:pt idx="19">
                  <c:v>1.2116709005667638E-2</c:v>
                </c:pt>
                <c:pt idx="20">
                  <c:v>0</c:v>
                </c:pt>
              </c:numCache>
            </c:numRef>
          </c:yVal>
          <c:smooth val="1"/>
          <c:extLst>
            <c:ext xmlns:c16="http://schemas.microsoft.com/office/drawing/2014/chart" uri="{C3380CC4-5D6E-409C-BE32-E72D297353CC}">
              <c16:uniqueId val="{00000007-AD96-493E-A40C-1C340B799E6B}"/>
            </c:ext>
          </c:extLst>
        </c:ser>
        <c:ser>
          <c:idx val="10"/>
          <c:order val="8"/>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Transform!$C$124:$W$124</c:f>
              <c:numCache>
                <c:formatCode>0.000</c:formatCode>
                <c:ptCount val="21"/>
                <c:pt idx="0">
                  <c:v>-2.7898378512786147E-3</c:v>
                </c:pt>
                <c:pt idx="1">
                  <c:v>-1.402516710642302E-2</c:v>
                </c:pt>
                <c:pt idx="2">
                  <c:v>0.29998870387939591</c:v>
                </c:pt>
                <c:pt idx="3">
                  <c:v>0.74812870495929495</c:v>
                </c:pt>
                <c:pt idx="4">
                  <c:v>1.0507934052760441</c:v>
                </c:pt>
                <c:pt idx="5">
                  <c:v>1.213948364925759</c:v>
                </c:pt>
                <c:pt idx="6">
                  <c:v>1.288476222454751</c:v>
                </c:pt>
                <c:pt idx="7">
                  <c:v>1.3125900187038488</c:v>
                </c:pt>
                <c:pt idx="8">
                  <c:v>1.328942784606437</c:v>
                </c:pt>
                <c:pt idx="9">
                  <c:v>1.3384159900269608</c:v>
                </c:pt>
                <c:pt idx="10">
                  <c:v>1.3415185931317146</c:v>
                </c:pt>
                <c:pt idx="11">
                  <c:v>1.338415990026961</c:v>
                </c:pt>
                <c:pt idx="12">
                  <c:v>1.3289427846064368</c:v>
                </c:pt>
                <c:pt idx="13">
                  <c:v>1.3125900187038488</c:v>
                </c:pt>
                <c:pt idx="14">
                  <c:v>1.2429603101293127</c:v>
                </c:pt>
                <c:pt idx="15">
                  <c:v>1.0855814054253865</c:v>
                </c:pt>
                <c:pt idx="16">
                  <c:v>0.82586875965369322</c:v>
                </c:pt>
                <c:pt idx="17">
                  <c:v>0.4898251558308529</c:v>
                </c:pt>
                <c:pt idx="18">
                  <c:v>0.23403261041327852</c:v>
                </c:pt>
                <c:pt idx="19">
                  <c:v>4.9734991751472474E-2</c:v>
                </c:pt>
                <c:pt idx="20">
                  <c:v>0</c:v>
                </c:pt>
              </c:numCache>
            </c:numRef>
          </c:yVal>
          <c:smooth val="1"/>
          <c:extLst>
            <c:ext xmlns:c16="http://schemas.microsoft.com/office/drawing/2014/chart" uri="{C3380CC4-5D6E-409C-BE32-E72D297353CC}">
              <c16:uniqueId val="{00000008-AD96-493E-A40C-1C340B799E6B}"/>
            </c:ext>
          </c:extLst>
        </c:ser>
        <c:ser>
          <c:idx val="11"/>
          <c:order val="9"/>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Transform!$C$125:$W$125</c:f>
              <c:numCache>
                <c:formatCode>0.000</c:formatCode>
                <c:ptCount val="21"/>
                <c:pt idx="0">
                  <c:v>-2.1021131540446339E-3</c:v>
                </c:pt>
                <c:pt idx="1">
                  <c:v>2.2190685555769828E-2</c:v>
                </c:pt>
                <c:pt idx="2">
                  <c:v>0.46723838657510897</c:v>
                </c:pt>
                <c:pt idx="3">
                  <c:v>0.90876399517449113</c:v>
                </c:pt>
                <c:pt idx="4">
                  <c:v>1.1656610923784725</c:v>
                </c:pt>
                <c:pt idx="5">
                  <c:v>1.2893532949748689</c:v>
                </c:pt>
                <c:pt idx="6">
                  <c:v>1.3618386883276088</c:v>
                </c:pt>
                <c:pt idx="7">
                  <c:v>1.3813726887437048</c:v>
                </c:pt>
                <c:pt idx="8">
                  <c:v>1.3947835246752427</c:v>
                </c:pt>
                <c:pt idx="9">
                  <c:v>1.4026427591084263</c:v>
                </c:pt>
                <c:pt idx="10">
                  <c:v>1.4052347776661305</c:v>
                </c:pt>
                <c:pt idx="11">
                  <c:v>1.4026427591084263</c:v>
                </c:pt>
                <c:pt idx="12">
                  <c:v>1.3947835246752427</c:v>
                </c:pt>
                <c:pt idx="13">
                  <c:v>1.3813726887437046</c:v>
                </c:pt>
                <c:pt idx="14">
                  <c:v>1.3167922401073031</c:v>
                </c:pt>
                <c:pt idx="15">
                  <c:v>1.1582937125225612</c:v>
                </c:pt>
                <c:pt idx="16">
                  <c:v>0.89835245870470404</c:v>
                </c:pt>
                <c:pt idx="17">
                  <c:v>0.56704665416599842</c:v>
                </c:pt>
                <c:pt idx="18">
                  <c:v>0.31743494660748744</c:v>
                </c:pt>
                <c:pt idx="19">
                  <c:v>0.11234124389979845</c:v>
                </c:pt>
                <c:pt idx="20">
                  <c:v>0</c:v>
                </c:pt>
              </c:numCache>
            </c:numRef>
          </c:yVal>
          <c:smooth val="1"/>
          <c:extLst>
            <c:ext xmlns:c16="http://schemas.microsoft.com/office/drawing/2014/chart" uri="{C3380CC4-5D6E-409C-BE32-E72D297353CC}">
              <c16:uniqueId val="{00000009-AD96-493E-A40C-1C340B799E6B}"/>
            </c:ext>
          </c:extLst>
        </c:ser>
        <c:ser>
          <c:idx val="12"/>
          <c:order val="10"/>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A-AD96-493E-A40C-1C340B799E6B}"/>
            </c:ext>
          </c:extLst>
        </c:ser>
        <c:ser>
          <c:idx val="13"/>
          <c:order val="11"/>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B-AD96-493E-A40C-1C340B799E6B}"/>
            </c:ext>
          </c:extLst>
        </c:ser>
        <c:ser>
          <c:idx val="14"/>
          <c:order val="12"/>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C-AD96-493E-A40C-1C340B799E6B}"/>
            </c:ext>
          </c:extLst>
        </c:ser>
        <c:ser>
          <c:idx val="15"/>
          <c:order val="13"/>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D-AD96-493E-A40C-1C340B799E6B}"/>
            </c:ext>
          </c:extLst>
        </c:ser>
        <c:ser>
          <c:idx val="16"/>
          <c:order val="14"/>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E-AD96-493E-A40C-1C340B799E6B}"/>
            </c:ext>
          </c:extLst>
        </c:ser>
        <c:ser>
          <c:idx val="17"/>
          <c:order val="15"/>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0F-AD96-493E-A40C-1C340B799E6B}"/>
            </c:ext>
          </c:extLst>
        </c:ser>
        <c:ser>
          <c:idx val="18"/>
          <c:order val="16"/>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10-AD96-493E-A40C-1C340B799E6B}"/>
            </c:ext>
          </c:extLst>
        </c:ser>
        <c:ser>
          <c:idx val="19"/>
          <c:order val="17"/>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11-AD96-493E-A40C-1C340B799E6B}"/>
            </c:ext>
          </c:extLst>
        </c:ser>
        <c:ser>
          <c:idx val="20"/>
          <c:order val="18"/>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12-AD96-493E-A40C-1C340B799E6B}"/>
            </c:ext>
          </c:extLst>
        </c:ser>
        <c:ser>
          <c:idx val="21"/>
          <c:order val="19"/>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13-AD96-493E-A40C-1C340B799E6B}"/>
            </c:ext>
          </c:extLst>
        </c:ser>
        <c:ser>
          <c:idx val="22"/>
          <c:order val="20"/>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Transform!#REF!</c:f>
              <c:numCache>
                <c:formatCode>General</c:formatCode>
                <c:ptCount val="1"/>
                <c:pt idx="0">
                  <c:v>1</c:v>
                </c:pt>
              </c:numCache>
            </c:numRef>
          </c:yVal>
          <c:smooth val="1"/>
          <c:extLst>
            <c:ext xmlns:c16="http://schemas.microsoft.com/office/drawing/2014/chart" uri="{C3380CC4-5D6E-409C-BE32-E72D297353CC}">
              <c16:uniqueId val="{00000014-AD96-493E-A40C-1C340B799E6B}"/>
            </c:ext>
          </c:extLst>
        </c:ser>
        <c:ser>
          <c:idx val="23"/>
          <c:order val="21"/>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Transform!$C$126:$W$126</c:f>
              <c:numCache>
                <c:formatCode>0.000</c:formatCode>
                <c:ptCount val="21"/>
                <c:pt idx="0">
                  <c:v>7.1694604561595718E-3</c:v>
                </c:pt>
                <c:pt idx="1">
                  <c:v>0.11437295508818891</c:v>
                </c:pt>
                <c:pt idx="2">
                  <c:v>0.64508977701800796</c:v>
                </c:pt>
                <c:pt idx="3">
                  <c:v>1.0426482490282609</c:v>
                </c:pt>
                <c:pt idx="4">
                  <c:v>1.2540384688125663</c:v>
                </c:pt>
                <c:pt idx="5">
                  <c:v>1.3620909921736852</c:v>
                </c:pt>
                <c:pt idx="6">
                  <c:v>1.4223715973842723</c:v>
                </c:pt>
                <c:pt idx="7">
                  <c:v>1.4399999375657624</c:v>
                </c:pt>
                <c:pt idx="8">
                  <c:v>1.4524423691242039</c:v>
                </c:pt>
                <c:pt idx="9">
                  <c:v>1.4598266500665724</c:v>
                </c:pt>
                <c:pt idx="10">
                  <c:v>1.4622722974392979</c:v>
                </c:pt>
                <c:pt idx="11">
                  <c:v>1.4598266500665724</c:v>
                </c:pt>
                <c:pt idx="12">
                  <c:v>1.4524423691242034</c:v>
                </c:pt>
                <c:pt idx="13">
                  <c:v>1.4399999375657619</c:v>
                </c:pt>
                <c:pt idx="14">
                  <c:v>1.3769425571828127</c:v>
                </c:pt>
                <c:pt idx="15">
                  <c:v>1.2227936426049435</c:v>
                </c:pt>
                <c:pt idx="16">
                  <c:v>0.96846682196308465</c:v>
                </c:pt>
                <c:pt idx="17">
                  <c:v>0.62901401899140408</c:v>
                </c:pt>
                <c:pt idx="18">
                  <c:v>0.39279400321419516</c:v>
                </c:pt>
                <c:pt idx="19">
                  <c:v>0.18501458429826467</c:v>
                </c:pt>
                <c:pt idx="20">
                  <c:v>0</c:v>
                </c:pt>
              </c:numCache>
            </c:numRef>
          </c:yVal>
          <c:smooth val="1"/>
          <c:extLst>
            <c:ext xmlns:c16="http://schemas.microsoft.com/office/drawing/2014/chart" uri="{C3380CC4-5D6E-409C-BE32-E72D297353CC}">
              <c16:uniqueId val="{00000015-AD96-493E-A40C-1C340B799E6B}"/>
            </c:ext>
          </c:extLst>
        </c:ser>
        <c:ser>
          <c:idx val="24"/>
          <c:order val="22"/>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Transform!$C$127:$W$127</c:f>
              <c:numCache>
                <c:formatCode>0.000</c:formatCode>
                <c:ptCount val="21"/>
                <c:pt idx="0">
                  <c:v>1.1680515670158336E-2</c:v>
                </c:pt>
                <c:pt idx="1">
                  <c:v>0.25039409936511581</c:v>
                </c:pt>
                <c:pt idx="2">
                  <c:v>0.81440742044805114</c:v>
                </c:pt>
                <c:pt idx="3">
                  <c:v>1.1529625243774431</c:v>
                </c:pt>
                <c:pt idx="4">
                  <c:v>1.3306388926610788</c:v>
                </c:pt>
                <c:pt idx="5">
                  <c:v>1.4325478607304249</c:v>
                </c:pt>
                <c:pt idx="6">
                  <c:v>1.4790653358321899</c:v>
                </c:pt>
                <c:pt idx="7">
                  <c:v>1.4956558683427628</c:v>
                </c:pt>
                <c:pt idx="8">
                  <c:v>1.5071225454420085</c:v>
                </c:pt>
                <c:pt idx="9">
                  <c:v>1.5138270748391547</c:v>
                </c:pt>
                <c:pt idx="10">
                  <c:v>1.51603050527974</c:v>
                </c:pt>
                <c:pt idx="11">
                  <c:v>1.5138270748391547</c:v>
                </c:pt>
                <c:pt idx="12">
                  <c:v>1.5071225454420083</c:v>
                </c:pt>
                <c:pt idx="13">
                  <c:v>1.4956558683427625</c:v>
                </c:pt>
                <c:pt idx="14">
                  <c:v>1.4342626135356225</c:v>
                </c:pt>
                <c:pt idx="15">
                  <c:v>1.285701609064744</c:v>
                </c:pt>
                <c:pt idx="16">
                  <c:v>1.0357097503674466</c:v>
                </c:pt>
                <c:pt idx="17">
                  <c:v>0.68542640711077496</c:v>
                </c:pt>
                <c:pt idx="18">
                  <c:v>0.45599489747118199</c:v>
                </c:pt>
                <c:pt idx="19">
                  <c:v>0.23086252549010502</c:v>
                </c:pt>
                <c:pt idx="20">
                  <c:v>0</c:v>
                </c:pt>
              </c:numCache>
            </c:numRef>
          </c:yVal>
          <c:smooth val="1"/>
          <c:extLst>
            <c:ext xmlns:c16="http://schemas.microsoft.com/office/drawing/2014/chart" uri="{C3380CC4-5D6E-409C-BE32-E72D297353CC}">
              <c16:uniqueId val="{00000016-AD96-493E-A40C-1C340B799E6B}"/>
            </c:ext>
          </c:extLst>
        </c:ser>
        <c:ser>
          <c:idx val="25"/>
          <c:order val="23"/>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Transform!$C$128:$W$128</c:f>
              <c:numCache>
                <c:formatCode>0.000</c:formatCode>
                <c:ptCount val="21"/>
                <c:pt idx="0">
                  <c:v>-1.2630328656244501E-2</c:v>
                </c:pt>
                <c:pt idx="1">
                  <c:v>0.41764632232671378</c:v>
                </c:pt>
                <c:pt idx="2">
                  <c:v>0.96525222983194181</c:v>
                </c:pt>
                <c:pt idx="3">
                  <c:v>1.249497836949631</c:v>
                </c:pt>
                <c:pt idx="4">
                  <c:v>1.4065893888808565</c:v>
                </c:pt>
                <c:pt idx="5">
                  <c:v>1.496138741707306</c:v>
                </c:pt>
                <c:pt idx="6">
                  <c:v>1.5318957455821061</c:v>
                </c:pt>
                <c:pt idx="7">
                  <c:v>1.5462905645276528</c:v>
                </c:pt>
                <c:pt idx="8">
                  <c:v>1.5559786884783198</c:v>
                </c:pt>
                <c:pt idx="9">
                  <c:v>1.5615439799008672</c:v>
                </c:pt>
                <c:pt idx="10">
                  <c:v>1.5633570817906712</c:v>
                </c:pt>
                <c:pt idx="11">
                  <c:v>1.5615439799008672</c:v>
                </c:pt>
                <c:pt idx="12">
                  <c:v>1.5559786884783195</c:v>
                </c:pt>
                <c:pt idx="13">
                  <c:v>1.5462905645276526</c:v>
                </c:pt>
                <c:pt idx="14">
                  <c:v>1.4863194710849614</c:v>
                </c:pt>
                <c:pt idx="15">
                  <c:v>1.3454135380488776</c:v>
                </c:pt>
                <c:pt idx="16">
                  <c:v>1.0947016104747096</c:v>
                </c:pt>
                <c:pt idx="17">
                  <c:v>0.74327317612250976</c:v>
                </c:pt>
                <c:pt idx="18">
                  <c:v>0.49516865912715263</c:v>
                </c:pt>
                <c:pt idx="19">
                  <c:v>0.23040398526475508</c:v>
                </c:pt>
                <c:pt idx="20">
                  <c:v>0</c:v>
                </c:pt>
              </c:numCache>
            </c:numRef>
          </c:yVal>
          <c:smooth val="1"/>
          <c:extLst>
            <c:ext xmlns:c16="http://schemas.microsoft.com/office/drawing/2014/chart" uri="{C3380CC4-5D6E-409C-BE32-E72D297353CC}">
              <c16:uniqueId val="{00000017-AD96-493E-A40C-1C340B799E6B}"/>
            </c:ext>
          </c:extLst>
        </c:ser>
        <c:ser>
          <c:idx val="26"/>
          <c:order val="24"/>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Transform!$C$129:$W$129</c:f>
              <c:numCache>
                <c:formatCode>0.000</c:formatCode>
                <c:ptCount val="21"/>
                <c:pt idx="0">
                  <c:v>-3.6465633667342699E-2</c:v>
                </c:pt>
                <c:pt idx="1">
                  <c:v>0.60651139632638207</c:v>
                </c:pt>
                <c:pt idx="2">
                  <c:v>1.0919178111759666</c:v>
                </c:pt>
                <c:pt idx="3">
                  <c:v>1.3356798991602574</c:v>
                </c:pt>
                <c:pt idx="4">
                  <c:v>1.4730563377671984</c:v>
                </c:pt>
                <c:pt idx="5">
                  <c:v>1.5445503490775974</c:v>
                </c:pt>
                <c:pt idx="6">
                  <c:v>1.5776592564219043</c:v>
                </c:pt>
                <c:pt idx="7">
                  <c:v>1.5889894932120485</c:v>
                </c:pt>
                <c:pt idx="8">
                  <c:v>1.5963988739684425</c:v>
                </c:pt>
                <c:pt idx="9">
                  <c:v>1.600572222845021</c:v>
                </c:pt>
                <c:pt idx="10">
                  <c:v>1.6019182739164242</c:v>
                </c:pt>
                <c:pt idx="11">
                  <c:v>1.600572222845021</c:v>
                </c:pt>
                <c:pt idx="12">
                  <c:v>1.5963988739684425</c:v>
                </c:pt>
                <c:pt idx="13">
                  <c:v>1.5889894932120483</c:v>
                </c:pt>
                <c:pt idx="14">
                  <c:v>1.5278633548225964</c:v>
                </c:pt>
                <c:pt idx="15">
                  <c:v>1.3925891985877425</c:v>
                </c:pt>
                <c:pt idx="16">
                  <c:v>1.1450473218091088</c:v>
                </c:pt>
                <c:pt idx="17">
                  <c:v>0.80028091007645796</c:v>
                </c:pt>
                <c:pt idx="18">
                  <c:v>0.49895429376194966</c:v>
                </c:pt>
                <c:pt idx="19">
                  <c:v>0.21180269589305531</c:v>
                </c:pt>
                <c:pt idx="20">
                  <c:v>0</c:v>
                </c:pt>
              </c:numCache>
            </c:numRef>
          </c:yVal>
          <c:smooth val="1"/>
          <c:extLst>
            <c:ext xmlns:c16="http://schemas.microsoft.com/office/drawing/2014/chart" uri="{C3380CC4-5D6E-409C-BE32-E72D297353CC}">
              <c16:uniqueId val="{00000018-AD96-493E-A40C-1C340B799E6B}"/>
            </c:ext>
          </c:extLst>
        </c:ser>
        <c:ser>
          <c:idx val="27"/>
          <c:order val="25"/>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Transform!$C$130:$W$130</c:f>
              <c:numCache>
                <c:formatCode>0.000</c:formatCode>
                <c:ptCount val="21"/>
                <c:pt idx="0">
                  <c:v>5.0148701194707324E-2</c:v>
                </c:pt>
                <c:pt idx="1">
                  <c:v>0.80169856586350541</c:v>
                </c:pt>
                <c:pt idx="2">
                  <c:v>1.197009154300372</c:v>
                </c:pt>
                <c:pt idx="3">
                  <c:v>1.4070521296679266</c:v>
                </c:pt>
                <c:pt idx="4">
                  <c:v>1.5225478746516619</c:v>
                </c:pt>
                <c:pt idx="5">
                  <c:v>1.5800482473610737</c:v>
                </c:pt>
                <c:pt idx="6">
                  <c:v>1.6138151042261961</c:v>
                </c:pt>
                <c:pt idx="7">
                  <c:v>1.6216105830651539</c:v>
                </c:pt>
                <c:pt idx="8">
                  <c:v>1.6265848587658764</c:v>
                </c:pt>
                <c:pt idx="9">
                  <c:v>1.6293592181150716</c:v>
                </c:pt>
                <c:pt idx="10">
                  <c:v>1.6302514995243331</c:v>
                </c:pt>
                <c:pt idx="11">
                  <c:v>1.6293592181150713</c:v>
                </c:pt>
                <c:pt idx="12">
                  <c:v>1.6265848587658764</c:v>
                </c:pt>
                <c:pt idx="13">
                  <c:v>1.6216105830651537</c:v>
                </c:pt>
                <c:pt idx="14">
                  <c:v>1.5607770213780046</c:v>
                </c:pt>
                <c:pt idx="15">
                  <c:v>1.4284358156329116</c:v>
                </c:pt>
                <c:pt idx="16">
                  <c:v>1.1868727375278496</c:v>
                </c:pt>
                <c:pt idx="17">
                  <c:v>0.84367827445672849</c:v>
                </c:pt>
                <c:pt idx="18">
                  <c:v>0.48413339964266766</c:v>
                </c:pt>
                <c:pt idx="19">
                  <c:v>0.20196297181093617</c:v>
                </c:pt>
                <c:pt idx="20">
                  <c:v>0</c:v>
                </c:pt>
              </c:numCache>
            </c:numRef>
          </c:yVal>
          <c:smooth val="1"/>
          <c:extLst>
            <c:ext xmlns:c16="http://schemas.microsoft.com/office/drawing/2014/chart" uri="{C3380CC4-5D6E-409C-BE32-E72D297353CC}">
              <c16:uniqueId val="{00000019-AD96-493E-A40C-1C340B799E6B}"/>
            </c:ext>
          </c:extLst>
        </c:ser>
        <c:ser>
          <c:idx val="28"/>
          <c:order val="26"/>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Transform!$C$131:$W$131</c:f>
              <c:numCache>
                <c:formatCode>0.000</c:formatCode>
                <c:ptCount val="21"/>
                <c:pt idx="0">
                  <c:v>0.28950035972523919</c:v>
                </c:pt>
                <c:pt idx="1">
                  <c:v>0.96408870766079757</c:v>
                </c:pt>
                <c:pt idx="2">
                  <c:v>1.2860541204841589</c:v>
                </c:pt>
                <c:pt idx="3">
                  <c:v>1.4642239409749496</c:v>
                </c:pt>
                <c:pt idx="4">
                  <c:v>1.5618287280454619</c:v>
                </c:pt>
                <c:pt idx="5">
                  <c:v>1.6109453865838539</c:v>
                </c:pt>
                <c:pt idx="6">
                  <c:v>1.6394422336209395</c:v>
                </c:pt>
                <c:pt idx="7">
                  <c:v>1.6446390332703236</c:v>
                </c:pt>
                <c:pt idx="8">
                  <c:v>1.6480282618426265</c:v>
                </c:pt>
                <c:pt idx="9">
                  <c:v>1.6499512847444529</c:v>
                </c:pt>
                <c:pt idx="10">
                  <c:v>1.6505755798027735</c:v>
                </c:pt>
                <c:pt idx="11">
                  <c:v>1.6499512847444531</c:v>
                </c:pt>
                <c:pt idx="12">
                  <c:v>1.6480282618426265</c:v>
                </c:pt>
                <c:pt idx="13">
                  <c:v>1.6446390332703231</c:v>
                </c:pt>
                <c:pt idx="14">
                  <c:v>1.5877428270793923</c:v>
                </c:pt>
                <c:pt idx="15">
                  <c:v>1.4602669863913738</c:v>
                </c:pt>
                <c:pt idx="16">
                  <c:v>1.2186210702116074</c:v>
                </c:pt>
                <c:pt idx="17">
                  <c:v>0.87254196991991706</c:v>
                </c:pt>
                <c:pt idx="18">
                  <c:v>0.47603316519732797</c:v>
                </c:pt>
                <c:pt idx="19">
                  <c:v>0.19367904989152193</c:v>
                </c:pt>
                <c:pt idx="20">
                  <c:v>0</c:v>
                </c:pt>
              </c:numCache>
            </c:numRef>
          </c:yVal>
          <c:smooth val="1"/>
          <c:extLst>
            <c:ext xmlns:c16="http://schemas.microsoft.com/office/drawing/2014/chart" uri="{C3380CC4-5D6E-409C-BE32-E72D297353CC}">
              <c16:uniqueId val="{0000001A-AD96-493E-A40C-1C340B799E6B}"/>
            </c:ext>
          </c:extLst>
        </c:ser>
        <c:ser>
          <c:idx val="29"/>
          <c:order val="27"/>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Transform!$C$132:$W$132</c:f>
              <c:numCache>
                <c:formatCode>0.000</c:formatCode>
                <c:ptCount val="21"/>
                <c:pt idx="0">
                  <c:v>0.5464335815806014</c:v>
                </c:pt>
                <c:pt idx="1">
                  <c:v>1.0759412881473818</c:v>
                </c:pt>
                <c:pt idx="2">
                  <c:v>1.3595479895685461</c:v>
                </c:pt>
                <c:pt idx="3">
                  <c:v>1.5113080306192914</c:v>
                </c:pt>
                <c:pt idx="4">
                  <c:v>1.5961031035079882</c:v>
                </c:pt>
                <c:pt idx="5">
                  <c:v>1.6388883925512412</c:v>
                </c:pt>
                <c:pt idx="6">
                  <c:v>1.6585431138736362</c:v>
                </c:pt>
                <c:pt idx="7">
                  <c:v>1.6625200408342349</c:v>
                </c:pt>
                <c:pt idx="8">
                  <c:v>1.6652198576111499</c:v>
                </c:pt>
                <c:pt idx="9">
                  <c:v>1.6667827123476635</c:v>
                </c:pt>
                <c:pt idx="10">
                  <c:v>1.6672940472507658</c:v>
                </c:pt>
                <c:pt idx="11">
                  <c:v>1.6667827123476635</c:v>
                </c:pt>
                <c:pt idx="12">
                  <c:v>1.6652198576111497</c:v>
                </c:pt>
                <c:pt idx="13">
                  <c:v>1.6625200408342344</c:v>
                </c:pt>
                <c:pt idx="14">
                  <c:v>1.6092208371742851</c:v>
                </c:pt>
                <c:pt idx="15">
                  <c:v>1.4882547573796143</c:v>
                </c:pt>
                <c:pt idx="16">
                  <c:v>1.2411203188281075</c:v>
                </c:pt>
                <c:pt idx="17">
                  <c:v>0.893923668559513</c:v>
                </c:pt>
                <c:pt idx="18">
                  <c:v>0.47770040522834956</c:v>
                </c:pt>
                <c:pt idx="19">
                  <c:v>0.18006828659851135</c:v>
                </c:pt>
                <c:pt idx="20">
                  <c:v>0</c:v>
                </c:pt>
              </c:numCache>
            </c:numRef>
          </c:yVal>
          <c:smooth val="1"/>
          <c:extLst>
            <c:ext xmlns:c16="http://schemas.microsoft.com/office/drawing/2014/chart" uri="{C3380CC4-5D6E-409C-BE32-E72D297353CC}">
              <c16:uniqueId val="{0000001B-AD96-493E-A40C-1C340B799E6B}"/>
            </c:ext>
          </c:extLst>
        </c:ser>
        <c:ser>
          <c:idx val="30"/>
          <c:order val="28"/>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Transform!$C$133:$W$133</c:f>
              <c:numCache>
                <c:formatCode>0.000</c:formatCode>
                <c:ptCount val="21"/>
                <c:pt idx="0">
                  <c:v>0.73594359476941318</c:v>
                </c:pt>
                <c:pt idx="1">
                  <c:v>1.1662712546744378</c:v>
                </c:pt>
                <c:pt idx="2">
                  <c:v>1.4179960312556439</c:v>
                </c:pt>
                <c:pt idx="3">
                  <c:v>1.550675922941656</c:v>
                </c:pt>
                <c:pt idx="4">
                  <c:v>1.624453077748808</c:v>
                </c:pt>
                <c:pt idx="5">
                  <c:v>1.6617166227795439</c:v>
                </c:pt>
                <c:pt idx="6">
                  <c:v>1.6753724617052372</c:v>
                </c:pt>
                <c:pt idx="7">
                  <c:v>1.678555491314883</c:v>
                </c:pt>
                <c:pt idx="8">
                  <c:v>1.6806574682822875</c:v>
                </c:pt>
                <c:pt idx="9">
                  <c:v>1.68185174538767</c:v>
                </c:pt>
                <c:pt idx="10">
                  <c:v>1.6822388825717927</c:v>
                </c:pt>
                <c:pt idx="11">
                  <c:v>1.68185174538767</c:v>
                </c:pt>
                <c:pt idx="12">
                  <c:v>1.6806574682822875</c:v>
                </c:pt>
                <c:pt idx="13">
                  <c:v>1.6785554913148828</c:v>
                </c:pt>
                <c:pt idx="14">
                  <c:v>1.6253423569478589</c:v>
                </c:pt>
                <c:pt idx="15">
                  <c:v>1.5086385307254906</c:v>
                </c:pt>
                <c:pt idx="16">
                  <c:v>1.2598449650667485</c:v>
                </c:pt>
                <c:pt idx="17">
                  <c:v>0.91176508394080613</c:v>
                </c:pt>
                <c:pt idx="18">
                  <c:v>0.48565286924828932</c:v>
                </c:pt>
                <c:pt idx="19">
                  <c:v>0.16913752326596512</c:v>
                </c:pt>
                <c:pt idx="20">
                  <c:v>0</c:v>
                </c:pt>
              </c:numCache>
            </c:numRef>
          </c:yVal>
          <c:smooth val="1"/>
          <c:extLst>
            <c:ext xmlns:c16="http://schemas.microsoft.com/office/drawing/2014/chart" uri="{C3380CC4-5D6E-409C-BE32-E72D297353CC}">
              <c16:uniqueId val="{0000001C-AD96-493E-A40C-1C340B799E6B}"/>
            </c:ext>
          </c:extLst>
        </c:ser>
        <c:ser>
          <c:idx val="31"/>
          <c:order val="29"/>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Transform!$C$134:$W$134</c:f>
              <c:numCache>
                <c:formatCode>0.000</c:formatCode>
                <c:ptCount val="21"/>
                <c:pt idx="0">
                  <c:v>0.85776492672294224</c:v>
                </c:pt>
                <c:pt idx="1">
                  <c:v>1.2449924192510873</c:v>
                </c:pt>
                <c:pt idx="2">
                  <c:v>1.4647421334507411</c:v>
                </c:pt>
                <c:pt idx="3">
                  <c:v>1.5837195342665706</c:v>
                </c:pt>
                <c:pt idx="4">
                  <c:v>1.6464327760672339</c:v>
                </c:pt>
                <c:pt idx="5">
                  <c:v>1.6785221231054797</c:v>
                </c:pt>
                <c:pt idx="6">
                  <c:v>1.6893990214124481</c:v>
                </c:pt>
                <c:pt idx="7">
                  <c:v>1.691449086702266</c:v>
                </c:pt>
                <c:pt idx="8">
                  <c:v>1.6927479189293129</c:v>
                </c:pt>
                <c:pt idx="9">
                  <c:v>1.6934644741835476</c:v>
                </c:pt>
                <c:pt idx="10">
                  <c:v>1.6936932095223654</c:v>
                </c:pt>
                <c:pt idx="11">
                  <c:v>1.6934644741835476</c:v>
                </c:pt>
                <c:pt idx="12">
                  <c:v>1.6927479189293129</c:v>
                </c:pt>
                <c:pt idx="13">
                  <c:v>1.6914490867022658</c:v>
                </c:pt>
                <c:pt idx="14">
                  <c:v>1.6370609317098936</c:v>
                </c:pt>
                <c:pt idx="15">
                  <c:v>1.5215411472777487</c:v>
                </c:pt>
                <c:pt idx="16">
                  <c:v>1.278143519731946</c:v>
                </c:pt>
                <c:pt idx="17">
                  <c:v>0.9280780199530384</c:v>
                </c:pt>
                <c:pt idx="18">
                  <c:v>0.49375376719522152</c:v>
                </c:pt>
                <c:pt idx="19">
                  <c:v>0.16155904483670686</c:v>
                </c:pt>
                <c:pt idx="20">
                  <c:v>0</c:v>
                </c:pt>
              </c:numCache>
            </c:numRef>
          </c:yVal>
          <c:smooth val="1"/>
          <c:extLst>
            <c:ext xmlns:c16="http://schemas.microsoft.com/office/drawing/2014/chart" uri="{C3380CC4-5D6E-409C-BE32-E72D297353CC}">
              <c16:uniqueId val="{0000001D-AD96-493E-A40C-1C340B799E6B}"/>
            </c:ext>
          </c:extLst>
        </c:ser>
        <c:ser>
          <c:idx val="32"/>
          <c:order val="30"/>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Transform!$C$135:$W$135</c:f>
              <c:numCache>
                <c:formatCode>0.000</c:formatCode>
                <c:ptCount val="21"/>
                <c:pt idx="0">
                  <c:v>0.93673619068555969</c:v>
                </c:pt>
                <c:pt idx="1">
                  <c:v>1.3012697249408851</c:v>
                </c:pt>
                <c:pt idx="2">
                  <c:v>1.5034427000115183</c:v>
                </c:pt>
                <c:pt idx="3">
                  <c:v>1.6109573071489414</c:v>
                </c:pt>
                <c:pt idx="4">
                  <c:v>1.6640995711095043</c:v>
                </c:pt>
                <c:pt idx="5">
                  <c:v>1.6895174613135941</c:v>
                </c:pt>
                <c:pt idx="6">
                  <c:v>1.6983221379551012</c:v>
                </c:pt>
                <c:pt idx="7">
                  <c:v>1.6991858568680593</c:v>
                </c:pt>
                <c:pt idx="8">
                  <c:v>1.6997067683992533</c:v>
                </c:pt>
                <c:pt idx="9">
                  <c:v>1.6999857323992118</c:v>
                </c:pt>
                <c:pt idx="10">
                  <c:v>1.700073555603876</c:v>
                </c:pt>
                <c:pt idx="11">
                  <c:v>1.6999857323992118</c:v>
                </c:pt>
                <c:pt idx="12">
                  <c:v>1.6997067683992533</c:v>
                </c:pt>
                <c:pt idx="13">
                  <c:v>1.6991858568680591</c:v>
                </c:pt>
                <c:pt idx="14">
                  <c:v>1.6456349222062721</c:v>
                </c:pt>
                <c:pt idx="15">
                  <c:v>1.5304606909038723</c:v>
                </c:pt>
                <c:pt idx="16">
                  <c:v>1.2934632234046057</c:v>
                </c:pt>
                <c:pt idx="17">
                  <c:v>0.94195321028032897</c:v>
                </c:pt>
                <c:pt idx="18">
                  <c:v>0.4981210436337305</c:v>
                </c:pt>
                <c:pt idx="19">
                  <c:v>0.15052729304486437</c:v>
                </c:pt>
                <c:pt idx="20">
                  <c:v>0</c:v>
                </c:pt>
              </c:numCache>
            </c:numRef>
          </c:yVal>
          <c:smooth val="1"/>
          <c:extLst>
            <c:ext xmlns:c16="http://schemas.microsoft.com/office/drawing/2014/chart" uri="{C3380CC4-5D6E-409C-BE32-E72D297353CC}">
              <c16:uniqueId val="{0000001E-AD96-493E-A40C-1C340B799E6B}"/>
            </c:ext>
          </c:extLst>
        </c:ser>
        <c:ser>
          <c:idx val="33"/>
          <c:order val="31"/>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Transform!$C$136:$W$136</c:f>
              <c:numCache>
                <c:formatCode>0.000</c:formatCode>
                <c:ptCount val="21"/>
                <c:pt idx="0">
                  <c:v>1.0010930174716755</c:v>
                </c:pt>
                <c:pt idx="1">
                  <c:v>1.3415006802940972</c:v>
                </c:pt>
                <c:pt idx="2">
                  <c:v>1.5375708662929679</c:v>
                </c:pt>
                <c:pt idx="3">
                  <c:v>1.6325220604536403</c:v>
                </c:pt>
                <c:pt idx="4">
                  <c:v>1.6792911166414435</c:v>
                </c:pt>
                <c:pt idx="5">
                  <c:v>1.6954901977598911</c:v>
                </c:pt>
                <c:pt idx="6">
                  <c:v>1.7019774265078191</c:v>
                </c:pt>
                <c:pt idx="7">
                  <c:v>1.7021894091722025</c:v>
                </c:pt>
                <c:pt idx="8">
                  <c:v>1.7023084224415455</c:v>
                </c:pt>
                <c:pt idx="9">
                  <c:v>1.7023688599785687</c:v>
                </c:pt>
                <c:pt idx="10">
                  <c:v>1.7023873535528493</c:v>
                </c:pt>
                <c:pt idx="11">
                  <c:v>1.7023688599785687</c:v>
                </c:pt>
                <c:pt idx="12">
                  <c:v>1.7023084224415455</c:v>
                </c:pt>
                <c:pt idx="13">
                  <c:v>1.7021894091722023</c:v>
                </c:pt>
                <c:pt idx="14">
                  <c:v>1.6519812339900342</c:v>
                </c:pt>
                <c:pt idx="15">
                  <c:v>1.5376962730818844</c:v>
                </c:pt>
                <c:pt idx="16">
                  <c:v>1.3031809461506123</c:v>
                </c:pt>
                <c:pt idx="17">
                  <c:v>0.95122084673197027</c:v>
                </c:pt>
                <c:pt idx="18">
                  <c:v>0.49968664764200643</c:v>
                </c:pt>
                <c:pt idx="19">
                  <c:v>0.13780531057318332</c:v>
                </c:pt>
                <c:pt idx="20">
                  <c:v>0</c:v>
                </c:pt>
              </c:numCache>
            </c:numRef>
          </c:yVal>
          <c:smooth val="1"/>
          <c:extLst>
            <c:ext xmlns:c16="http://schemas.microsoft.com/office/drawing/2014/chart" uri="{C3380CC4-5D6E-409C-BE32-E72D297353CC}">
              <c16:uniqueId val="{0000001F-AD96-493E-A40C-1C340B799E6B}"/>
            </c:ext>
          </c:extLst>
        </c:ser>
        <c:ser>
          <c:idx val="34"/>
          <c:order val="32"/>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Transform!$C$137:$W$137</c:f>
              <c:numCache>
                <c:formatCode>0.000</c:formatCode>
                <c:ptCount val="21"/>
                <c:pt idx="0">
                  <c:v>1.058531146599049</c:v>
                </c:pt>
                <c:pt idx="1">
                  <c:v>1.3797756117111595</c:v>
                </c:pt>
                <c:pt idx="2">
                  <c:v>1.5683665400004321</c:v>
                </c:pt>
                <c:pt idx="3">
                  <c:v>1.6490833155968903</c:v>
                </c:pt>
                <c:pt idx="4">
                  <c:v>1.6912471617352147</c:v>
                </c:pt>
                <c:pt idx="5">
                  <c:v>1.6983593348149291</c:v>
                </c:pt>
                <c:pt idx="6">
                  <c:v>1.7026949491072674</c:v>
                </c:pt>
                <c:pt idx="7">
                  <c:v>1.7027009547042402</c:v>
                </c:pt>
                <c:pt idx="8">
                  <c:v>1.7027025304928958</c:v>
                </c:pt>
                <c:pt idx="9">
                  <c:v>1.702702872146721</c:v>
                </c:pt>
                <c:pt idx="10">
                  <c:v>1.7027029154948938</c:v>
                </c:pt>
                <c:pt idx="11">
                  <c:v>1.702702872146721</c:v>
                </c:pt>
                <c:pt idx="12">
                  <c:v>1.7027025304928958</c:v>
                </c:pt>
                <c:pt idx="13">
                  <c:v>1.70270095470424</c:v>
                </c:pt>
                <c:pt idx="14">
                  <c:v>1.6566180143437159</c:v>
                </c:pt>
                <c:pt idx="15">
                  <c:v>1.5427963090761905</c:v>
                </c:pt>
                <c:pt idx="16">
                  <c:v>1.3080873666271446</c:v>
                </c:pt>
                <c:pt idx="17">
                  <c:v>0.95594125938347996</c:v>
                </c:pt>
                <c:pt idx="18">
                  <c:v>0.49976213432055211</c:v>
                </c:pt>
                <c:pt idx="19">
                  <c:v>0.12894831813421109</c:v>
                </c:pt>
                <c:pt idx="20">
                  <c:v>0</c:v>
                </c:pt>
              </c:numCache>
            </c:numRef>
          </c:yVal>
          <c:smooth val="1"/>
          <c:extLst>
            <c:ext xmlns:c16="http://schemas.microsoft.com/office/drawing/2014/chart" uri="{C3380CC4-5D6E-409C-BE32-E72D297353CC}">
              <c16:uniqueId val="{00000020-AD96-493E-A40C-1C340B799E6B}"/>
            </c:ext>
          </c:extLst>
        </c:ser>
        <c:ser>
          <c:idx val="35"/>
          <c:order val="33"/>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Transform!$C$138:$W$138</c:f>
              <c:numCache>
                <c:formatCode>0.000</c:formatCode>
                <c:ptCount val="21"/>
                <c:pt idx="0">
                  <c:v>1.1077937191147369</c:v>
                </c:pt>
                <c:pt idx="1">
                  <c:v>1.413716132023471</c:v>
                </c:pt>
                <c:pt idx="2">
                  <c:v>1.592993461444371</c:v>
                </c:pt>
                <c:pt idx="3">
                  <c:v>1.6616918909664906</c:v>
                </c:pt>
                <c:pt idx="4">
                  <c:v>1.6985629265584556</c:v>
                </c:pt>
                <c:pt idx="5">
                  <c:v>1.7000767462503339</c:v>
                </c:pt>
                <c:pt idx="6">
                  <c:v>1.7027168150863137</c:v>
                </c:pt>
                <c:pt idx="7">
                  <c:v>1.7027121122151652</c:v>
                </c:pt>
                <c:pt idx="8">
                  <c:v>1.7027086812607559</c:v>
                </c:pt>
                <c:pt idx="9">
                  <c:v>1.7027066156045634</c:v>
                </c:pt>
                <c:pt idx="10">
                  <c:v>1.7027059276846961</c:v>
                </c:pt>
                <c:pt idx="11">
                  <c:v>1.7027066156045634</c:v>
                </c:pt>
                <c:pt idx="12">
                  <c:v>1.7027086812607559</c:v>
                </c:pt>
                <c:pt idx="13">
                  <c:v>1.7027121122151649</c:v>
                </c:pt>
                <c:pt idx="14">
                  <c:v>1.660031910617779</c:v>
                </c:pt>
                <c:pt idx="15">
                  <c:v>1.5450759987926832</c:v>
                </c:pt>
                <c:pt idx="16">
                  <c:v>1.3099302617422013</c:v>
                </c:pt>
                <c:pt idx="17">
                  <c:v>0.95773693268641735</c:v>
                </c:pt>
                <c:pt idx="18">
                  <c:v>0.49941073732810126</c:v>
                </c:pt>
                <c:pt idx="19">
                  <c:v>0.12151263148851768</c:v>
                </c:pt>
                <c:pt idx="20">
                  <c:v>0</c:v>
                </c:pt>
              </c:numCache>
            </c:numRef>
          </c:yVal>
          <c:smooth val="1"/>
          <c:extLst>
            <c:ext xmlns:c16="http://schemas.microsoft.com/office/drawing/2014/chart" uri="{C3380CC4-5D6E-409C-BE32-E72D297353CC}">
              <c16:uniqueId val="{00000021-AD96-493E-A40C-1C340B799E6B}"/>
            </c:ext>
          </c:extLst>
        </c:ser>
        <c:ser>
          <c:idx val="36"/>
          <c:order val="34"/>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Transform!$C$139:$W$139</c:f>
              <c:numCache>
                <c:formatCode>0.000</c:formatCode>
                <c:ptCount val="21"/>
                <c:pt idx="0">
                  <c:v>1.142052531923293</c:v>
                </c:pt>
                <c:pt idx="1">
                  <c:v>1.4368122846494424</c:v>
                </c:pt>
                <c:pt idx="2">
                  <c:v>1.6101546537699771</c:v>
                </c:pt>
                <c:pt idx="3">
                  <c:v>1.6715394827410417</c:v>
                </c:pt>
                <c:pt idx="4">
                  <c:v>1.7016926735359503</c:v>
                </c:pt>
                <c:pt idx="5">
                  <c:v>1.701468938001935</c:v>
                </c:pt>
                <c:pt idx="6">
                  <c:v>1.7027150902693178</c:v>
                </c:pt>
                <c:pt idx="7">
                  <c:v>1.7027105368475506</c:v>
                </c:pt>
                <c:pt idx="8">
                  <c:v>1.7027075197168657</c:v>
                </c:pt>
                <c:pt idx="9">
                  <c:v>1.7027057991353876</c:v>
                </c:pt>
                <c:pt idx="10">
                  <c:v>1.7027052401298592</c:v>
                </c:pt>
                <c:pt idx="11">
                  <c:v>1.7027057991353876</c:v>
                </c:pt>
                <c:pt idx="12">
                  <c:v>1.7027075197168657</c:v>
                </c:pt>
                <c:pt idx="13">
                  <c:v>1.7027105368475504</c:v>
                </c:pt>
                <c:pt idx="14">
                  <c:v>1.6626478537622422</c:v>
                </c:pt>
                <c:pt idx="15">
                  <c:v>1.5450167846183485</c:v>
                </c:pt>
                <c:pt idx="16">
                  <c:v>1.3099997814342215</c:v>
                </c:pt>
                <c:pt idx="17">
                  <c:v>0.95791329868891972</c:v>
                </c:pt>
                <c:pt idx="18">
                  <c:v>0.49933715442486837</c:v>
                </c:pt>
                <c:pt idx="19">
                  <c:v>0.11107250828649746</c:v>
                </c:pt>
                <c:pt idx="20">
                  <c:v>0</c:v>
                </c:pt>
              </c:numCache>
            </c:numRef>
          </c:yVal>
          <c:smooth val="1"/>
          <c:extLst>
            <c:ext xmlns:c16="http://schemas.microsoft.com/office/drawing/2014/chart" uri="{C3380CC4-5D6E-409C-BE32-E72D297353CC}">
              <c16:uniqueId val="{00000022-AD96-493E-A40C-1C340B799E6B}"/>
            </c:ext>
          </c:extLst>
        </c:ser>
        <c:ser>
          <c:idx val="0"/>
          <c:order val="35"/>
          <c:spPr>
            <a:ln w="12700">
              <a:solidFill>
                <a:srgbClr val="000000"/>
              </a:solidFill>
              <a:prstDash val="solid"/>
            </a:ln>
          </c:spPr>
          <c:marker>
            <c:symbol val="none"/>
          </c:marker>
          <c:xVal>
            <c:numRef>
              <c:f>Transform!$C$114:$W$114</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Transform!$C$140:$W$140</c:f>
              <c:numCache>
                <c:formatCode>0.000</c:formatCode>
                <c:ptCount val="21"/>
                <c:pt idx="0">
                  <c:v>1.1654054054054053</c:v>
                </c:pt>
                <c:pt idx="1">
                  <c:v>1.452972972972973</c:v>
                </c:pt>
                <c:pt idx="2">
                  <c:v>1.6232432432432431</c:v>
                </c:pt>
                <c:pt idx="3">
                  <c:v>1.68</c:v>
                </c:pt>
                <c:pt idx="4">
                  <c:v>1.7027027027027026</c:v>
                </c:pt>
                <c:pt idx="5">
                  <c:v>1.7027027027027026</c:v>
                </c:pt>
                <c:pt idx="6">
                  <c:v>1.7027027027027026</c:v>
                </c:pt>
                <c:pt idx="7">
                  <c:v>1.7027027027027026</c:v>
                </c:pt>
                <c:pt idx="8">
                  <c:v>1.7027027027027026</c:v>
                </c:pt>
                <c:pt idx="9">
                  <c:v>1.7027027027027026</c:v>
                </c:pt>
                <c:pt idx="10">
                  <c:v>1.7027027027027026</c:v>
                </c:pt>
                <c:pt idx="11">
                  <c:v>1.7027027027027026</c:v>
                </c:pt>
                <c:pt idx="12">
                  <c:v>1.7027027027027026</c:v>
                </c:pt>
                <c:pt idx="13">
                  <c:v>1.7027027027027024</c:v>
                </c:pt>
                <c:pt idx="14">
                  <c:v>1.6648648648648647</c:v>
                </c:pt>
                <c:pt idx="15">
                  <c:v>1.5437837837837836</c:v>
                </c:pt>
                <c:pt idx="16">
                  <c:v>1.3091891891891889</c:v>
                </c:pt>
                <c:pt idx="17">
                  <c:v>0.95729729729729707</c:v>
                </c:pt>
                <c:pt idx="18">
                  <c:v>0.49945945945946041</c:v>
                </c:pt>
                <c:pt idx="19">
                  <c:v>9.8378378378379414E-2</c:v>
                </c:pt>
                <c:pt idx="20">
                  <c:v>0</c:v>
                </c:pt>
              </c:numCache>
            </c:numRef>
          </c:yVal>
          <c:smooth val="1"/>
          <c:extLst>
            <c:ext xmlns:c16="http://schemas.microsoft.com/office/drawing/2014/chart" uri="{C3380CC4-5D6E-409C-BE32-E72D297353CC}">
              <c16:uniqueId val="{00000023-AD96-493E-A40C-1C340B799E6B}"/>
            </c:ext>
          </c:extLst>
        </c:ser>
        <c:dLbls>
          <c:showLegendKey val="0"/>
          <c:showVal val="0"/>
          <c:showCatName val="0"/>
          <c:showSerName val="0"/>
          <c:showPercent val="0"/>
          <c:showBubbleSize val="0"/>
        </c:dLbls>
        <c:axId val="1924595039"/>
        <c:axId val="1"/>
      </c:scatterChart>
      <c:valAx>
        <c:axId val="1924595039"/>
        <c:scaling>
          <c:orientation val="minMax"/>
          <c:max val="21"/>
          <c:min val="1"/>
        </c:scaling>
        <c:delete val="0"/>
        <c:axPos val="b"/>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GB"/>
                  <a:t>STATION</a:t>
                </a:r>
              </a:p>
            </c:rich>
          </c:tx>
          <c:layout>
            <c:manualLayout>
              <c:xMode val="edge"/>
              <c:yMode val="edge"/>
              <c:x val="0.50138855661517456"/>
              <c:y val="0.923242896895310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crossBetween val="midCat"/>
        <c:majorUnit val="1"/>
      </c:valAx>
      <c:valAx>
        <c:axId val="1"/>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GB"/>
                  <a:t>OFFSET </a:t>
                </a:r>
              </a:p>
            </c:rich>
          </c:tx>
          <c:layout>
            <c:manualLayout>
              <c:xMode val="edge"/>
              <c:yMode val="edge"/>
              <c:x val="1.1901493431522707E-2"/>
              <c:y val="0.4768004902728199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1924595039"/>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GB"/>
              <a:t>INPUT DATA AFTBODY</a:t>
            </a:r>
          </a:p>
        </c:rich>
      </c:tx>
      <c:layout>
        <c:manualLayout>
          <c:xMode val="edge"/>
          <c:yMode val="edge"/>
          <c:x val="0.38662908942555441"/>
          <c:y val="2.8717105422560743E-2"/>
        </c:manualLayout>
      </c:layout>
      <c:overlay val="0"/>
      <c:spPr>
        <a:noFill/>
        <a:ln w="25400">
          <a:noFill/>
        </a:ln>
      </c:spPr>
    </c:title>
    <c:autoTitleDeleted val="0"/>
    <c:plotArea>
      <c:layout>
        <c:manualLayout>
          <c:layoutTarget val="inner"/>
          <c:xMode val="edge"/>
          <c:yMode val="edge"/>
          <c:x val="7.0634160568130128E-2"/>
          <c:y val="9.9665248231240219E-2"/>
          <c:w val="0.87982901760302445"/>
          <c:h val="0.8091466763180350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Transform!$F$12:$F$24</c:f>
              <c:numCache>
                <c:formatCode>0.00</c:formatCode>
                <c:ptCount val="13"/>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pt idx="12">
                  <c:v>2.4</c:v>
                </c:pt>
              </c:numCache>
            </c:numRef>
          </c:xVal>
          <c:yVal>
            <c:numRef>
              <c:f>Transform!$G$12:$G$24</c:f>
              <c:numCache>
                <c:formatCode>0.00</c:formatCode>
                <c:ptCount val="13"/>
                <c:pt idx="0">
                  <c:v>0</c:v>
                </c:pt>
                <c:pt idx="1">
                  <c:v>0</c:v>
                </c:pt>
                <c:pt idx="2">
                  <c:v>0</c:v>
                </c:pt>
                <c:pt idx="3">
                  <c:v>7.0000000000000007E-2</c:v>
                </c:pt>
                <c:pt idx="4">
                  <c:v>0.38</c:v>
                </c:pt>
                <c:pt idx="5">
                  <c:v>0.88</c:v>
                </c:pt>
                <c:pt idx="6">
                  <c:v>1.32</c:v>
                </c:pt>
                <c:pt idx="7">
                  <c:v>1.58</c:v>
                </c:pt>
                <c:pt idx="8">
                  <c:v>1.78</c:v>
                </c:pt>
                <c:pt idx="9">
                  <c:v>1.92</c:v>
                </c:pt>
                <c:pt idx="10">
                  <c:v>2.02</c:v>
                </c:pt>
                <c:pt idx="11">
                  <c:v>2.1</c:v>
                </c:pt>
                <c:pt idx="12">
                  <c:v>2.145</c:v>
                </c:pt>
              </c:numCache>
            </c:numRef>
          </c:yVal>
          <c:smooth val="0"/>
          <c:extLst>
            <c:ext xmlns:c16="http://schemas.microsoft.com/office/drawing/2014/chart" uri="{C3380CC4-5D6E-409C-BE32-E72D297353CC}">
              <c16:uniqueId val="{00000000-028A-4E68-BFB6-4F2BE771EF67}"/>
            </c:ext>
          </c:extLst>
        </c:ser>
        <c:ser>
          <c:idx val="1"/>
          <c:order val="1"/>
          <c:spPr>
            <a:ln w="12700">
              <a:solidFill>
                <a:srgbClr val="000000"/>
              </a:solidFill>
              <a:prstDash val="solid"/>
            </a:ln>
          </c:spPr>
          <c:marker>
            <c:symbol val="square"/>
            <c:size val="5"/>
            <c:spPr>
              <a:solidFill>
                <a:srgbClr val="FF00FF"/>
              </a:solidFill>
              <a:ln>
                <a:solidFill>
                  <a:srgbClr val="FF00FF"/>
                </a:solidFill>
                <a:prstDash val="solid"/>
              </a:ln>
            </c:spPr>
          </c:marker>
          <c:xVal>
            <c:numRef>
              <c:f>Transform!$D$12:$D$24</c:f>
              <c:numCache>
                <c:formatCode>0.00</c:formatCode>
                <c:ptCount val="13"/>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pt idx="12">
                  <c:v>2.4</c:v>
                </c:pt>
              </c:numCache>
            </c:numRef>
          </c:xVal>
          <c:yVal>
            <c:numRef>
              <c:f>Transform!$E$12:$E$24</c:f>
              <c:numCache>
                <c:formatCode>0.00</c:formatCode>
                <c:ptCount val="13"/>
                <c:pt idx="0">
                  <c:v>0</c:v>
                </c:pt>
                <c:pt idx="1">
                  <c:v>0</c:v>
                </c:pt>
                <c:pt idx="2">
                  <c:v>0</c:v>
                </c:pt>
                <c:pt idx="3">
                  <c:v>0</c:v>
                </c:pt>
                <c:pt idx="4">
                  <c:v>0</c:v>
                </c:pt>
                <c:pt idx="5">
                  <c:v>0.3</c:v>
                </c:pt>
                <c:pt idx="6">
                  <c:v>0.8</c:v>
                </c:pt>
                <c:pt idx="7">
                  <c:v>1.22</c:v>
                </c:pt>
                <c:pt idx="8">
                  <c:v>1.48</c:v>
                </c:pt>
                <c:pt idx="9">
                  <c:v>1.67</c:v>
                </c:pt>
                <c:pt idx="10">
                  <c:v>1.78</c:v>
                </c:pt>
                <c:pt idx="11">
                  <c:v>1.87</c:v>
                </c:pt>
                <c:pt idx="12">
                  <c:v>1.92</c:v>
                </c:pt>
              </c:numCache>
            </c:numRef>
          </c:yVal>
          <c:smooth val="0"/>
          <c:extLst>
            <c:ext xmlns:c16="http://schemas.microsoft.com/office/drawing/2014/chart" uri="{C3380CC4-5D6E-409C-BE32-E72D297353CC}">
              <c16:uniqueId val="{00000001-028A-4E68-BFB6-4F2BE771EF67}"/>
            </c:ext>
          </c:extLst>
        </c:ser>
        <c:ser>
          <c:idx val="2"/>
          <c:order val="2"/>
          <c:spPr>
            <a:ln w="12700">
              <a:solidFill>
                <a:srgbClr val="000000"/>
              </a:solidFill>
              <a:prstDash val="solid"/>
            </a:ln>
          </c:spPr>
          <c:marker>
            <c:symbol val="triangle"/>
            <c:size val="5"/>
            <c:spPr>
              <a:solidFill>
                <a:srgbClr val="FFFF00"/>
              </a:solidFill>
              <a:ln>
                <a:solidFill>
                  <a:srgbClr val="FFFF00"/>
                </a:solidFill>
                <a:prstDash val="solid"/>
              </a:ln>
            </c:spPr>
          </c:marker>
          <c:xVal>
            <c:numRef>
              <c:f>Transform!$H$12:$H$24</c:f>
              <c:numCache>
                <c:formatCode>0.00</c:formatCode>
                <c:ptCount val="13"/>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pt idx="12">
                  <c:v>2.4</c:v>
                </c:pt>
              </c:numCache>
            </c:numRef>
          </c:xVal>
          <c:yVal>
            <c:numRef>
              <c:f>Transform!$I$12:$I$24</c:f>
              <c:numCache>
                <c:formatCode>0.00</c:formatCode>
                <c:ptCount val="13"/>
                <c:pt idx="0">
                  <c:v>0</c:v>
                </c:pt>
                <c:pt idx="1">
                  <c:v>0</c:v>
                </c:pt>
                <c:pt idx="2">
                  <c:v>0.1</c:v>
                </c:pt>
                <c:pt idx="3">
                  <c:v>0.35</c:v>
                </c:pt>
                <c:pt idx="4">
                  <c:v>0.83</c:v>
                </c:pt>
                <c:pt idx="5">
                  <c:v>1.29</c:v>
                </c:pt>
                <c:pt idx="6">
                  <c:v>1.6</c:v>
                </c:pt>
                <c:pt idx="7">
                  <c:v>1.8</c:v>
                </c:pt>
                <c:pt idx="8">
                  <c:v>1.95</c:v>
                </c:pt>
                <c:pt idx="9">
                  <c:v>2.06</c:v>
                </c:pt>
                <c:pt idx="10">
                  <c:v>2.14</c:v>
                </c:pt>
                <c:pt idx="11">
                  <c:v>2.19</c:v>
                </c:pt>
                <c:pt idx="12">
                  <c:v>2.2200000000000002</c:v>
                </c:pt>
              </c:numCache>
            </c:numRef>
          </c:yVal>
          <c:smooth val="0"/>
          <c:extLst>
            <c:ext xmlns:c16="http://schemas.microsoft.com/office/drawing/2014/chart" uri="{C3380CC4-5D6E-409C-BE32-E72D297353CC}">
              <c16:uniqueId val="{00000002-028A-4E68-BFB6-4F2BE771EF67}"/>
            </c:ext>
          </c:extLst>
        </c:ser>
        <c:ser>
          <c:idx val="3"/>
          <c:order val="3"/>
          <c:spPr>
            <a:ln w="12700">
              <a:solidFill>
                <a:srgbClr val="000000"/>
              </a:solidFill>
              <a:prstDash val="solid"/>
            </a:ln>
          </c:spPr>
          <c:marker>
            <c:symbol val="x"/>
            <c:size val="5"/>
            <c:spPr>
              <a:noFill/>
              <a:ln>
                <a:solidFill>
                  <a:srgbClr val="00FFFF"/>
                </a:solidFill>
                <a:prstDash val="solid"/>
              </a:ln>
            </c:spPr>
          </c:marker>
          <c:xVal>
            <c:numRef>
              <c:f>Transform!$J$12:$J$22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Transform!$K$12:$K$22</c:f>
              <c:numCache>
                <c:formatCode>0.00</c:formatCode>
                <c:ptCount val="11"/>
                <c:pt idx="0">
                  <c:v>0</c:v>
                </c:pt>
                <c:pt idx="1">
                  <c:v>7.4999999999999997E-2</c:v>
                </c:pt>
                <c:pt idx="2">
                  <c:v>0.18</c:v>
                </c:pt>
                <c:pt idx="3">
                  <c:v>0.62</c:v>
                </c:pt>
                <c:pt idx="4">
                  <c:v>1.1499999999999999</c:v>
                </c:pt>
                <c:pt idx="5">
                  <c:v>1.53</c:v>
                </c:pt>
                <c:pt idx="6">
                  <c:v>1.76</c:v>
                </c:pt>
                <c:pt idx="7">
                  <c:v>1.93</c:v>
                </c:pt>
                <c:pt idx="8">
                  <c:v>2.0499999999999998</c:v>
                </c:pt>
                <c:pt idx="9">
                  <c:v>2.14</c:v>
                </c:pt>
                <c:pt idx="10">
                  <c:v>2.2000000000000002</c:v>
                </c:pt>
              </c:numCache>
            </c:numRef>
          </c:yVal>
          <c:smooth val="0"/>
          <c:extLst>
            <c:ext xmlns:c16="http://schemas.microsoft.com/office/drawing/2014/chart" uri="{C3380CC4-5D6E-409C-BE32-E72D297353CC}">
              <c16:uniqueId val="{00000003-028A-4E68-BFB6-4F2BE771EF67}"/>
            </c:ext>
          </c:extLst>
        </c:ser>
        <c:ser>
          <c:idx val="4"/>
          <c:order val="4"/>
          <c:spPr>
            <a:ln w="12700">
              <a:solidFill>
                <a:srgbClr val="000000"/>
              </a:solidFill>
              <a:prstDash val="solid"/>
            </a:ln>
          </c:spPr>
          <c:marker>
            <c:symbol val="star"/>
            <c:size val="5"/>
            <c:spPr>
              <a:noFill/>
              <a:ln>
                <a:solidFill>
                  <a:srgbClr val="800080"/>
                </a:solidFill>
                <a:prstDash val="solid"/>
              </a:ln>
            </c:spPr>
          </c:marker>
          <c:xVal>
            <c:numRef>
              <c:f>Transform!$L$12:$L$22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Transform!$M$12:$M$22</c:f>
              <c:numCache>
                <c:formatCode>0.00</c:formatCode>
                <c:ptCount val="11"/>
                <c:pt idx="0">
                  <c:v>0.08</c:v>
                </c:pt>
                <c:pt idx="1">
                  <c:v>0.09</c:v>
                </c:pt>
                <c:pt idx="2">
                  <c:v>0.22</c:v>
                </c:pt>
                <c:pt idx="3">
                  <c:v>0.78</c:v>
                </c:pt>
                <c:pt idx="4">
                  <c:v>1.36</c:v>
                </c:pt>
                <c:pt idx="5">
                  <c:v>1.65</c:v>
                </c:pt>
                <c:pt idx="6">
                  <c:v>1.85</c:v>
                </c:pt>
                <c:pt idx="7">
                  <c:v>2</c:v>
                </c:pt>
                <c:pt idx="8">
                  <c:v>2.1</c:v>
                </c:pt>
                <c:pt idx="9">
                  <c:v>2.1800000000000002</c:v>
                </c:pt>
                <c:pt idx="10">
                  <c:v>2.23</c:v>
                </c:pt>
              </c:numCache>
            </c:numRef>
          </c:yVal>
          <c:smooth val="0"/>
          <c:extLst>
            <c:ext xmlns:c16="http://schemas.microsoft.com/office/drawing/2014/chart" uri="{C3380CC4-5D6E-409C-BE32-E72D297353CC}">
              <c16:uniqueId val="{00000004-028A-4E68-BFB6-4F2BE771EF67}"/>
            </c:ext>
          </c:extLst>
        </c:ser>
        <c:ser>
          <c:idx val="5"/>
          <c:order val="5"/>
          <c:spPr>
            <a:ln w="12700">
              <a:solidFill>
                <a:srgbClr val="000000"/>
              </a:solidFill>
              <a:prstDash val="solid"/>
            </a:ln>
          </c:spPr>
          <c:marker>
            <c:symbol val="circle"/>
            <c:size val="5"/>
            <c:spPr>
              <a:solidFill>
                <a:srgbClr val="800000"/>
              </a:solidFill>
              <a:ln>
                <a:solidFill>
                  <a:srgbClr val="800000"/>
                </a:solidFill>
                <a:prstDash val="solid"/>
              </a:ln>
            </c:spPr>
          </c:marker>
          <c:xVal>
            <c:numRef>
              <c:f>Transform!$B$12:$B$24</c:f>
              <c:numCache>
                <c:formatCode>0.00</c:formatCode>
                <c:ptCount val="13"/>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pt idx="12">
                  <c:v>2.4</c:v>
                </c:pt>
              </c:numCache>
            </c:numRef>
          </c:xVal>
          <c:yVal>
            <c:numRef>
              <c:f>Transform!$C$12:$C$24</c:f>
              <c:numCache>
                <c:formatCode>0.00</c:formatCode>
                <c:ptCount val="13"/>
                <c:pt idx="0">
                  <c:v>0</c:v>
                </c:pt>
                <c:pt idx="1">
                  <c:v>0</c:v>
                </c:pt>
                <c:pt idx="2">
                  <c:v>0</c:v>
                </c:pt>
                <c:pt idx="3">
                  <c:v>0</c:v>
                </c:pt>
                <c:pt idx="4">
                  <c:v>0</c:v>
                </c:pt>
                <c:pt idx="5">
                  <c:v>0</c:v>
                </c:pt>
                <c:pt idx="6">
                  <c:v>0.03</c:v>
                </c:pt>
                <c:pt idx="7">
                  <c:v>0.56999999999999995</c:v>
                </c:pt>
                <c:pt idx="8">
                  <c:v>1.0149999999999999</c:v>
                </c:pt>
                <c:pt idx="9">
                  <c:v>1.23</c:v>
                </c:pt>
                <c:pt idx="10">
                  <c:v>1.37</c:v>
                </c:pt>
                <c:pt idx="11">
                  <c:v>1.48</c:v>
                </c:pt>
                <c:pt idx="12">
                  <c:v>1.54</c:v>
                </c:pt>
              </c:numCache>
            </c:numRef>
          </c:yVal>
          <c:smooth val="0"/>
          <c:extLst>
            <c:ext xmlns:c16="http://schemas.microsoft.com/office/drawing/2014/chart" uri="{C3380CC4-5D6E-409C-BE32-E72D297353CC}">
              <c16:uniqueId val="{00000005-028A-4E68-BFB6-4F2BE771EF67}"/>
            </c:ext>
          </c:extLst>
        </c:ser>
        <c:ser>
          <c:idx val="6"/>
          <c:order val="6"/>
          <c:spPr>
            <a:ln w="12700">
              <a:solidFill>
                <a:srgbClr val="000000"/>
              </a:solidFill>
              <a:prstDash val="solid"/>
            </a:ln>
          </c:spPr>
          <c:marker>
            <c:symbol val="plus"/>
            <c:size val="5"/>
            <c:spPr>
              <a:noFill/>
              <a:ln>
                <a:solidFill>
                  <a:srgbClr val="008080"/>
                </a:solidFill>
                <a:prstDash val="solid"/>
              </a:ln>
            </c:spPr>
          </c:marker>
          <c:xVal>
            <c:numRef>
              <c:f>Transform!$P$12:$P$23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Transform!$Q$12:$Q$23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6-028A-4E68-BFB6-4F2BE771EF67}"/>
            </c:ext>
          </c:extLst>
        </c:ser>
        <c:ser>
          <c:idx val="7"/>
          <c:order val="7"/>
          <c:spPr>
            <a:ln w="12700">
              <a:solidFill>
                <a:srgbClr val="000000"/>
              </a:solidFill>
              <a:prstDash val="solid"/>
            </a:ln>
          </c:spPr>
          <c:marker>
            <c:symbol val="dot"/>
            <c:size val="5"/>
            <c:spPr>
              <a:noFill/>
              <a:ln>
                <a:solidFill>
                  <a:srgbClr val="0000FF"/>
                </a:solidFill>
                <a:prstDash val="solid"/>
              </a:ln>
            </c:spPr>
          </c:marker>
          <c:xVal>
            <c:numRef>
              <c:f>Transform!$N$12:$N$22</c:f>
              <c:numCache>
                <c:formatCode>0.00</c:formatCode>
                <c:ptCount val="11"/>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numCache>
            </c:numRef>
          </c:xVal>
          <c:yVal>
            <c:numRef>
              <c:f>Transform!$O$12:$O$22</c:f>
              <c:numCache>
                <c:formatCode>0.00</c:formatCode>
                <c:ptCount val="11"/>
                <c:pt idx="0">
                  <c:v>0.08</c:v>
                </c:pt>
                <c:pt idx="1">
                  <c:v>0.09</c:v>
                </c:pt>
                <c:pt idx="2">
                  <c:v>0.22</c:v>
                </c:pt>
                <c:pt idx="3">
                  <c:v>0.98</c:v>
                </c:pt>
                <c:pt idx="4">
                  <c:v>1.44</c:v>
                </c:pt>
                <c:pt idx="5">
                  <c:v>1.71</c:v>
                </c:pt>
                <c:pt idx="6">
                  <c:v>1.89</c:v>
                </c:pt>
                <c:pt idx="7">
                  <c:v>2.02</c:v>
                </c:pt>
                <c:pt idx="8">
                  <c:v>2.13</c:v>
                </c:pt>
                <c:pt idx="9">
                  <c:v>2.1949999999999998</c:v>
                </c:pt>
                <c:pt idx="10">
                  <c:v>2.2400000000000002</c:v>
                </c:pt>
              </c:numCache>
            </c:numRef>
          </c:yVal>
          <c:smooth val="0"/>
          <c:extLst>
            <c:ext xmlns:c16="http://schemas.microsoft.com/office/drawing/2014/chart" uri="{C3380CC4-5D6E-409C-BE32-E72D297353CC}">
              <c16:uniqueId val="{00000007-028A-4E68-BFB6-4F2BE771EF67}"/>
            </c:ext>
          </c:extLst>
        </c:ser>
        <c:ser>
          <c:idx val="8"/>
          <c:order val="8"/>
          <c:spPr>
            <a:ln w="12700">
              <a:solidFill>
                <a:srgbClr val="000000"/>
              </a:solidFill>
              <a:prstDash val="solid"/>
            </a:ln>
          </c:spPr>
          <c:marker>
            <c:symbol val="dash"/>
            <c:size val="5"/>
            <c:spPr>
              <a:noFill/>
              <a:ln>
                <a:solidFill>
                  <a:srgbClr val="00CCFF"/>
                </a:solidFill>
                <a:prstDash val="solid"/>
              </a:ln>
            </c:spPr>
          </c:marker>
          <c:xVal>
            <c:numRef>
              <c:f>Transform!$R$12:$R$23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Transform!$S$12:$S$23</c:f>
              <c:numCache>
                <c:formatCode>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8-028A-4E68-BFB6-4F2BE771EF67}"/>
            </c:ext>
          </c:extLst>
        </c:ser>
        <c:ser>
          <c:idx val="9"/>
          <c:order val="9"/>
          <c:spPr>
            <a:ln w="12700">
              <a:solidFill>
                <a:srgbClr val="000000"/>
              </a:solidFill>
              <a:prstDash val="solid"/>
            </a:ln>
          </c:spPr>
          <c:marker>
            <c:symbol val="diamond"/>
            <c:size val="5"/>
            <c:spPr>
              <a:solidFill>
                <a:srgbClr val="CCFFFF"/>
              </a:solidFill>
              <a:ln>
                <a:solidFill>
                  <a:srgbClr val="CCFFFF"/>
                </a:solidFill>
                <a:prstDash val="solid"/>
              </a:ln>
            </c:spPr>
          </c:marker>
          <c:xVal>
            <c:numRef>
              <c:f>Transform!$T$12:$T$23</c:f>
              <c:numCache>
                <c:formatCode>0.00</c:formatCode>
                <c:ptCount val="12"/>
                <c:pt idx="0">
                  <c:v>0</c:v>
                </c:pt>
                <c:pt idx="1">
                  <c:v>0.19999999999999998</c:v>
                </c:pt>
                <c:pt idx="2">
                  <c:v>0.39999999999999997</c:v>
                </c:pt>
                <c:pt idx="3">
                  <c:v>0.6</c:v>
                </c:pt>
                <c:pt idx="4">
                  <c:v>0.79999999999999993</c:v>
                </c:pt>
                <c:pt idx="5">
                  <c:v>0.99999999999999989</c:v>
                </c:pt>
                <c:pt idx="6">
                  <c:v>1.2</c:v>
                </c:pt>
                <c:pt idx="7">
                  <c:v>1.4</c:v>
                </c:pt>
                <c:pt idx="8">
                  <c:v>1.5999999999999999</c:v>
                </c:pt>
                <c:pt idx="9">
                  <c:v>1.7999999999999998</c:v>
                </c:pt>
                <c:pt idx="10">
                  <c:v>1.9999999999999998</c:v>
                </c:pt>
                <c:pt idx="11">
                  <c:v>2.1999999999999997</c:v>
                </c:pt>
              </c:numCache>
            </c:numRef>
          </c:xVal>
          <c:yVal>
            <c:numRef>
              <c:f>Transform!$U$12:$U$23</c:f>
              <c:numCache>
                <c:formatCode>0.0000</c:formatCode>
                <c:ptCount val="12"/>
                <c:pt idx="0">
                  <c:v>0.08</c:v>
                </c:pt>
                <c:pt idx="1">
                  <c:v>0.09</c:v>
                </c:pt>
                <c:pt idx="2">
                  <c:v>0.22</c:v>
                </c:pt>
                <c:pt idx="3">
                  <c:v>0.98</c:v>
                </c:pt>
                <c:pt idx="4">
                  <c:v>1.44</c:v>
                </c:pt>
                <c:pt idx="5">
                  <c:v>1.71</c:v>
                </c:pt>
                <c:pt idx="6">
                  <c:v>1.89</c:v>
                </c:pt>
                <c:pt idx="7">
                  <c:v>2.02</c:v>
                </c:pt>
                <c:pt idx="8">
                  <c:v>2.13</c:v>
                </c:pt>
                <c:pt idx="9">
                  <c:v>2.1949999999999998</c:v>
                </c:pt>
                <c:pt idx="10">
                  <c:v>2.2400000000000002</c:v>
                </c:pt>
                <c:pt idx="11">
                  <c:v>2.25</c:v>
                </c:pt>
              </c:numCache>
            </c:numRef>
          </c:yVal>
          <c:smooth val="0"/>
          <c:extLst>
            <c:ext xmlns:c16="http://schemas.microsoft.com/office/drawing/2014/chart" uri="{C3380CC4-5D6E-409C-BE32-E72D297353CC}">
              <c16:uniqueId val="{00000009-028A-4E68-BFB6-4F2BE771EF67}"/>
            </c:ext>
          </c:extLst>
        </c:ser>
        <c:dLbls>
          <c:showLegendKey val="0"/>
          <c:showVal val="0"/>
          <c:showCatName val="0"/>
          <c:showSerName val="0"/>
          <c:showPercent val="0"/>
          <c:showBubbleSize val="0"/>
        </c:dLbls>
        <c:axId val="1924583999"/>
        <c:axId val="1"/>
      </c:scatterChart>
      <c:valAx>
        <c:axId val="1924583999"/>
        <c:scaling>
          <c:orientation val="minMax"/>
        </c:scaling>
        <c:delete val="0"/>
        <c:axPos val="b"/>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
        <c:crosses val="autoZero"/>
        <c:crossBetween val="midCat"/>
        <c:majorUnit val="1"/>
      </c:valAx>
      <c:valAx>
        <c:axId val="1"/>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924583999"/>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GB"/>
              <a:t>TRANSFORMED HULL AFTBODY</a:t>
            </a:r>
          </a:p>
        </c:rich>
      </c:tx>
      <c:layout>
        <c:manualLayout>
          <c:xMode val="edge"/>
          <c:yMode val="edge"/>
          <c:x val="0.34338420049100271"/>
          <c:y val="2.8765720409194357E-2"/>
        </c:manualLayout>
      </c:layout>
      <c:overlay val="0"/>
      <c:spPr>
        <a:noFill/>
        <a:ln w="25400">
          <a:noFill/>
        </a:ln>
      </c:spPr>
    </c:title>
    <c:autoTitleDeleted val="0"/>
    <c:plotArea>
      <c:layout>
        <c:manualLayout>
          <c:layoutTarget val="inner"/>
          <c:xMode val="edge"/>
          <c:yMode val="edge"/>
          <c:x val="6.5062269566716305E-2"/>
          <c:y val="8.9681363628664759E-2"/>
          <c:w val="0.88918435074512281"/>
          <c:h val="0.82236118346285036"/>
        </c:manualLayout>
      </c:layout>
      <c:scatterChart>
        <c:scatterStyle val="lineMarker"/>
        <c:varyColors val="0"/>
        <c:ser>
          <c:idx val="0"/>
          <c:order val="0"/>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Transform!$C$116:$C$140</c:f>
              <c:numCache>
                <c:formatCode>0.000</c:formatCode>
                <c:ptCount val="25"/>
                <c:pt idx="0">
                  <c:v>0</c:v>
                </c:pt>
                <c:pt idx="1">
                  <c:v>7.029973018428768E-5</c:v>
                </c:pt>
                <c:pt idx="2">
                  <c:v>4.5504712752921032E-5</c:v>
                </c:pt>
                <c:pt idx="3">
                  <c:v>-1.4106137723678369E-4</c:v>
                </c:pt>
                <c:pt idx="4">
                  <c:v>-2.2798392806550562E-4</c:v>
                </c:pt>
                <c:pt idx="5">
                  <c:v>2.4217213094836044E-4</c:v>
                </c:pt>
                <c:pt idx="6">
                  <c:v>8.7922103124886799E-4</c:v>
                </c:pt>
                <c:pt idx="7">
                  <c:v>-1.2853343955949198E-5</c:v>
                </c:pt>
                <c:pt idx="8">
                  <c:v>-2.7898378512786147E-3</c:v>
                </c:pt>
                <c:pt idx="9">
                  <c:v>-2.1021131540446339E-3</c:v>
                </c:pt>
                <c:pt idx="10">
                  <c:v>7.1694604561595718E-3</c:v>
                </c:pt>
                <c:pt idx="11">
                  <c:v>1.1680515670158336E-2</c:v>
                </c:pt>
                <c:pt idx="12">
                  <c:v>-1.2630328656244501E-2</c:v>
                </c:pt>
                <c:pt idx="13">
                  <c:v>-3.6465633667342699E-2</c:v>
                </c:pt>
                <c:pt idx="14">
                  <c:v>5.0148701194707324E-2</c:v>
                </c:pt>
                <c:pt idx="15">
                  <c:v>0.28950035972523919</c:v>
                </c:pt>
                <c:pt idx="16">
                  <c:v>0.5464335815806014</c:v>
                </c:pt>
                <c:pt idx="17">
                  <c:v>0.73594359476941318</c:v>
                </c:pt>
                <c:pt idx="18">
                  <c:v>0.85776492672294224</c:v>
                </c:pt>
                <c:pt idx="19">
                  <c:v>0.93673619068555969</c:v>
                </c:pt>
                <c:pt idx="20">
                  <c:v>1.0010930174716755</c:v>
                </c:pt>
                <c:pt idx="21">
                  <c:v>1.058531146599049</c:v>
                </c:pt>
                <c:pt idx="22">
                  <c:v>1.1077937191147369</c:v>
                </c:pt>
                <c:pt idx="23">
                  <c:v>1.142052531923293</c:v>
                </c:pt>
                <c:pt idx="24">
                  <c:v>1.1654054054054053</c:v>
                </c:pt>
              </c:numCache>
            </c:numRef>
          </c:yVal>
          <c:smooth val="0"/>
          <c:extLst>
            <c:ext xmlns:c16="http://schemas.microsoft.com/office/drawing/2014/chart" uri="{C3380CC4-5D6E-409C-BE32-E72D297353CC}">
              <c16:uniqueId val="{00000000-9340-4E92-A404-AEEB99896958}"/>
            </c:ext>
          </c:extLst>
        </c:ser>
        <c:ser>
          <c:idx val="1"/>
          <c:order val="1"/>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Transform!$D$116:$D$140</c:f>
              <c:numCache>
                <c:formatCode>0.000</c:formatCode>
                <c:ptCount val="25"/>
                <c:pt idx="0">
                  <c:v>-2.3293446324389832E-19</c:v>
                </c:pt>
                <c:pt idx="1">
                  <c:v>3.1061674659347622E-4</c:v>
                </c:pt>
                <c:pt idx="2">
                  <c:v>5.8324348922286002E-5</c:v>
                </c:pt>
                <c:pt idx="3">
                  <c:v>-8.873256491634127E-4</c:v>
                </c:pt>
                <c:pt idx="4">
                  <c:v>-4.8061538914967369E-4</c:v>
                </c:pt>
                <c:pt idx="5">
                  <c:v>2.9130516895191352E-3</c:v>
                </c:pt>
                <c:pt idx="6">
                  <c:v>2.8706344946735829E-3</c:v>
                </c:pt>
                <c:pt idx="7">
                  <c:v>-8.6793371289104783E-3</c:v>
                </c:pt>
                <c:pt idx="8">
                  <c:v>-1.402516710642302E-2</c:v>
                </c:pt>
                <c:pt idx="9">
                  <c:v>2.2190685555769828E-2</c:v>
                </c:pt>
                <c:pt idx="10">
                  <c:v>0.11437295508818891</c:v>
                </c:pt>
                <c:pt idx="11">
                  <c:v>0.25039409936511581</c:v>
                </c:pt>
                <c:pt idx="12">
                  <c:v>0.41764632232671378</c:v>
                </c:pt>
                <c:pt idx="13">
                  <c:v>0.60651139632638207</c:v>
                </c:pt>
                <c:pt idx="14">
                  <c:v>0.80169856586350541</c:v>
                </c:pt>
                <c:pt idx="15">
                  <c:v>0.96408870766079757</c:v>
                </c:pt>
                <c:pt idx="16">
                  <c:v>1.0759412881473818</c:v>
                </c:pt>
                <c:pt idx="17">
                  <c:v>1.1662712546744378</c:v>
                </c:pt>
                <c:pt idx="18">
                  <c:v>1.2449924192510873</c:v>
                </c:pt>
                <c:pt idx="19">
                  <c:v>1.3012697249408851</c:v>
                </c:pt>
                <c:pt idx="20">
                  <c:v>1.3415006802940972</c:v>
                </c:pt>
                <c:pt idx="21">
                  <c:v>1.3797756117111595</c:v>
                </c:pt>
                <c:pt idx="22">
                  <c:v>1.413716132023471</c:v>
                </c:pt>
                <c:pt idx="23">
                  <c:v>1.4368122846494424</c:v>
                </c:pt>
                <c:pt idx="24">
                  <c:v>1.452972972972973</c:v>
                </c:pt>
              </c:numCache>
            </c:numRef>
          </c:yVal>
          <c:smooth val="0"/>
          <c:extLst>
            <c:ext xmlns:c16="http://schemas.microsoft.com/office/drawing/2014/chart" uri="{C3380CC4-5D6E-409C-BE32-E72D297353CC}">
              <c16:uniqueId val="{00000001-9340-4E92-A404-AEEB99896958}"/>
            </c:ext>
          </c:extLst>
        </c:ser>
        <c:ser>
          <c:idx val="2"/>
          <c:order val="2"/>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Transform!$E$116:$E$140</c:f>
              <c:numCache>
                <c:formatCode>0.000</c:formatCode>
                <c:ptCount val="25"/>
                <c:pt idx="0">
                  <c:v>1.3077022497903044E-18</c:v>
                </c:pt>
                <c:pt idx="1">
                  <c:v>3.9757065496441238E-4</c:v>
                </c:pt>
                <c:pt idx="2">
                  <c:v>-1.8936446786681414E-4</c:v>
                </c:pt>
                <c:pt idx="3">
                  <c:v>-1.3270633097472095E-3</c:v>
                </c:pt>
                <c:pt idx="4">
                  <c:v>1.0718668149196713E-3</c:v>
                </c:pt>
                <c:pt idx="5">
                  <c:v>1.6723413614413898E-2</c:v>
                </c:pt>
                <c:pt idx="6">
                  <c:v>6.6092374718647331E-2</c:v>
                </c:pt>
                <c:pt idx="7">
                  <c:v>0.16252514340687821</c:v>
                </c:pt>
                <c:pt idx="8">
                  <c:v>0.29998870387939591</c:v>
                </c:pt>
                <c:pt idx="9">
                  <c:v>0.46723838657510897</c:v>
                </c:pt>
                <c:pt idx="10">
                  <c:v>0.64508977701800796</c:v>
                </c:pt>
                <c:pt idx="11">
                  <c:v>0.81440742044805114</c:v>
                </c:pt>
                <c:pt idx="12">
                  <c:v>0.96525222983194181</c:v>
                </c:pt>
                <c:pt idx="13">
                  <c:v>1.0919178111759666</c:v>
                </c:pt>
                <c:pt idx="14">
                  <c:v>1.197009154300372</c:v>
                </c:pt>
                <c:pt idx="15">
                  <c:v>1.2860541204841589</c:v>
                </c:pt>
                <c:pt idx="16">
                  <c:v>1.3595479895685461</c:v>
                </c:pt>
                <c:pt idx="17">
                  <c:v>1.4179960312556439</c:v>
                </c:pt>
                <c:pt idx="18">
                  <c:v>1.4647421334507411</c:v>
                </c:pt>
                <c:pt idx="19">
                  <c:v>1.5034427000115183</c:v>
                </c:pt>
                <c:pt idx="20">
                  <c:v>1.5375708662929679</c:v>
                </c:pt>
                <c:pt idx="21">
                  <c:v>1.5683665400004321</c:v>
                </c:pt>
                <c:pt idx="22">
                  <c:v>1.592993461444371</c:v>
                </c:pt>
                <c:pt idx="23">
                  <c:v>1.6101546537699771</c:v>
                </c:pt>
                <c:pt idx="24">
                  <c:v>1.6232432432432431</c:v>
                </c:pt>
              </c:numCache>
            </c:numRef>
          </c:yVal>
          <c:smooth val="0"/>
          <c:extLst>
            <c:ext xmlns:c16="http://schemas.microsoft.com/office/drawing/2014/chart" uri="{C3380CC4-5D6E-409C-BE32-E72D297353CC}">
              <c16:uniqueId val="{00000002-9340-4E92-A404-AEEB99896958}"/>
            </c:ext>
          </c:extLst>
        </c:ser>
        <c:ser>
          <c:idx val="3"/>
          <c:order val="3"/>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Transform!$F$116:$F$140</c:f>
              <c:numCache>
                <c:formatCode>0.000</c:formatCode>
                <c:ptCount val="25"/>
                <c:pt idx="0">
                  <c:v>0</c:v>
                </c:pt>
                <c:pt idx="1">
                  <c:v>-5.4460663919468424E-3</c:v>
                </c:pt>
                <c:pt idx="2">
                  <c:v>8.0324163214880902E-3</c:v>
                </c:pt>
                <c:pt idx="3">
                  <c:v>5.0286595397915627E-2</c:v>
                </c:pt>
                <c:pt idx="4">
                  <c:v>0.11863826901878188</c:v>
                </c:pt>
                <c:pt idx="5">
                  <c:v>0.22216267313616767</c:v>
                </c:pt>
                <c:pt idx="6">
                  <c:v>0.37704805461013574</c:v>
                </c:pt>
                <c:pt idx="7">
                  <c:v>0.56497843559443728</c:v>
                </c:pt>
                <c:pt idx="8">
                  <c:v>0.74812870495929495</c:v>
                </c:pt>
                <c:pt idx="9">
                  <c:v>0.90876399517449113</c:v>
                </c:pt>
                <c:pt idx="10">
                  <c:v>1.0426482490282609</c:v>
                </c:pt>
                <c:pt idx="11">
                  <c:v>1.1529625243774431</c:v>
                </c:pt>
                <c:pt idx="12">
                  <c:v>1.249497836949631</c:v>
                </c:pt>
                <c:pt idx="13">
                  <c:v>1.3356798991602574</c:v>
                </c:pt>
                <c:pt idx="14">
                  <c:v>1.4070521296679266</c:v>
                </c:pt>
                <c:pt idx="15">
                  <c:v>1.4642239409749496</c:v>
                </c:pt>
                <c:pt idx="16">
                  <c:v>1.5113080306192914</c:v>
                </c:pt>
                <c:pt idx="17">
                  <c:v>1.550675922941656</c:v>
                </c:pt>
                <c:pt idx="18">
                  <c:v>1.5837195342665706</c:v>
                </c:pt>
                <c:pt idx="19">
                  <c:v>1.6109573071489414</c:v>
                </c:pt>
                <c:pt idx="20">
                  <c:v>1.6325220604536403</c:v>
                </c:pt>
                <c:pt idx="21">
                  <c:v>1.6490833155968903</c:v>
                </c:pt>
                <c:pt idx="22">
                  <c:v>1.6616918909664906</c:v>
                </c:pt>
                <c:pt idx="23">
                  <c:v>1.6715394827410417</c:v>
                </c:pt>
                <c:pt idx="24">
                  <c:v>1.68</c:v>
                </c:pt>
              </c:numCache>
            </c:numRef>
          </c:yVal>
          <c:smooth val="0"/>
          <c:extLst>
            <c:ext xmlns:c16="http://schemas.microsoft.com/office/drawing/2014/chart" uri="{C3380CC4-5D6E-409C-BE32-E72D297353CC}">
              <c16:uniqueId val="{00000003-9340-4E92-A404-AEEB99896958}"/>
            </c:ext>
          </c:extLst>
        </c:ser>
        <c:ser>
          <c:idx val="4"/>
          <c:order val="4"/>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Transform!$G$116:$G$140</c:f>
              <c:numCache>
                <c:formatCode>0.000</c:formatCode>
                <c:ptCount val="25"/>
                <c:pt idx="0">
                  <c:v>0</c:v>
                </c:pt>
                <c:pt idx="1">
                  <c:v>4.1675724515099224E-2</c:v>
                </c:pt>
                <c:pt idx="2">
                  <c:v>6.9998678635844927E-2</c:v>
                </c:pt>
                <c:pt idx="3">
                  <c:v>0.12566762277574772</c:v>
                </c:pt>
                <c:pt idx="4">
                  <c:v>0.27944134556272426</c:v>
                </c:pt>
                <c:pt idx="5">
                  <c:v>0.49487877889576848</c:v>
                </c:pt>
                <c:pt idx="6">
                  <c:v>0.71088163073820609</c:v>
                </c:pt>
                <c:pt idx="7">
                  <c:v>0.90064350640877089</c:v>
                </c:pt>
                <c:pt idx="8">
                  <c:v>1.0507934052760441</c:v>
                </c:pt>
                <c:pt idx="9">
                  <c:v>1.1656610923784725</c:v>
                </c:pt>
                <c:pt idx="10">
                  <c:v>1.2540384688125663</c:v>
                </c:pt>
                <c:pt idx="11">
                  <c:v>1.3306388926610788</c:v>
                </c:pt>
                <c:pt idx="12">
                  <c:v>1.4065893888808565</c:v>
                </c:pt>
                <c:pt idx="13">
                  <c:v>1.4730563377671984</c:v>
                </c:pt>
                <c:pt idx="14">
                  <c:v>1.5225478746516619</c:v>
                </c:pt>
                <c:pt idx="15">
                  <c:v>1.5618287280454619</c:v>
                </c:pt>
                <c:pt idx="16">
                  <c:v>1.5961031035079882</c:v>
                </c:pt>
                <c:pt idx="17">
                  <c:v>1.624453077748808</c:v>
                </c:pt>
                <c:pt idx="18">
                  <c:v>1.6464327760672339</c:v>
                </c:pt>
                <c:pt idx="19">
                  <c:v>1.6640995711095043</c:v>
                </c:pt>
                <c:pt idx="20">
                  <c:v>1.6792911166414435</c:v>
                </c:pt>
                <c:pt idx="21">
                  <c:v>1.6912471617352147</c:v>
                </c:pt>
                <c:pt idx="22">
                  <c:v>1.6985629265584556</c:v>
                </c:pt>
                <c:pt idx="23">
                  <c:v>1.7016926735359503</c:v>
                </c:pt>
                <c:pt idx="24">
                  <c:v>1.7027027027027026</c:v>
                </c:pt>
              </c:numCache>
            </c:numRef>
          </c:yVal>
          <c:smooth val="0"/>
          <c:extLst>
            <c:ext xmlns:c16="http://schemas.microsoft.com/office/drawing/2014/chart" uri="{C3380CC4-5D6E-409C-BE32-E72D297353CC}">
              <c16:uniqueId val="{00000004-9340-4E92-A404-AEEB99896958}"/>
            </c:ext>
          </c:extLst>
        </c:ser>
        <c:ser>
          <c:idx val="5"/>
          <c:order val="5"/>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Transform!$H$116:$H$140</c:f>
              <c:numCache>
                <c:formatCode>0.000</c:formatCode>
                <c:ptCount val="25"/>
                <c:pt idx="0">
                  <c:v>6.0540540540540533E-2</c:v>
                </c:pt>
                <c:pt idx="1">
                  <c:v>6.4790346219262746E-2</c:v>
                </c:pt>
                <c:pt idx="2">
                  <c:v>8.5690606001584665E-2</c:v>
                </c:pt>
                <c:pt idx="3">
                  <c:v>0.19573964371753436</c:v>
                </c:pt>
                <c:pt idx="4">
                  <c:v>0.44126856955001215</c:v>
                </c:pt>
                <c:pt idx="5">
                  <c:v>0.72107362584788315</c:v>
                </c:pt>
                <c:pt idx="6">
                  <c:v>0.95593256943324056</c:v>
                </c:pt>
                <c:pt idx="7">
                  <c:v>1.1162830497202489</c:v>
                </c:pt>
                <c:pt idx="8">
                  <c:v>1.213948364925759</c:v>
                </c:pt>
                <c:pt idx="9">
                  <c:v>1.2893532949748689</c:v>
                </c:pt>
                <c:pt idx="10">
                  <c:v>1.3620909921736852</c:v>
                </c:pt>
                <c:pt idx="11">
                  <c:v>1.4325478607304249</c:v>
                </c:pt>
                <c:pt idx="12">
                  <c:v>1.496138741707306</c:v>
                </c:pt>
                <c:pt idx="13">
                  <c:v>1.5445503490775974</c:v>
                </c:pt>
                <c:pt idx="14">
                  <c:v>1.5800482473610737</c:v>
                </c:pt>
                <c:pt idx="15">
                  <c:v>1.6109453865838539</c:v>
                </c:pt>
                <c:pt idx="16">
                  <c:v>1.6388883925512412</c:v>
                </c:pt>
                <c:pt idx="17">
                  <c:v>1.6617166227795439</c:v>
                </c:pt>
                <c:pt idx="18">
                  <c:v>1.6785221231054797</c:v>
                </c:pt>
                <c:pt idx="19">
                  <c:v>1.6895174613135941</c:v>
                </c:pt>
                <c:pt idx="20">
                  <c:v>1.6954901977598911</c:v>
                </c:pt>
                <c:pt idx="21">
                  <c:v>1.6983593348149291</c:v>
                </c:pt>
                <c:pt idx="22">
                  <c:v>1.7000767462503339</c:v>
                </c:pt>
                <c:pt idx="23">
                  <c:v>1.701468938001935</c:v>
                </c:pt>
                <c:pt idx="24">
                  <c:v>1.7027027027027026</c:v>
                </c:pt>
              </c:numCache>
            </c:numRef>
          </c:yVal>
          <c:smooth val="0"/>
          <c:extLst>
            <c:ext xmlns:c16="http://schemas.microsoft.com/office/drawing/2014/chart" uri="{C3380CC4-5D6E-409C-BE32-E72D297353CC}">
              <c16:uniqueId val="{00000005-9340-4E92-A404-AEEB99896958}"/>
            </c:ext>
          </c:extLst>
        </c:ser>
        <c:ser>
          <c:idx val="6"/>
          <c:order val="6"/>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Transform!$I$116:$I$140</c:f>
              <c:numCache>
                <c:formatCode>0.000</c:formatCode>
                <c:ptCount val="25"/>
                <c:pt idx="0">
                  <c:v>6.0540540540540526E-2</c:v>
                </c:pt>
                <c:pt idx="1">
                  <c:v>6.8138131398385843E-2</c:v>
                </c:pt>
                <c:pt idx="2">
                  <c:v>8.18322262182892E-2</c:v>
                </c:pt>
                <c:pt idx="3">
                  <c:v>0.27815775832931777</c:v>
                </c:pt>
                <c:pt idx="4">
                  <c:v>0.66224710264727127</c:v>
                </c:pt>
                <c:pt idx="5">
                  <c:v>0.93954429548007412</c:v>
                </c:pt>
                <c:pt idx="6">
                  <c:v>1.0846019126938546</c:v>
                </c:pt>
                <c:pt idx="7">
                  <c:v>1.195006169876879</c:v>
                </c:pt>
                <c:pt idx="8">
                  <c:v>1.288476222454751</c:v>
                </c:pt>
                <c:pt idx="9">
                  <c:v>1.3618386883276088</c:v>
                </c:pt>
                <c:pt idx="10">
                  <c:v>1.4223715973842723</c:v>
                </c:pt>
                <c:pt idx="11">
                  <c:v>1.4790653358321899</c:v>
                </c:pt>
                <c:pt idx="12">
                  <c:v>1.5318957455821061</c:v>
                </c:pt>
                <c:pt idx="13">
                  <c:v>1.5776592564219043</c:v>
                </c:pt>
                <c:pt idx="14">
                  <c:v>1.6138151042261961</c:v>
                </c:pt>
                <c:pt idx="15">
                  <c:v>1.6394422336209395</c:v>
                </c:pt>
                <c:pt idx="16">
                  <c:v>1.6585431138736362</c:v>
                </c:pt>
                <c:pt idx="17">
                  <c:v>1.6753724617052372</c:v>
                </c:pt>
                <c:pt idx="18">
                  <c:v>1.6893990214124481</c:v>
                </c:pt>
                <c:pt idx="19">
                  <c:v>1.6983221379551012</c:v>
                </c:pt>
                <c:pt idx="20">
                  <c:v>1.7019774265078191</c:v>
                </c:pt>
                <c:pt idx="21">
                  <c:v>1.7026949491072674</c:v>
                </c:pt>
                <c:pt idx="22">
                  <c:v>1.7027168150863137</c:v>
                </c:pt>
                <c:pt idx="23">
                  <c:v>1.7027150902693178</c:v>
                </c:pt>
                <c:pt idx="24">
                  <c:v>1.7027027027027026</c:v>
                </c:pt>
              </c:numCache>
            </c:numRef>
          </c:yVal>
          <c:smooth val="0"/>
          <c:extLst>
            <c:ext xmlns:c16="http://schemas.microsoft.com/office/drawing/2014/chart" uri="{C3380CC4-5D6E-409C-BE32-E72D297353CC}">
              <c16:uniqueId val="{00000006-9340-4E92-A404-AEEB99896958}"/>
            </c:ext>
          </c:extLst>
        </c:ser>
        <c:ser>
          <c:idx val="7"/>
          <c:order val="7"/>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Transform!$J$116:$J$140</c:f>
              <c:numCache>
                <c:formatCode>0.000</c:formatCode>
                <c:ptCount val="25"/>
                <c:pt idx="0">
                  <c:v>6.0540540540540533E-2</c:v>
                </c:pt>
                <c:pt idx="1">
                  <c:v>6.8078919649115929E-2</c:v>
                </c:pt>
                <c:pt idx="2">
                  <c:v>9.4436556234972061E-2</c:v>
                </c:pt>
                <c:pt idx="3">
                  <c:v>0.34654473172219846</c:v>
                </c:pt>
                <c:pt idx="4">
                  <c:v>0.74351070066726566</c:v>
                </c:pt>
                <c:pt idx="5">
                  <c:v>0.98582148937437197</c:v>
                </c:pt>
                <c:pt idx="6">
                  <c:v>1.1164388120973254</c:v>
                </c:pt>
                <c:pt idx="7">
                  <c:v>1.2239600083745943</c:v>
                </c:pt>
                <c:pt idx="8">
                  <c:v>1.3125900187038488</c:v>
                </c:pt>
                <c:pt idx="9">
                  <c:v>1.3813726887437048</c:v>
                </c:pt>
                <c:pt idx="10">
                  <c:v>1.4399999375657624</c:v>
                </c:pt>
                <c:pt idx="11">
                  <c:v>1.4956558683427628</c:v>
                </c:pt>
                <c:pt idx="12">
                  <c:v>1.5462905645276528</c:v>
                </c:pt>
                <c:pt idx="13">
                  <c:v>1.5889894932120485</c:v>
                </c:pt>
                <c:pt idx="14">
                  <c:v>1.6216105830651539</c:v>
                </c:pt>
                <c:pt idx="15">
                  <c:v>1.6446390332703236</c:v>
                </c:pt>
                <c:pt idx="16">
                  <c:v>1.6625200408342349</c:v>
                </c:pt>
                <c:pt idx="17">
                  <c:v>1.678555491314883</c:v>
                </c:pt>
                <c:pt idx="18">
                  <c:v>1.691449086702266</c:v>
                </c:pt>
                <c:pt idx="19">
                  <c:v>1.6991858568680593</c:v>
                </c:pt>
                <c:pt idx="20">
                  <c:v>1.7021894091722025</c:v>
                </c:pt>
                <c:pt idx="21">
                  <c:v>1.7027009547042402</c:v>
                </c:pt>
                <c:pt idx="22">
                  <c:v>1.7027121122151652</c:v>
                </c:pt>
                <c:pt idx="23">
                  <c:v>1.7027105368475506</c:v>
                </c:pt>
                <c:pt idx="24">
                  <c:v>1.7027027027027026</c:v>
                </c:pt>
              </c:numCache>
            </c:numRef>
          </c:yVal>
          <c:smooth val="0"/>
          <c:extLst>
            <c:ext xmlns:c16="http://schemas.microsoft.com/office/drawing/2014/chart" uri="{C3380CC4-5D6E-409C-BE32-E72D297353CC}">
              <c16:uniqueId val="{00000007-9340-4E92-A404-AEEB99896958}"/>
            </c:ext>
          </c:extLst>
        </c:ser>
        <c:ser>
          <c:idx val="8"/>
          <c:order val="8"/>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Transform!$K$116:$K$140</c:f>
              <c:numCache>
                <c:formatCode>0.000</c:formatCode>
                <c:ptCount val="25"/>
                <c:pt idx="0">
                  <c:v>6.0540540540540533E-2</c:v>
                </c:pt>
                <c:pt idx="1">
                  <c:v>6.8078261599640949E-2</c:v>
                </c:pt>
                <c:pt idx="2">
                  <c:v>0.10749448811764979</c:v>
                </c:pt>
                <c:pt idx="3">
                  <c:v>0.40244371973608384</c:v>
                </c:pt>
                <c:pt idx="4">
                  <c:v>0.79799440539475264</c:v>
                </c:pt>
                <c:pt idx="5">
                  <c:v>1.0153927604163706</c:v>
                </c:pt>
                <c:pt idx="6">
                  <c:v>1.1389858130574113</c:v>
                </c:pt>
                <c:pt idx="7">
                  <c:v>1.2441685838085339</c:v>
                </c:pt>
                <c:pt idx="8">
                  <c:v>1.328942784606437</c:v>
                </c:pt>
                <c:pt idx="9">
                  <c:v>1.3947835246752427</c:v>
                </c:pt>
                <c:pt idx="10">
                  <c:v>1.4524423691242039</c:v>
                </c:pt>
                <c:pt idx="11">
                  <c:v>1.5071225454420085</c:v>
                </c:pt>
                <c:pt idx="12">
                  <c:v>1.5559786884783198</c:v>
                </c:pt>
                <c:pt idx="13">
                  <c:v>1.5963988739684425</c:v>
                </c:pt>
                <c:pt idx="14">
                  <c:v>1.6265848587658764</c:v>
                </c:pt>
                <c:pt idx="15">
                  <c:v>1.6480282618426265</c:v>
                </c:pt>
                <c:pt idx="16">
                  <c:v>1.6652198576111499</c:v>
                </c:pt>
                <c:pt idx="17">
                  <c:v>1.6806574682822875</c:v>
                </c:pt>
                <c:pt idx="18">
                  <c:v>1.6927479189293129</c:v>
                </c:pt>
                <c:pt idx="19">
                  <c:v>1.6997067683992533</c:v>
                </c:pt>
                <c:pt idx="20">
                  <c:v>1.7023084224415455</c:v>
                </c:pt>
                <c:pt idx="21">
                  <c:v>1.7027025304928958</c:v>
                </c:pt>
                <c:pt idx="22">
                  <c:v>1.7027086812607559</c:v>
                </c:pt>
                <c:pt idx="23">
                  <c:v>1.7027075197168657</c:v>
                </c:pt>
                <c:pt idx="24">
                  <c:v>1.7027027027027026</c:v>
                </c:pt>
              </c:numCache>
            </c:numRef>
          </c:yVal>
          <c:smooth val="0"/>
          <c:extLst>
            <c:ext xmlns:c16="http://schemas.microsoft.com/office/drawing/2014/chart" uri="{C3380CC4-5D6E-409C-BE32-E72D297353CC}">
              <c16:uniqueId val="{00000008-9340-4E92-A404-AEEB99896958}"/>
            </c:ext>
          </c:extLst>
        </c:ser>
        <c:ser>
          <c:idx val="9"/>
          <c:order val="9"/>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Transform!$L$116:$L$140</c:f>
              <c:numCache>
                <c:formatCode>0.000</c:formatCode>
                <c:ptCount val="25"/>
                <c:pt idx="0">
                  <c:v>6.0540540540540533E-2</c:v>
                </c:pt>
                <c:pt idx="1">
                  <c:v>6.8106169683771034E-2</c:v>
                </c:pt>
                <c:pt idx="2">
                  <c:v>0.11742672452863331</c:v>
                </c:pt>
                <c:pt idx="3">
                  <c:v>0.43862216627486889</c:v>
                </c:pt>
                <c:pt idx="4">
                  <c:v>0.8288489942985563</c:v>
                </c:pt>
                <c:pt idx="5">
                  <c:v>1.0318702834087272</c:v>
                </c:pt>
                <c:pt idx="6">
                  <c:v>1.1524260379820059</c:v>
                </c:pt>
                <c:pt idx="7">
                  <c:v>1.2560647473514741</c:v>
                </c:pt>
                <c:pt idx="8">
                  <c:v>1.3384159900269608</c:v>
                </c:pt>
                <c:pt idx="9">
                  <c:v>1.4026427591084263</c:v>
                </c:pt>
                <c:pt idx="10">
                  <c:v>1.4598266500665724</c:v>
                </c:pt>
                <c:pt idx="11">
                  <c:v>1.5138270748391547</c:v>
                </c:pt>
                <c:pt idx="12">
                  <c:v>1.5615439799008672</c:v>
                </c:pt>
                <c:pt idx="13">
                  <c:v>1.600572222845021</c:v>
                </c:pt>
                <c:pt idx="14">
                  <c:v>1.6293592181150716</c:v>
                </c:pt>
                <c:pt idx="15">
                  <c:v>1.6499512847444529</c:v>
                </c:pt>
                <c:pt idx="16">
                  <c:v>1.6667827123476635</c:v>
                </c:pt>
                <c:pt idx="17">
                  <c:v>1.68185174538767</c:v>
                </c:pt>
                <c:pt idx="18">
                  <c:v>1.6934644741835476</c:v>
                </c:pt>
                <c:pt idx="19">
                  <c:v>1.6999857323992118</c:v>
                </c:pt>
                <c:pt idx="20">
                  <c:v>1.7023688599785687</c:v>
                </c:pt>
                <c:pt idx="21">
                  <c:v>1.702702872146721</c:v>
                </c:pt>
                <c:pt idx="22">
                  <c:v>1.7027066156045634</c:v>
                </c:pt>
                <c:pt idx="23">
                  <c:v>1.7027057991353876</c:v>
                </c:pt>
                <c:pt idx="24">
                  <c:v>1.7027027027027026</c:v>
                </c:pt>
              </c:numCache>
            </c:numRef>
          </c:yVal>
          <c:smooth val="0"/>
          <c:extLst>
            <c:ext xmlns:c16="http://schemas.microsoft.com/office/drawing/2014/chart" uri="{C3380CC4-5D6E-409C-BE32-E72D297353CC}">
              <c16:uniqueId val="{00000009-9340-4E92-A404-AEEB99896958}"/>
            </c:ext>
          </c:extLst>
        </c:ser>
        <c:ser>
          <c:idx val="10"/>
          <c:order val="10"/>
          <c:spPr>
            <a:ln w="12700">
              <a:solidFill>
                <a:srgbClr val="000000"/>
              </a:solidFill>
              <a:prstDash val="solid"/>
            </a:ln>
          </c:spPr>
          <c:marker>
            <c:symbol val="none"/>
          </c:marker>
          <c:xVal>
            <c:numRef>
              <c:f>Transform!$B$116:$B$140</c:f>
              <c:numCache>
                <c:formatCode>0.000</c:formatCode>
                <c:ptCount val="25"/>
                <c:pt idx="0">
                  <c:v>0</c:v>
                </c:pt>
                <c:pt idx="1">
                  <c:v>7.2916666666666671E-2</c:v>
                </c:pt>
                <c:pt idx="2">
                  <c:v>0.14583333333333334</c:v>
                </c:pt>
                <c:pt idx="3">
                  <c:v>0.21875</c:v>
                </c:pt>
                <c:pt idx="4">
                  <c:v>0.29166666666666669</c:v>
                </c:pt>
                <c:pt idx="5">
                  <c:v>0.36458333333333331</c:v>
                </c:pt>
                <c:pt idx="6">
                  <c:v>0.4375</c:v>
                </c:pt>
                <c:pt idx="7">
                  <c:v>0.51041666666666663</c:v>
                </c:pt>
                <c:pt idx="8">
                  <c:v>0.58333333333333337</c:v>
                </c:pt>
                <c:pt idx="9">
                  <c:v>0.65625</c:v>
                </c:pt>
                <c:pt idx="10">
                  <c:v>0.72916666666666663</c:v>
                </c:pt>
                <c:pt idx="11">
                  <c:v>0.80208333333333337</c:v>
                </c:pt>
                <c:pt idx="12">
                  <c:v>0.875</c:v>
                </c:pt>
                <c:pt idx="13">
                  <c:v>0.94791666666666663</c:v>
                </c:pt>
                <c:pt idx="14">
                  <c:v>1.0208333333333333</c:v>
                </c:pt>
                <c:pt idx="15">
                  <c:v>1.09375</c:v>
                </c:pt>
                <c:pt idx="16">
                  <c:v>1.1666666666666667</c:v>
                </c:pt>
                <c:pt idx="17">
                  <c:v>1.2395833333333333</c:v>
                </c:pt>
                <c:pt idx="18">
                  <c:v>1.3125</c:v>
                </c:pt>
                <c:pt idx="19">
                  <c:v>1.3854166666666667</c:v>
                </c:pt>
                <c:pt idx="20">
                  <c:v>1.4583333333333333</c:v>
                </c:pt>
                <c:pt idx="21">
                  <c:v>1.53125</c:v>
                </c:pt>
                <c:pt idx="22">
                  <c:v>1.6041666666666667</c:v>
                </c:pt>
                <c:pt idx="23">
                  <c:v>1.6770833333333333</c:v>
                </c:pt>
                <c:pt idx="24">
                  <c:v>1.75</c:v>
                </c:pt>
              </c:numCache>
            </c:numRef>
          </c:xVal>
          <c:yVal>
            <c:numRef>
              <c:f>Transform!$M$116:$M$140</c:f>
              <c:numCache>
                <c:formatCode>0.000</c:formatCode>
                <c:ptCount val="25"/>
                <c:pt idx="0">
                  <c:v>6.0540540540540533E-2</c:v>
                </c:pt>
                <c:pt idx="1">
                  <c:v>6.8121904317421697E-2</c:v>
                </c:pt>
                <c:pt idx="2">
                  <c:v>0.12114502243749126</c:v>
                </c:pt>
                <c:pt idx="3">
                  <c:v>0.4510917941647451</c:v>
                </c:pt>
                <c:pt idx="4">
                  <c:v>0.8388137482582545</c:v>
                </c:pt>
                <c:pt idx="5">
                  <c:v>1.0371723138628222</c:v>
                </c:pt>
                <c:pt idx="6">
                  <c:v>1.1568901428698595</c:v>
                </c:pt>
                <c:pt idx="7">
                  <c:v>1.2599870577656005</c:v>
                </c:pt>
                <c:pt idx="8">
                  <c:v>1.3415185931317146</c:v>
                </c:pt>
                <c:pt idx="9">
                  <c:v>1.4052347776661305</c:v>
                </c:pt>
                <c:pt idx="10">
                  <c:v>1.4622722974392979</c:v>
                </c:pt>
                <c:pt idx="11">
                  <c:v>1.51603050527974</c:v>
                </c:pt>
                <c:pt idx="12">
                  <c:v>1.5633570817906712</c:v>
                </c:pt>
                <c:pt idx="13">
                  <c:v>1.6019182739164242</c:v>
                </c:pt>
                <c:pt idx="14">
                  <c:v>1.6302514995243331</c:v>
                </c:pt>
                <c:pt idx="15">
                  <c:v>1.6505755798027735</c:v>
                </c:pt>
                <c:pt idx="16">
                  <c:v>1.6672940472507658</c:v>
                </c:pt>
                <c:pt idx="17">
                  <c:v>1.6822388825717927</c:v>
                </c:pt>
                <c:pt idx="18">
                  <c:v>1.6936932095223654</c:v>
                </c:pt>
                <c:pt idx="19">
                  <c:v>1.700073555603876</c:v>
                </c:pt>
                <c:pt idx="20">
                  <c:v>1.7023873535528493</c:v>
                </c:pt>
                <c:pt idx="21">
                  <c:v>1.7027029154948938</c:v>
                </c:pt>
                <c:pt idx="22">
                  <c:v>1.7027059276846961</c:v>
                </c:pt>
                <c:pt idx="23">
                  <c:v>1.7027052401298592</c:v>
                </c:pt>
                <c:pt idx="24">
                  <c:v>1.7027027027027026</c:v>
                </c:pt>
              </c:numCache>
            </c:numRef>
          </c:yVal>
          <c:smooth val="0"/>
          <c:extLst>
            <c:ext xmlns:c16="http://schemas.microsoft.com/office/drawing/2014/chart" uri="{C3380CC4-5D6E-409C-BE32-E72D297353CC}">
              <c16:uniqueId val="{0000000A-9340-4E92-A404-AEEB99896958}"/>
            </c:ext>
          </c:extLst>
        </c:ser>
        <c:dLbls>
          <c:showLegendKey val="0"/>
          <c:showVal val="0"/>
          <c:showCatName val="0"/>
          <c:showSerName val="0"/>
          <c:showPercent val="0"/>
          <c:showBubbleSize val="0"/>
        </c:dLbls>
        <c:axId val="1924598879"/>
        <c:axId val="1"/>
      </c:scatterChart>
      <c:valAx>
        <c:axId val="1924598879"/>
        <c:scaling>
          <c:orientation val="minMax"/>
        </c:scaling>
        <c:delete val="0"/>
        <c:axPos val="b"/>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24598879"/>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 b="1" i="0" u="none" strike="noStrike" baseline="0">
                <a:solidFill>
                  <a:srgbClr val="000000"/>
                </a:solidFill>
                <a:latin typeface="Arial"/>
                <a:ea typeface="Arial"/>
                <a:cs typeface="Arial"/>
              </a:defRPr>
            </a:pPr>
            <a:r>
              <a:rPr lang="en-GB"/>
              <a:t>SECTION AREA CURVE</a:t>
            </a:r>
          </a:p>
        </c:rich>
      </c:tx>
      <c:layout>
        <c:manualLayout>
          <c:xMode val="edge"/>
          <c:yMode val="edge"/>
          <c:x val="0.49236990385080232"/>
          <c:y val="2.7174779159998452E-2"/>
        </c:manualLayout>
      </c:layout>
      <c:overlay val="0"/>
      <c:spPr>
        <a:noFill/>
        <a:ln w="25400">
          <a:noFill/>
        </a:ln>
      </c:spPr>
    </c:title>
    <c:autoTitleDeleted val="0"/>
    <c:plotArea>
      <c:layout>
        <c:manualLayout>
          <c:layoutTarget val="inner"/>
          <c:xMode val="edge"/>
          <c:yMode val="edge"/>
          <c:x val="1.0397873745917566E-2"/>
          <c:y val="8.1524337479995351E-2"/>
          <c:w val="0.98443398788554826"/>
          <c:h val="0.86551671624595061"/>
        </c:manualLayout>
      </c:layout>
      <c:scatterChart>
        <c:scatterStyle val="smoothMarker"/>
        <c:varyColors val="0"/>
        <c:ser>
          <c:idx val="0"/>
          <c:order val="0"/>
          <c:spPr>
            <a:ln w="12700">
              <a:solidFill>
                <a:srgbClr val="000080"/>
              </a:solidFill>
              <a:prstDash val="solid"/>
            </a:ln>
          </c:spPr>
          <c:marker>
            <c:symbol val="none"/>
          </c:marker>
          <c:xVal>
            <c:numRef>
              <c:f>Transform!$C$260:$W$260</c:f>
              <c:numCache>
                <c:formatCode>General</c:formatCode>
                <c:ptCount val="21"/>
                <c:pt idx="0">
                  <c:v>21</c:v>
                </c:pt>
                <c:pt idx="1">
                  <c:v>20</c:v>
                </c:pt>
                <c:pt idx="2">
                  <c:v>19</c:v>
                </c:pt>
                <c:pt idx="3">
                  <c:v>18</c:v>
                </c:pt>
                <c:pt idx="4">
                  <c:v>17</c:v>
                </c:pt>
                <c:pt idx="5">
                  <c:v>16</c:v>
                </c:pt>
                <c:pt idx="6">
                  <c:v>15</c:v>
                </c:pt>
                <c:pt idx="7">
                  <c:v>14</c:v>
                </c:pt>
                <c:pt idx="8">
                  <c:v>13</c:v>
                </c:pt>
                <c:pt idx="9">
                  <c:v>12</c:v>
                </c:pt>
                <c:pt idx="10">
                  <c:v>11</c:v>
                </c:pt>
                <c:pt idx="11">
                  <c:v>10</c:v>
                </c:pt>
                <c:pt idx="12">
                  <c:v>9</c:v>
                </c:pt>
                <c:pt idx="13">
                  <c:v>8</c:v>
                </c:pt>
                <c:pt idx="14">
                  <c:v>7</c:v>
                </c:pt>
                <c:pt idx="15">
                  <c:v>6</c:v>
                </c:pt>
                <c:pt idx="16">
                  <c:v>5</c:v>
                </c:pt>
                <c:pt idx="17">
                  <c:v>4</c:v>
                </c:pt>
                <c:pt idx="18">
                  <c:v>3</c:v>
                </c:pt>
                <c:pt idx="19">
                  <c:v>2</c:v>
                </c:pt>
                <c:pt idx="20">
                  <c:v>1</c:v>
                </c:pt>
              </c:numCache>
            </c:numRef>
          </c:xVal>
          <c:yVal>
            <c:numRef>
              <c:f>Transform!$C$263:$W$263</c:f>
              <c:numCache>
                <c:formatCode>General</c:formatCode>
                <c:ptCount val="21"/>
                <c:pt idx="0">
                  <c:v>-1.5623603952037821E-3</c:v>
                </c:pt>
                <c:pt idx="1">
                  <c:v>9.7423063814927935E-2</c:v>
                </c:pt>
                <c:pt idx="2">
                  <c:v>0.32264605304416993</c:v>
                </c:pt>
                <c:pt idx="3">
                  <c:v>0.55743086077273951</c:v>
                </c:pt>
                <c:pt idx="4">
                  <c:v>0.74145216930092062</c:v>
                </c:pt>
                <c:pt idx="5">
                  <c:v>0.8606651202526483</c:v>
                </c:pt>
                <c:pt idx="6">
                  <c:v>0.93716863837228925</c:v>
                </c:pt>
                <c:pt idx="7">
                  <c:v>0.9641402357129043</c:v>
                </c:pt>
                <c:pt idx="8">
                  <c:v>0.98335504567123955</c:v>
                </c:pt>
                <c:pt idx="9">
                  <c:v>0.99486046122474769</c:v>
                </c:pt>
                <c:pt idx="10">
                  <c:v>0.99869446544915808</c:v>
                </c:pt>
                <c:pt idx="11">
                  <c:v>0.99486046122474769</c:v>
                </c:pt>
                <c:pt idx="12">
                  <c:v>0.98335504567123921</c:v>
                </c:pt>
                <c:pt idx="13">
                  <c:v>0.96414023571290408</c:v>
                </c:pt>
                <c:pt idx="14">
                  <c:v>0.90263655157226119</c:v>
                </c:pt>
                <c:pt idx="15">
                  <c:v>0.76763301351046942</c:v>
                </c:pt>
                <c:pt idx="16">
                  <c:v>0.5685234112880545</c:v>
                </c:pt>
                <c:pt idx="17">
                  <c:v>0.34164397513775335</c:v>
                </c:pt>
                <c:pt idx="18">
                  <c:v>0.18888250341015822</c:v>
                </c:pt>
                <c:pt idx="19">
                  <c:v>7.344589170242552E-2</c:v>
                </c:pt>
                <c:pt idx="20">
                  <c:v>0</c:v>
                </c:pt>
              </c:numCache>
            </c:numRef>
          </c:yVal>
          <c:smooth val="1"/>
          <c:extLst>
            <c:ext xmlns:c16="http://schemas.microsoft.com/office/drawing/2014/chart" uri="{C3380CC4-5D6E-409C-BE32-E72D297353CC}">
              <c16:uniqueId val="{00000000-2FEA-4A4B-A709-1B36E97E71FA}"/>
            </c:ext>
          </c:extLst>
        </c:ser>
        <c:dLbls>
          <c:showLegendKey val="0"/>
          <c:showVal val="0"/>
          <c:showCatName val="0"/>
          <c:showSerName val="0"/>
          <c:showPercent val="0"/>
          <c:showBubbleSize val="0"/>
        </c:dLbls>
        <c:axId val="1924602239"/>
        <c:axId val="1"/>
      </c:scatterChart>
      <c:valAx>
        <c:axId val="1924602239"/>
        <c:scaling>
          <c:orientation val="minMax"/>
          <c:max val="21"/>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 b="1" i="0" u="none" strike="noStrike" baseline="0">
                    <a:solidFill>
                      <a:srgbClr val="000000"/>
                    </a:solidFill>
                    <a:latin typeface="Arial"/>
                    <a:ea typeface="Arial"/>
                    <a:cs typeface="Arial"/>
                  </a:defRPr>
                </a:pPr>
                <a:r>
                  <a:rPr lang="en-GB"/>
                  <a:t>STATION</a:t>
                </a:r>
              </a:p>
            </c:rich>
          </c:tx>
          <c:layout>
            <c:manualLayout>
              <c:xMode val="edge"/>
              <c:yMode val="edge"/>
              <c:x val="0.4990979398040431"/>
              <c:y val="0.9647046601799450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crossBetween val="midCat"/>
        <c:majorUnit val="1"/>
        <c:minorUnit val="1"/>
      </c:valAx>
      <c:valAx>
        <c:axId val="1"/>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GB"/>
                  <a:t>!/2 Section Area</a:t>
                </a:r>
              </a:p>
            </c:rich>
          </c:tx>
          <c:layout>
            <c:manualLayout>
              <c:xMode val="edge"/>
              <c:yMode val="edge"/>
              <c:x val="4.8931170569023836E-3"/>
              <c:y val="0.4891460248799721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924602239"/>
        <c:crossesAt val="0"/>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1181100</xdr:colOff>
      <xdr:row>34</xdr:row>
      <xdr:rowOff>209550</xdr:rowOff>
    </xdr:from>
    <xdr:to>
      <xdr:col>0</xdr:col>
      <xdr:colOff>4410075</xdr:colOff>
      <xdr:row>34</xdr:row>
      <xdr:rowOff>2590800</xdr:rowOff>
    </xdr:to>
    <xdr:grpSp>
      <xdr:nvGrpSpPr>
        <xdr:cNvPr id="6163" name="Group 19">
          <a:extLst>
            <a:ext uri="{FF2B5EF4-FFF2-40B4-BE49-F238E27FC236}">
              <a16:creationId xmlns:a16="http://schemas.microsoft.com/office/drawing/2014/main" id="{346E3617-DC98-04FE-D9EB-982A21507333}"/>
            </a:ext>
          </a:extLst>
        </xdr:cNvPr>
        <xdr:cNvGrpSpPr>
          <a:grpSpLocks/>
        </xdr:cNvGrpSpPr>
      </xdr:nvGrpSpPr>
      <xdr:grpSpPr bwMode="auto">
        <a:xfrm>
          <a:off x="1181100" y="6686550"/>
          <a:ext cx="3228975" cy="2381250"/>
          <a:chOff x="124" y="230"/>
          <a:chExt cx="339" cy="251"/>
        </a:xfrm>
      </xdr:grpSpPr>
      <xdr:sp macro="" textlink="">
        <xdr:nvSpPr>
          <xdr:cNvPr id="6146" name="Line 2">
            <a:extLst>
              <a:ext uri="{FF2B5EF4-FFF2-40B4-BE49-F238E27FC236}">
                <a16:creationId xmlns:a16="http://schemas.microsoft.com/office/drawing/2014/main" id="{245FC6ED-244E-DEC6-FA5E-92E16DC61106}"/>
              </a:ext>
            </a:extLst>
          </xdr:cNvPr>
          <xdr:cNvSpPr>
            <a:spLocks noChangeShapeType="1"/>
          </xdr:cNvSpPr>
        </xdr:nvSpPr>
        <xdr:spPr bwMode="auto">
          <a:xfrm flipV="1">
            <a:off x="180" y="247"/>
            <a:ext cx="0" cy="20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6147" name="Line 3">
            <a:extLst>
              <a:ext uri="{FF2B5EF4-FFF2-40B4-BE49-F238E27FC236}">
                <a16:creationId xmlns:a16="http://schemas.microsoft.com/office/drawing/2014/main" id="{13DDDC9A-F1E9-1B2A-7F4B-A78CFE156360}"/>
              </a:ext>
            </a:extLst>
          </xdr:cNvPr>
          <xdr:cNvSpPr>
            <a:spLocks noChangeShapeType="1"/>
          </xdr:cNvSpPr>
        </xdr:nvSpPr>
        <xdr:spPr bwMode="auto">
          <a:xfrm flipV="1">
            <a:off x="179" y="288"/>
            <a:ext cx="269" cy="16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6148" name="Line 4">
            <a:extLst>
              <a:ext uri="{FF2B5EF4-FFF2-40B4-BE49-F238E27FC236}">
                <a16:creationId xmlns:a16="http://schemas.microsoft.com/office/drawing/2014/main" id="{FFD03743-9AA1-A992-9553-CCC1590864A2}"/>
              </a:ext>
            </a:extLst>
          </xdr:cNvPr>
          <xdr:cNvSpPr>
            <a:spLocks noChangeShapeType="1"/>
          </xdr:cNvSpPr>
        </xdr:nvSpPr>
        <xdr:spPr bwMode="auto">
          <a:xfrm>
            <a:off x="181" y="450"/>
            <a:ext cx="146" cy="2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6150" name="Freeform 6">
            <a:extLst>
              <a:ext uri="{FF2B5EF4-FFF2-40B4-BE49-F238E27FC236}">
                <a16:creationId xmlns:a16="http://schemas.microsoft.com/office/drawing/2014/main" id="{3770D61C-2B03-8C71-E6C9-EE98FCE77048}"/>
              </a:ext>
            </a:extLst>
          </xdr:cNvPr>
          <xdr:cNvSpPr>
            <a:spLocks/>
          </xdr:cNvSpPr>
        </xdr:nvSpPr>
        <xdr:spPr bwMode="auto">
          <a:xfrm>
            <a:off x="360" y="241"/>
            <a:ext cx="45" cy="100"/>
          </a:xfrm>
          <a:custGeom>
            <a:avLst/>
            <a:gdLst>
              <a:gd name="T0" fmla="*/ 0 w 45"/>
              <a:gd name="T1" fmla="*/ 100 h 100"/>
              <a:gd name="T2" fmla="*/ 24 w 45"/>
              <a:gd name="T3" fmla="*/ 79 h 100"/>
              <a:gd name="T4" fmla="*/ 41 w 45"/>
              <a:gd name="T5" fmla="*/ 50 h 100"/>
              <a:gd name="T6" fmla="*/ 43 w 45"/>
              <a:gd name="T7" fmla="*/ 0 h 100"/>
            </a:gdLst>
            <a:ahLst/>
            <a:cxnLst>
              <a:cxn ang="0">
                <a:pos x="T0" y="T1"/>
              </a:cxn>
              <a:cxn ang="0">
                <a:pos x="T2" y="T3"/>
              </a:cxn>
              <a:cxn ang="0">
                <a:pos x="T4" y="T5"/>
              </a:cxn>
              <a:cxn ang="0">
                <a:pos x="T6" y="T7"/>
              </a:cxn>
            </a:cxnLst>
            <a:rect l="0" t="0" r="r" b="b"/>
            <a:pathLst>
              <a:path w="45" h="100">
                <a:moveTo>
                  <a:pt x="0" y="100"/>
                </a:moveTo>
                <a:cubicBezTo>
                  <a:pt x="8" y="93"/>
                  <a:pt x="17" y="87"/>
                  <a:pt x="24" y="79"/>
                </a:cubicBezTo>
                <a:cubicBezTo>
                  <a:pt x="31" y="71"/>
                  <a:pt x="38" y="63"/>
                  <a:pt x="41" y="50"/>
                </a:cubicBezTo>
                <a:cubicBezTo>
                  <a:pt x="44" y="37"/>
                  <a:pt x="45" y="7"/>
                  <a:pt x="43" y="0"/>
                </a:cubicBez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6153" name="Line 9">
            <a:extLst>
              <a:ext uri="{FF2B5EF4-FFF2-40B4-BE49-F238E27FC236}">
                <a16:creationId xmlns:a16="http://schemas.microsoft.com/office/drawing/2014/main" id="{F10EFAA2-33A2-AEE6-7122-05F10C928D69}"/>
              </a:ext>
            </a:extLst>
          </xdr:cNvPr>
          <xdr:cNvSpPr>
            <a:spLocks noChangeShapeType="1"/>
          </xdr:cNvSpPr>
        </xdr:nvSpPr>
        <xdr:spPr bwMode="auto">
          <a:xfrm>
            <a:off x="125" y="353"/>
            <a:ext cx="107" cy="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54" name="Freeform 10">
            <a:extLst>
              <a:ext uri="{FF2B5EF4-FFF2-40B4-BE49-F238E27FC236}">
                <a16:creationId xmlns:a16="http://schemas.microsoft.com/office/drawing/2014/main" id="{B7099FDA-0BD7-07DE-EB5B-641E6767CCE0}"/>
              </a:ext>
            </a:extLst>
          </xdr:cNvPr>
          <xdr:cNvSpPr>
            <a:spLocks/>
          </xdr:cNvSpPr>
        </xdr:nvSpPr>
        <xdr:spPr bwMode="auto">
          <a:xfrm>
            <a:off x="124" y="353"/>
            <a:ext cx="110" cy="54"/>
          </a:xfrm>
          <a:custGeom>
            <a:avLst/>
            <a:gdLst>
              <a:gd name="T0" fmla="*/ 0 w 110"/>
              <a:gd name="T1" fmla="*/ 0 h 54"/>
              <a:gd name="T2" fmla="*/ 58 w 110"/>
              <a:gd name="T3" fmla="*/ 51 h 54"/>
              <a:gd name="T4" fmla="*/ 110 w 110"/>
              <a:gd name="T5" fmla="*/ 20 h 54"/>
            </a:gdLst>
            <a:ahLst/>
            <a:cxnLst>
              <a:cxn ang="0">
                <a:pos x="T0" y="T1"/>
              </a:cxn>
              <a:cxn ang="0">
                <a:pos x="T2" y="T3"/>
              </a:cxn>
              <a:cxn ang="0">
                <a:pos x="T4" y="T5"/>
              </a:cxn>
            </a:cxnLst>
            <a:rect l="0" t="0" r="r" b="b"/>
            <a:pathLst>
              <a:path w="110" h="54">
                <a:moveTo>
                  <a:pt x="0" y="0"/>
                </a:moveTo>
                <a:cubicBezTo>
                  <a:pt x="20" y="24"/>
                  <a:pt x="40" y="48"/>
                  <a:pt x="58" y="51"/>
                </a:cubicBezTo>
                <a:cubicBezTo>
                  <a:pt x="76" y="54"/>
                  <a:pt x="100" y="27"/>
                  <a:pt x="110" y="20"/>
                </a:cubicBez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6155" name="Freeform 11">
            <a:extLst>
              <a:ext uri="{FF2B5EF4-FFF2-40B4-BE49-F238E27FC236}">
                <a16:creationId xmlns:a16="http://schemas.microsoft.com/office/drawing/2014/main" id="{A4274BB0-2004-58A9-0180-C68D121B3D27}"/>
              </a:ext>
            </a:extLst>
          </xdr:cNvPr>
          <xdr:cNvSpPr>
            <a:spLocks/>
          </xdr:cNvSpPr>
        </xdr:nvSpPr>
        <xdr:spPr bwMode="auto">
          <a:xfrm>
            <a:off x="124" y="230"/>
            <a:ext cx="279" cy="121"/>
          </a:xfrm>
          <a:custGeom>
            <a:avLst/>
            <a:gdLst>
              <a:gd name="T0" fmla="*/ 0 w 279"/>
              <a:gd name="T1" fmla="*/ 121 h 121"/>
              <a:gd name="T2" fmla="*/ 133 w 279"/>
              <a:gd name="T3" fmla="*/ 45 h 121"/>
              <a:gd name="T4" fmla="*/ 243 w 279"/>
              <a:gd name="T5" fmla="*/ 7 h 121"/>
              <a:gd name="T6" fmla="*/ 279 w 279"/>
              <a:gd name="T7" fmla="*/ 4 h 121"/>
            </a:gdLst>
            <a:ahLst/>
            <a:cxnLst>
              <a:cxn ang="0">
                <a:pos x="T0" y="T1"/>
              </a:cxn>
              <a:cxn ang="0">
                <a:pos x="T2" y="T3"/>
              </a:cxn>
              <a:cxn ang="0">
                <a:pos x="T4" y="T5"/>
              </a:cxn>
              <a:cxn ang="0">
                <a:pos x="T6" y="T7"/>
              </a:cxn>
            </a:cxnLst>
            <a:rect l="0" t="0" r="r" b="b"/>
            <a:pathLst>
              <a:path w="279" h="121">
                <a:moveTo>
                  <a:pt x="0" y="121"/>
                </a:moveTo>
                <a:cubicBezTo>
                  <a:pt x="46" y="92"/>
                  <a:pt x="92" y="64"/>
                  <a:pt x="133" y="45"/>
                </a:cubicBezTo>
                <a:cubicBezTo>
                  <a:pt x="174" y="26"/>
                  <a:pt x="219" y="14"/>
                  <a:pt x="243" y="7"/>
                </a:cubicBezTo>
                <a:cubicBezTo>
                  <a:pt x="267" y="0"/>
                  <a:pt x="273" y="4"/>
                  <a:pt x="279" y="4"/>
                </a:cubicBez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6156" name="Freeform 12">
            <a:extLst>
              <a:ext uri="{FF2B5EF4-FFF2-40B4-BE49-F238E27FC236}">
                <a16:creationId xmlns:a16="http://schemas.microsoft.com/office/drawing/2014/main" id="{335122C7-2702-2AB2-4B3A-2D277014E21C}"/>
              </a:ext>
            </a:extLst>
          </xdr:cNvPr>
          <xdr:cNvSpPr>
            <a:spLocks/>
          </xdr:cNvSpPr>
        </xdr:nvSpPr>
        <xdr:spPr bwMode="auto">
          <a:xfrm>
            <a:off x="232" y="235"/>
            <a:ext cx="174" cy="138"/>
          </a:xfrm>
          <a:custGeom>
            <a:avLst/>
            <a:gdLst>
              <a:gd name="T0" fmla="*/ 0 w 174"/>
              <a:gd name="T1" fmla="*/ 138 h 138"/>
              <a:gd name="T2" fmla="*/ 116 w 174"/>
              <a:gd name="T3" fmla="*/ 81 h 138"/>
              <a:gd name="T4" fmla="*/ 165 w 174"/>
              <a:gd name="T5" fmla="*/ 20 h 138"/>
              <a:gd name="T6" fmla="*/ 171 w 174"/>
              <a:gd name="T7" fmla="*/ 0 h 138"/>
            </a:gdLst>
            <a:ahLst/>
            <a:cxnLst>
              <a:cxn ang="0">
                <a:pos x="T0" y="T1"/>
              </a:cxn>
              <a:cxn ang="0">
                <a:pos x="T2" y="T3"/>
              </a:cxn>
              <a:cxn ang="0">
                <a:pos x="T4" y="T5"/>
              </a:cxn>
              <a:cxn ang="0">
                <a:pos x="T6" y="T7"/>
              </a:cxn>
            </a:cxnLst>
            <a:rect l="0" t="0" r="r" b="b"/>
            <a:pathLst>
              <a:path w="174" h="138">
                <a:moveTo>
                  <a:pt x="0" y="138"/>
                </a:moveTo>
                <a:cubicBezTo>
                  <a:pt x="44" y="119"/>
                  <a:pt x="88" y="101"/>
                  <a:pt x="116" y="81"/>
                </a:cubicBezTo>
                <a:cubicBezTo>
                  <a:pt x="144" y="61"/>
                  <a:pt x="156" y="33"/>
                  <a:pt x="165" y="20"/>
                </a:cubicBezTo>
                <a:cubicBezTo>
                  <a:pt x="174" y="7"/>
                  <a:pt x="172" y="3"/>
                  <a:pt x="171" y="0"/>
                </a:cubicBez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6157" name="Line 13">
            <a:extLst>
              <a:ext uri="{FF2B5EF4-FFF2-40B4-BE49-F238E27FC236}">
                <a16:creationId xmlns:a16="http://schemas.microsoft.com/office/drawing/2014/main" id="{A990FA08-79BB-F8F1-1D47-05316191FA0B}"/>
              </a:ext>
            </a:extLst>
          </xdr:cNvPr>
          <xdr:cNvSpPr>
            <a:spLocks noChangeShapeType="1"/>
          </xdr:cNvSpPr>
        </xdr:nvSpPr>
        <xdr:spPr bwMode="auto">
          <a:xfrm>
            <a:off x="235" y="284"/>
            <a:ext cx="123"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58" name="Line 14">
            <a:extLst>
              <a:ext uri="{FF2B5EF4-FFF2-40B4-BE49-F238E27FC236}">
                <a16:creationId xmlns:a16="http://schemas.microsoft.com/office/drawing/2014/main" id="{E5D289F9-A2CD-4E57-42EC-58C28D242ADD}"/>
              </a:ext>
            </a:extLst>
          </xdr:cNvPr>
          <xdr:cNvSpPr>
            <a:spLocks noChangeShapeType="1"/>
          </xdr:cNvSpPr>
        </xdr:nvSpPr>
        <xdr:spPr bwMode="auto">
          <a:xfrm>
            <a:off x="293" y="294"/>
            <a:ext cx="0" cy="8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59" name="Freeform 15">
            <a:extLst>
              <a:ext uri="{FF2B5EF4-FFF2-40B4-BE49-F238E27FC236}">
                <a16:creationId xmlns:a16="http://schemas.microsoft.com/office/drawing/2014/main" id="{854EE801-C33C-7986-F94B-DE382AF6FA36}"/>
              </a:ext>
            </a:extLst>
          </xdr:cNvPr>
          <xdr:cNvSpPr>
            <a:spLocks/>
          </xdr:cNvSpPr>
        </xdr:nvSpPr>
        <xdr:spPr bwMode="auto">
          <a:xfrm>
            <a:off x="238" y="285"/>
            <a:ext cx="121" cy="101"/>
          </a:xfrm>
          <a:custGeom>
            <a:avLst/>
            <a:gdLst>
              <a:gd name="T0" fmla="*/ 0 w 121"/>
              <a:gd name="T1" fmla="*/ 0 h 101"/>
              <a:gd name="T2" fmla="*/ 56 w 121"/>
              <a:gd name="T3" fmla="*/ 97 h 101"/>
              <a:gd name="T4" fmla="*/ 121 w 121"/>
              <a:gd name="T5" fmla="*/ 22 h 101"/>
            </a:gdLst>
            <a:ahLst/>
            <a:cxnLst>
              <a:cxn ang="0">
                <a:pos x="T0" y="T1"/>
              </a:cxn>
              <a:cxn ang="0">
                <a:pos x="T2" y="T3"/>
              </a:cxn>
              <a:cxn ang="0">
                <a:pos x="T4" y="T5"/>
              </a:cxn>
            </a:cxnLst>
            <a:rect l="0" t="0" r="r" b="b"/>
            <a:pathLst>
              <a:path w="121" h="101">
                <a:moveTo>
                  <a:pt x="0" y="0"/>
                </a:moveTo>
                <a:cubicBezTo>
                  <a:pt x="18" y="46"/>
                  <a:pt x="36" y="93"/>
                  <a:pt x="56" y="97"/>
                </a:cubicBezTo>
                <a:cubicBezTo>
                  <a:pt x="76" y="101"/>
                  <a:pt x="109" y="31"/>
                  <a:pt x="121" y="22"/>
                </a:cubicBez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6160" name="Text Box 16">
            <a:extLst>
              <a:ext uri="{FF2B5EF4-FFF2-40B4-BE49-F238E27FC236}">
                <a16:creationId xmlns:a16="http://schemas.microsoft.com/office/drawing/2014/main" id="{657455C2-00A7-F889-EFDF-58BD6C655AD3}"/>
              </a:ext>
            </a:extLst>
          </xdr:cNvPr>
          <xdr:cNvSpPr txBox="1">
            <a:spLocks noChangeArrowheads="1"/>
          </xdr:cNvSpPr>
        </xdr:nvSpPr>
        <xdr:spPr bwMode="auto">
          <a:xfrm>
            <a:off x="157" y="263"/>
            <a:ext cx="41" cy="2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Z</a:t>
            </a:r>
          </a:p>
        </xdr:txBody>
      </xdr:sp>
      <xdr:sp macro="" textlink="">
        <xdr:nvSpPr>
          <xdr:cNvPr id="6161" name="Text Box 17">
            <a:extLst>
              <a:ext uri="{FF2B5EF4-FFF2-40B4-BE49-F238E27FC236}">
                <a16:creationId xmlns:a16="http://schemas.microsoft.com/office/drawing/2014/main" id="{18BC3F73-9E39-ABBE-826D-E21CE9CAED68}"/>
              </a:ext>
            </a:extLst>
          </xdr:cNvPr>
          <xdr:cNvSpPr txBox="1">
            <a:spLocks noChangeArrowheads="1"/>
          </xdr:cNvSpPr>
        </xdr:nvSpPr>
        <xdr:spPr bwMode="auto">
          <a:xfrm>
            <a:off x="325" y="452"/>
            <a:ext cx="41" cy="29"/>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Y</a:t>
            </a:r>
          </a:p>
        </xdr:txBody>
      </xdr:sp>
      <xdr:sp macro="" textlink="">
        <xdr:nvSpPr>
          <xdr:cNvPr id="6162" name="Text Box 18">
            <a:extLst>
              <a:ext uri="{FF2B5EF4-FFF2-40B4-BE49-F238E27FC236}">
                <a16:creationId xmlns:a16="http://schemas.microsoft.com/office/drawing/2014/main" id="{283730FF-7E4A-019D-CCD5-C665F5DD1B45}"/>
              </a:ext>
            </a:extLst>
          </xdr:cNvPr>
          <xdr:cNvSpPr txBox="1">
            <a:spLocks noChangeArrowheads="1"/>
          </xdr:cNvSpPr>
        </xdr:nvSpPr>
        <xdr:spPr bwMode="auto">
          <a:xfrm>
            <a:off x="422" y="300"/>
            <a:ext cx="41" cy="29"/>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X</a:t>
            </a:r>
          </a:p>
        </xdr:txBody>
      </xdr:sp>
    </xdr:grpSp>
    <xdr:clientData/>
  </xdr:twoCellAnchor>
  <xdr:twoCellAnchor>
    <xdr:from>
      <xdr:col>0</xdr:col>
      <xdr:colOff>4714875</xdr:colOff>
      <xdr:row>39</xdr:row>
      <xdr:rowOff>0</xdr:rowOff>
    </xdr:from>
    <xdr:to>
      <xdr:col>0</xdr:col>
      <xdr:colOff>5248275</xdr:colOff>
      <xdr:row>39</xdr:row>
      <xdr:rowOff>0</xdr:rowOff>
    </xdr:to>
    <xdr:sp macro="" textlink="">
      <xdr:nvSpPr>
        <xdr:cNvPr id="6185" name="Text Box 41">
          <a:extLst>
            <a:ext uri="{FF2B5EF4-FFF2-40B4-BE49-F238E27FC236}">
              <a16:creationId xmlns:a16="http://schemas.microsoft.com/office/drawing/2014/main" id="{89714582-3281-828E-8108-29FDD0ACC7F3}"/>
            </a:ext>
          </a:extLst>
        </xdr:cNvPr>
        <xdr:cNvSpPr txBox="1">
          <a:spLocks noChangeArrowheads="1"/>
        </xdr:cNvSpPr>
      </xdr:nvSpPr>
      <xdr:spPr bwMode="auto">
        <a:xfrm>
          <a:off x="4714875" y="10972800"/>
          <a:ext cx="533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Arial"/>
              <a:cs typeface="Arial"/>
            </a:rPr>
            <a:t>Starboard</a:t>
          </a:r>
        </a:p>
        <a:p>
          <a:pPr algn="l" rtl="0">
            <a:defRPr sz="1000"/>
          </a:pPr>
          <a:r>
            <a:rPr lang="en-GB" sz="800" b="0" i="0" u="none" strike="noStrike" baseline="0">
              <a:solidFill>
                <a:srgbClr val="000000"/>
              </a:solidFill>
              <a:latin typeface="Arial"/>
              <a:cs typeface="Arial"/>
            </a:rPr>
            <a:t>Waterline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28575</xdr:colOff>
      <xdr:row>2</xdr:row>
      <xdr:rowOff>57151</xdr:rowOff>
    </xdr:from>
    <xdr:to>
      <xdr:col>22</xdr:col>
      <xdr:colOff>17463</xdr:colOff>
      <xdr:row>18</xdr:row>
      <xdr:rowOff>152401</xdr:rowOff>
    </xdr:to>
    <xdr:graphicFrame macro="">
      <xdr:nvGraphicFramePr>
        <xdr:cNvPr id="7" name="Chart 6">
          <a:extLst>
            <a:ext uri="{FF2B5EF4-FFF2-40B4-BE49-F238E27FC236}">
              <a16:creationId xmlns:a16="http://schemas.microsoft.com/office/drawing/2014/main" id="{6C7739F8-4853-49A1-9E9F-C99FCEB857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22</xdr:row>
      <xdr:rowOff>133350</xdr:rowOff>
    </xdr:from>
    <xdr:to>
      <xdr:col>13</xdr:col>
      <xdr:colOff>510042</xdr:colOff>
      <xdr:row>45</xdr:row>
      <xdr:rowOff>123825</xdr:rowOff>
    </xdr:to>
    <xdr:graphicFrame macro="">
      <xdr:nvGraphicFramePr>
        <xdr:cNvPr id="8" name="Chart 7">
          <a:extLst>
            <a:ext uri="{FF2B5EF4-FFF2-40B4-BE49-F238E27FC236}">
              <a16:creationId xmlns:a16="http://schemas.microsoft.com/office/drawing/2014/main" id="{9927F923-45EF-4772-9AD3-DB6FA019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28575</xdr:colOff>
      <xdr:row>2</xdr:row>
      <xdr:rowOff>38100</xdr:rowOff>
    </xdr:from>
    <xdr:to>
      <xdr:col>13</xdr:col>
      <xdr:colOff>511704</xdr:colOff>
      <xdr:row>22</xdr:row>
      <xdr:rowOff>77258</xdr:rowOff>
    </xdr:to>
    <xdr:graphicFrame macro="">
      <xdr:nvGraphicFramePr>
        <xdr:cNvPr id="9" name="Chart 8">
          <a:extLst>
            <a:ext uri="{FF2B5EF4-FFF2-40B4-BE49-F238E27FC236}">
              <a16:creationId xmlns:a16="http://schemas.microsoft.com/office/drawing/2014/main" id="{D2B4BDD6-6A5D-4B0F-9B82-245B8E356E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571500</xdr:colOff>
      <xdr:row>19</xdr:row>
      <xdr:rowOff>38100</xdr:rowOff>
    </xdr:from>
    <xdr:to>
      <xdr:col>22</xdr:col>
      <xdr:colOff>119493</xdr:colOff>
      <xdr:row>48</xdr:row>
      <xdr:rowOff>71004</xdr:rowOff>
    </xdr:to>
    <xdr:graphicFrame macro="">
      <xdr:nvGraphicFramePr>
        <xdr:cNvPr id="3" name="Chart 2">
          <a:extLst>
            <a:ext uri="{FF2B5EF4-FFF2-40B4-BE49-F238E27FC236}">
              <a16:creationId xmlns:a16="http://schemas.microsoft.com/office/drawing/2014/main" id="{5D759EE8-156C-458A-B023-FA5001D83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184151</xdr:colOff>
      <xdr:row>0</xdr:row>
      <xdr:rowOff>38101</xdr:rowOff>
    </xdr:from>
    <xdr:to>
      <xdr:col>9</xdr:col>
      <xdr:colOff>165100</xdr:colOff>
      <xdr:row>30</xdr:row>
      <xdr:rowOff>60826</xdr:rowOff>
    </xdr:to>
    <xdr:graphicFrame macro="">
      <xdr:nvGraphicFramePr>
        <xdr:cNvPr id="2" name="Chart 1">
          <a:extLst>
            <a:ext uri="{FF2B5EF4-FFF2-40B4-BE49-F238E27FC236}">
              <a16:creationId xmlns:a16="http://schemas.microsoft.com/office/drawing/2014/main" id="{3629DD65-3CDD-EB0C-FB4B-0AAEC3948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328084</xdr:colOff>
      <xdr:row>3</xdr:row>
      <xdr:rowOff>105834</xdr:rowOff>
    </xdr:from>
    <xdr:to>
      <xdr:col>18</xdr:col>
      <xdr:colOff>321923</xdr:colOff>
      <xdr:row>31</xdr:row>
      <xdr:rowOff>74312</xdr:rowOff>
    </xdr:to>
    <xdr:pic>
      <xdr:nvPicPr>
        <xdr:cNvPr id="4" name="Picture 3">
          <a:extLst>
            <a:ext uri="{FF2B5EF4-FFF2-40B4-BE49-F238E27FC236}">
              <a16:creationId xmlns:a16="http://schemas.microsoft.com/office/drawing/2014/main" id="{D20EFC6F-867F-8F20-856A-5BA49933549B}"/>
            </a:ext>
          </a:extLst>
        </xdr:cNvPr>
        <xdr:cNvPicPr>
          <a:picLocks noChangeAspect="1"/>
        </xdr:cNvPicPr>
      </xdr:nvPicPr>
      <xdr:blipFill>
        <a:blip xmlns:r="http://schemas.openxmlformats.org/officeDocument/2006/relationships" r:embed="rId2"/>
        <a:stretch>
          <a:fillRect/>
        </a:stretch>
      </xdr:blipFill>
      <xdr:spPr>
        <a:xfrm>
          <a:off x="10117667" y="592667"/>
          <a:ext cx="3676839" cy="44452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26</xdr:col>
      <xdr:colOff>41275</xdr:colOff>
      <xdr:row>1</xdr:row>
      <xdr:rowOff>34924</xdr:rowOff>
    </xdr:from>
    <xdr:to>
      <xdr:col>33</xdr:col>
      <xdr:colOff>327025</xdr:colOff>
      <xdr:row>35</xdr:row>
      <xdr:rowOff>108857</xdr:rowOff>
    </xdr:to>
    <xdr:graphicFrame macro="">
      <xdr:nvGraphicFramePr>
        <xdr:cNvPr id="2" name="Chart 1">
          <a:extLst>
            <a:ext uri="{FF2B5EF4-FFF2-40B4-BE49-F238E27FC236}">
              <a16:creationId xmlns:a16="http://schemas.microsoft.com/office/drawing/2014/main" id="{194EC7B0-7D87-0E49-3CCC-725C201C44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47625</xdr:colOff>
          <xdr:row>16</xdr:row>
          <xdr:rowOff>152400</xdr:rowOff>
        </xdr:from>
        <xdr:to>
          <xdr:col>14</xdr:col>
          <xdr:colOff>219075</xdr:colOff>
          <xdr:row>18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Transfer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xdr:colOff>
          <xdr:row>19</xdr:row>
          <xdr:rowOff>0</xdr:rowOff>
        </xdr:from>
        <xdr:to>
          <xdr:col>14</xdr:col>
          <xdr:colOff>200025</xdr:colOff>
          <xdr:row>19</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42862</xdr:colOff>
      <xdr:row>28</xdr:row>
      <xdr:rowOff>60325</xdr:rowOff>
    </xdr:from>
    <xdr:to>
      <xdr:col>11</xdr:col>
      <xdr:colOff>22225</xdr:colOff>
      <xdr:row>48</xdr:row>
      <xdr:rowOff>140758</xdr:rowOff>
    </xdr:to>
    <xdr:graphicFrame macro="">
      <xdr:nvGraphicFramePr>
        <xdr:cNvPr id="3" name="Chart 2">
          <a:extLst>
            <a:ext uri="{FF2B5EF4-FFF2-40B4-BE49-F238E27FC236}">
              <a16:creationId xmlns:a16="http://schemas.microsoft.com/office/drawing/2014/main" id="{7258D834-D7B5-770A-AC7E-FF4C88C1B4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676275</xdr:colOff>
      <xdr:row>3</xdr:row>
      <xdr:rowOff>133350</xdr:rowOff>
    </xdr:from>
    <xdr:to>
      <xdr:col>22</xdr:col>
      <xdr:colOff>149754</xdr:colOff>
      <xdr:row>27</xdr:row>
      <xdr:rowOff>48683</xdr:rowOff>
    </xdr:to>
    <xdr:graphicFrame macro="">
      <xdr:nvGraphicFramePr>
        <xdr:cNvPr id="4" name="Chart 3">
          <a:extLst>
            <a:ext uri="{FF2B5EF4-FFF2-40B4-BE49-F238E27FC236}">
              <a16:creationId xmlns:a16="http://schemas.microsoft.com/office/drawing/2014/main" id="{3C387198-923C-478E-B355-AB5DAF76FB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1360</xdr:colOff>
      <xdr:row>28</xdr:row>
      <xdr:rowOff>63952</xdr:rowOff>
    </xdr:from>
    <xdr:to>
      <xdr:col>22</xdr:col>
      <xdr:colOff>263752</xdr:colOff>
      <xdr:row>48</xdr:row>
      <xdr:rowOff>145746</xdr:rowOff>
    </xdr:to>
    <xdr:graphicFrame macro="">
      <xdr:nvGraphicFramePr>
        <xdr:cNvPr id="2" name="Chart 1">
          <a:extLst>
            <a:ext uri="{FF2B5EF4-FFF2-40B4-BE49-F238E27FC236}">
              <a16:creationId xmlns:a16="http://schemas.microsoft.com/office/drawing/2014/main" id="{53DB1AE6-627B-40E0-A379-CB96EF1C7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2</xdr:row>
      <xdr:rowOff>0</xdr:rowOff>
    </xdr:from>
    <xdr:to>
      <xdr:col>12</xdr:col>
      <xdr:colOff>409575</xdr:colOff>
      <xdr:row>36</xdr:row>
      <xdr:rowOff>152400</xdr:rowOff>
    </xdr:to>
    <xdr:graphicFrame macro="">
      <xdr:nvGraphicFramePr>
        <xdr:cNvPr id="10241" name="Chart 1">
          <a:extLst>
            <a:ext uri="{FF2B5EF4-FFF2-40B4-BE49-F238E27FC236}">
              <a16:creationId xmlns:a16="http://schemas.microsoft.com/office/drawing/2014/main" id="{0849D60B-502C-8658-D4E5-D5478EDA67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409575</xdr:colOff>
      <xdr:row>2</xdr:row>
      <xdr:rowOff>0</xdr:rowOff>
    </xdr:from>
    <xdr:to>
      <xdr:col>25</xdr:col>
      <xdr:colOff>390525</xdr:colOff>
      <xdr:row>36</xdr:row>
      <xdr:rowOff>123825</xdr:rowOff>
    </xdr:to>
    <xdr:graphicFrame macro="">
      <xdr:nvGraphicFramePr>
        <xdr:cNvPr id="10242" name="Chart 2">
          <a:extLst>
            <a:ext uri="{FF2B5EF4-FFF2-40B4-BE49-F238E27FC236}">
              <a16:creationId xmlns:a16="http://schemas.microsoft.com/office/drawing/2014/main" id="{04D4A3DE-0202-D037-980D-8BF82CCA99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36</xdr:row>
      <xdr:rowOff>123825</xdr:rowOff>
    </xdr:from>
    <xdr:to>
      <xdr:col>51</xdr:col>
      <xdr:colOff>152400</xdr:colOff>
      <xdr:row>69</xdr:row>
      <xdr:rowOff>114300</xdr:rowOff>
    </xdr:to>
    <xdr:graphicFrame macro="">
      <xdr:nvGraphicFramePr>
        <xdr:cNvPr id="10243" name="Chart 3">
          <a:extLst>
            <a:ext uri="{FF2B5EF4-FFF2-40B4-BE49-F238E27FC236}">
              <a16:creationId xmlns:a16="http://schemas.microsoft.com/office/drawing/2014/main" id="{73D85302-7276-FA43-8429-EE1CAEEBD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400050</xdr:colOff>
      <xdr:row>2</xdr:row>
      <xdr:rowOff>0</xdr:rowOff>
    </xdr:from>
    <xdr:to>
      <xdr:col>38</xdr:col>
      <xdr:colOff>161925</xdr:colOff>
      <xdr:row>36</xdr:row>
      <xdr:rowOff>133350</xdr:rowOff>
    </xdr:to>
    <xdr:graphicFrame macro="">
      <xdr:nvGraphicFramePr>
        <xdr:cNvPr id="10244" name="Chart 4">
          <a:extLst>
            <a:ext uri="{FF2B5EF4-FFF2-40B4-BE49-F238E27FC236}">
              <a16:creationId xmlns:a16="http://schemas.microsoft.com/office/drawing/2014/main" id="{C29CD8B0-0793-C09A-83C5-642C68D83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171450</xdr:colOff>
      <xdr:row>2</xdr:row>
      <xdr:rowOff>0</xdr:rowOff>
    </xdr:from>
    <xdr:to>
      <xdr:col>51</xdr:col>
      <xdr:colOff>152400</xdr:colOff>
      <xdr:row>36</xdr:row>
      <xdr:rowOff>123825</xdr:rowOff>
    </xdr:to>
    <xdr:graphicFrame macro="">
      <xdr:nvGraphicFramePr>
        <xdr:cNvPr id="10245" name="Chart 5">
          <a:extLst>
            <a:ext uri="{FF2B5EF4-FFF2-40B4-BE49-F238E27FC236}">
              <a16:creationId xmlns:a16="http://schemas.microsoft.com/office/drawing/2014/main" id="{DB706574-44B5-B0DC-83E5-6770C011D7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57150</xdr:colOff>
      <xdr:row>69</xdr:row>
      <xdr:rowOff>114300</xdr:rowOff>
    </xdr:from>
    <xdr:to>
      <xdr:col>51</xdr:col>
      <xdr:colOff>114300</xdr:colOff>
      <xdr:row>113</xdr:row>
      <xdr:rowOff>0</xdr:rowOff>
    </xdr:to>
    <xdr:graphicFrame macro="">
      <xdr:nvGraphicFramePr>
        <xdr:cNvPr id="10246" name="Chart 6">
          <a:extLst>
            <a:ext uri="{FF2B5EF4-FFF2-40B4-BE49-F238E27FC236}">
              <a16:creationId xmlns:a16="http://schemas.microsoft.com/office/drawing/2014/main" id="{95CBA4CB-379B-F06C-0348-40B83C2807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ata/Design/holtrop%20condensed.XLS" TargetMode="External"/><Relationship Id="rId1" Type="http://schemas.openxmlformats.org/officeDocument/2006/relationships/externalLinkPath" Target="/Data/Design/holtrop%20condensed.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Data/Design/MonoSYN%20-%20FSC%20V5%20-%20Option%203A%20(3October01).xls" TargetMode="External"/><Relationship Id="rId1" Type="http://schemas.openxmlformats.org/officeDocument/2006/relationships/externalLinkPath" Target="/Data/Design/MonoSYN%20-%20FSC%20V5%20-%20Option%203A%20(3October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Welcome"/>
      <sheetName val="Powering Calculation"/>
      <sheetName val="Define Hull Form"/>
      <sheetName val="Input data"/>
      <sheetName val="Power Estimate Holtrop Max"/>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onohull Synthesis Model"/>
      <sheetName val="Weight Demand"/>
      <sheetName val="Area Demand"/>
      <sheetName val="FuelCalc Summary"/>
      <sheetName val="FuelCalc - data"/>
      <sheetName val="Prop"/>
      <sheetName val="Pe"/>
      <sheetName val="Comments about Synthesis Model"/>
      <sheetName val="Complement"/>
      <sheetName val="Accom Calcs"/>
      <sheetName val="T23 Pe"/>
      <sheetName val="Hullform Calcs"/>
      <sheetName val="Costs"/>
      <sheetName val="Hull Offsets"/>
      <sheetName val="Stability"/>
      <sheetName val="Macros"/>
    </sheetNames>
    <sheetDataSet>
      <sheetData sheetId="0"/>
      <sheetData sheetId="1" refreshError="1"/>
      <sheetData sheetId="2" refreshError="1"/>
      <sheetData sheetId="3" refreshError="1">
        <row r="2">
          <cell r="D2">
            <v>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15712-BB35-449F-A7D5-C2A6178F9435}">
  <sheetPr codeName="Sheet2"/>
  <dimension ref="A1:A51"/>
  <sheetViews>
    <sheetView topLeftCell="A16" workbookViewId="0">
      <selection activeCell="S30" sqref="S30"/>
    </sheetView>
  </sheetViews>
  <sheetFormatPr defaultRowHeight="12.75" x14ac:dyDescent="0.2"/>
  <cols>
    <col min="1" max="1" width="79.7109375" style="2" customWidth="1"/>
  </cols>
  <sheetData>
    <row r="1" spans="1:1" x14ac:dyDescent="0.2">
      <c r="A1" s="2" t="s">
        <v>33</v>
      </c>
    </row>
    <row r="3" spans="1:1" x14ac:dyDescent="0.2">
      <c r="A3" s="33" t="s">
        <v>36</v>
      </c>
    </row>
    <row r="5" spans="1:1" x14ac:dyDescent="0.2">
      <c r="A5" s="33" t="s">
        <v>117</v>
      </c>
    </row>
    <row r="7" spans="1:1" x14ac:dyDescent="0.2">
      <c r="A7" s="33" t="s">
        <v>91</v>
      </c>
    </row>
    <row r="8" spans="1:1" x14ac:dyDescent="0.2">
      <c r="A8" s="34" t="s">
        <v>118</v>
      </c>
    </row>
    <row r="9" spans="1:1" x14ac:dyDescent="0.2">
      <c r="A9" s="34"/>
    </row>
    <row r="11" spans="1:1" x14ac:dyDescent="0.2">
      <c r="A11" s="33" t="s">
        <v>112</v>
      </c>
    </row>
    <row r="13" spans="1:1" x14ac:dyDescent="0.2">
      <c r="A13" s="2" t="s">
        <v>113</v>
      </c>
    </row>
    <row r="15" spans="1:1" x14ac:dyDescent="0.2">
      <c r="A15" s="2" t="s">
        <v>115</v>
      </c>
    </row>
    <row r="17" spans="1:1" x14ac:dyDescent="0.2">
      <c r="A17" s="2" t="s">
        <v>114</v>
      </c>
    </row>
    <row r="19" spans="1:1" x14ac:dyDescent="0.2">
      <c r="A19" s="2" t="s">
        <v>116</v>
      </c>
    </row>
    <row r="21" spans="1:1" ht="38.25" x14ac:dyDescent="0.2">
      <c r="A21" s="2" t="s">
        <v>119</v>
      </c>
    </row>
    <row r="23" spans="1:1" ht="38.25" x14ac:dyDescent="0.2">
      <c r="A23" s="2" t="s">
        <v>120</v>
      </c>
    </row>
    <row r="25" spans="1:1" ht="25.5" x14ac:dyDescent="0.2">
      <c r="A25" s="2" t="s">
        <v>121</v>
      </c>
    </row>
    <row r="27" spans="1:1" x14ac:dyDescent="0.2">
      <c r="A27" s="2" t="s">
        <v>122</v>
      </c>
    </row>
    <row r="28" spans="1:1" x14ac:dyDescent="0.2">
      <c r="A28" s="2" t="s">
        <v>38</v>
      </c>
    </row>
    <row r="29" spans="1:1" x14ac:dyDescent="0.2">
      <c r="A29" s="33" t="s">
        <v>111</v>
      </c>
    </row>
    <row r="30" spans="1:1" x14ac:dyDescent="0.2">
      <c r="A30" s="33"/>
    </row>
    <row r="31" spans="1:1" x14ac:dyDescent="0.2">
      <c r="A31" s="2" t="s">
        <v>123</v>
      </c>
    </row>
    <row r="33" spans="1:1" ht="25.5" x14ac:dyDescent="0.2">
      <c r="A33" s="2" t="s">
        <v>110</v>
      </c>
    </row>
    <row r="35" spans="1:1" ht="213.75" customHeight="1" x14ac:dyDescent="0.2">
      <c r="A35" s="103"/>
    </row>
    <row r="36" spans="1:1" ht="12.75" customHeight="1" x14ac:dyDescent="0.2"/>
    <row r="37" spans="1:1" ht="102" x14ac:dyDescent="0.2">
      <c r="A37" s="2" t="s">
        <v>93</v>
      </c>
    </row>
    <row r="41" spans="1:1" x14ac:dyDescent="0.2">
      <c r="A41" s="33" t="s">
        <v>92</v>
      </c>
    </row>
    <row r="42" spans="1:1" x14ac:dyDescent="0.2">
      <c r="A42" s="3" t="s">
        <v>41</v>
      </c>
    </row>
    <row r="43" spans="1:1" ht="25.5" x14ac:dyDescent="0.2">
      <c r="A43" s="2" t="s">
        <v>39</v>
      </c>
    </row>
    <row r="45" spans="1:1" x14ac:dyDescent="0.2">
      <c r="A45" s="3" t="s">
        <v>42</v>
      </c>
    </row>
    <row r="46" spans="1:1" ht="38.25" x14ac:dyDescent="0.2">
      <c r="A46" s="2" t="s">
        <v>40</v>
      </c>
    </row>
    <row r="48" spans="1:1" x14ac:dyDescent="0.2">
      <c r="A48" s="3" t="s">
        <v>133</v>
      </c>
    </row>
    <row r="49" spans="1:1" x14ac:dyDescent="0.2">
      <c r="A49" s="2" t="s">
        <v>134</v>
      </c>
    </row>
    <row r="51" spans="1:1" ht="38.25" x14ac:dyDescent="0.2">
      <c r="A51" s="34" t="s">
        <v>296</v>
      </c>
    </row>
  </sheetData>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01127-B492-4657-84E8-8C71A1C5D60E}">
  <sheetPr codeName="Sheet1"/>
  <dimension ref="A1:Z76"/>
  <sheetViews>
    <sheetView tabSelected="1" zoomScale="70" zoomScaleNormal="70" workbookViewId="0">
      <selection activeCell="D5" sqref="D5"/>
    </sheetView>
  </sheetViews>
  <sheetFormatPr defaultRowHeight="12.75" x14ac:dyDescent="0.2"/>
  <cols>
    <col min="1" max="1" width="32.7109375" customWidth="1"/>
    <col min="2" max="2" width="9.140625" bestFit="1" customWidth="1"/>
    <col min="3" max="3" width="9.85546875" customWidth="1"/>
  </cols>
  <sheetData>
    <row r="1" spans="1:26" ht="15.75" x14ac:dyDescent="0.25">
      <c r="A1" s="20" t="s">
        <v>34</v>
      </c>
      <c r="B1" s="104" t="s">
        <v>402</v>
      </c>
    </row>
    <row r="2" spans="1:26" x14ac:dyDescent="0.2">
      <c r="A2" s="221" t="s">
        <v>375</v>
      </c>
      <c r="D2" s="315" t="s">
        <v>407</v>
      </c>
    </row>
    <row r="3" spans="1:26" ht="15.75" x14ac:dyDescent="0.25">
      <c r="A3" s="20" t="s">
        <v>231</v>
      </c>
      <c r="D3" s="237" t="s">
        <v>406</v>
      </c>
      <c r="W3" s="1" t="s">
        <v>249</v>
      </c>
    </row>
    <row r="4" spans="1:26" x14ac:dyDescent="0.2">
      <c r="A4" s="98" t="s">
        <v>13</v>
      </c>
      <c r="D4" s="237" t="s">
        <v>408</v>
      </c>
      <c r="W4" s="1" t="s">
        <v>248</v>
      </c>
      <c r="X4" s="1" t="s">
        <v>250</v>
      </c>
      <c r="Y4" t="s">
        <v>251</v>
      </c>
      <c r="Z4" t="s">
        <v>252</v>
      </c>
    </row>
    <row r="5" spans="1:26" x14ac:dyDescent="0.2">
      <c r="A5" s="1" t="s">
        <v>239</v>
      </c>
      <c r="B5" s="184">
        <v>20</v>
      </c>
      <c r="C5" s="1" t="s">
        <v>61</v>
      </c>
      <c r="W5" s="184">
        <v>37</v>
      </c>
      <c r="X5" s="184">
        <v>20</v>
      </c>
      <c r="Y5" s="184">
        <v>31</v>
      </c>
      <c r="Z5" s="184">
        <v>20</v>
      </c>
    </row>
    <row r="6" spans="1:26" x14ac:dyDescent="0.2">
      <c r="A6" t="s">
        <v>37</v>
      </c>
      <c r="B6" s="62">
        <v>17.2</v>
      </c>
      <c r="C6" t="s">
        <v>61</v>
      </c>
      <c r="W6" s="62">
        <v>32.35</v>
      </c>
      <c r="X6" s="62">
        <v>18</v>
      </c>
      <c r="Y6" s="62">
        <v>27.7</v>
      </c>
      <c r="Z6" s="62">
        <v>17.2</v>
      </c>
    </row>
    <row r="7" spans="1:26" x14ac:dyDescent="0.2">
      <c r="A7" t="s">
        <v>35</v>
      </c>
      <c r="B7" s="62">
        <v>2.8</v>
      </c>
      <c r="C7" t="s">
        <v>61</v>
      </c>
      <c r="F7" s="1"/>
      <c r="K7" s="1"/>
      <c r="W7" s="62">
        <v>3.7</v>
      </c>
      <c r="X7" s="62">
        <v>2.9</v>
      </c>
      <c r="Y7" s="62">
        <v>3.25</v>
      </c>
      <c r="Z7" s="62">
        <v>2.8</v>
      </c>
    </row>
    <row r="8" spans="1:26" x14ac:dyDescent="0.2">
      <c r="A8" t="s">
        <v>105</v>
      </c>
      <c r="B8" s="62">
        <v>1.75</v>
      </c>
      <c r="C8" t="s">
        <v>61</v>
      </c>
      <c r="W8" s="62">
        <v>2.4</v>
      </c>
      <c r="X8" s="62">
        <v>2</v>
      </c>
      <c r="Y8" s="31">
        <v>2.0499999999999998</v>
      </c>
      <c r="Z8" s="62">
        <v>1.75</v>
      </c>
    </row>
    <row r="9" spans="1:26" x14ac:dyDescent="0.2">
      <c r="A9" t="s">
        <v>1</v>
      </c>
      <c r="B9" s="31">
        <v>0.97750000000000004</v>
      </c>
      <c r="C9" t="s">
        <v>61</v>
      </c>
      <c r="W9" s="31">
        <v>1.1499999999999999</v>
      </c>
      <c r="X9" s="31">
        <v>1</v>
      </c>
      <c r="Y9" s="31">
        <v>0.96312499999999979</v>
      </c>
      <c r="Z9" s="31">
        <v>0.97750000000000004</v>
      </c>
    </row>
    <row r="10" spans="1:26" x14ac:dyDescent="0.2">
      <c r="A10" t="s">
        <v>14</v>
      </c>
      <c r="B10" s="31">
        <v>0.75900000000000001</v>
      </c>
      <c r="C10" t="s">
        <v>61</v>
      </c>
      <c r="W10" s="31">
        <v>1.1476528477153363</v>
      </c>
      <c r="X10" s="31">
        <v>0.97784522595788304</v>
      </c>
      <c r="Y10" s="31">
        <v>0.9800498878881102</v>
      </c>
      <c r="Z10" s="31">
        <v>0.75900000000000001</v>
      </c>
    </row>
    <row r="11" spans="1:26" x14ac:dyDescent="0.2">
      <c r="A11" t="s">
        <v>107</v>
      </c>
      <c r="B11" s="62">
        <v>0</v>
      </c>
      <c r="W11" s="62">
        <v>0</v>
      </c>
      <c r="X11" s="62">
        <v>0</v>
      </c>
      <c r="Y11" s="62">
        <v>-0.15</v>
      </c>
      <c r="Z11" s="62">
        <v>0</v>
      </c>
    </row>
    <row r="12" spans="1:26" x14ac:dyDescent="0.2">
      <c r="A12" t="s">
        <v>108</v>
      </c>
      <c r="B12" s="62">
        <v>0</v>
      </c>
      <c r="W12" s="62">
        <f>W11</f>
        <v>0</v>
      </c>
      <c r="X12" s="62">
        <f>X11</f>
        <v>0</v>
      </c>
      <c r="Y12" s="62">
        <v>-0.15</v>
      </c>
      <c r="Z12" s="62">
        <v>0</v>
      </c>
    </row>
    <row r="13" spans="1:26" x14ac:dyDescent="0.2">
      <c r="A13" t="s">
        <v>25</v>
      </c>
      <c r="B13" s="62">
        <v>0</v>
      </c>
      <c r="W13" s="62">
        <v>0</v>
      </c>
      <c r="X13" s="62">
        <v>0</v>
      </c>
      <c r="Y13" s="62">
        <v>0</v>
      </c>
      <c r="Z13" s="62">
        <v>0</v>
      </c>
    </row>
    <row r="14" spans="1:26" x14ac:dyDescent="0.2">
      <c r="A14" t="s">
        <v>31</v>
      </c>
      <c r="B14" s="62">
        <v>5.1278789357413626</v>
      </c>
      <c r="W14" s="62">
        <v>0</v>
      </c>
      <c r="X14" s="62">
        <v>-0.85031571243267934</v>
      </c>
      <c r="Y14" s="32">
        <v>-1.2492237982397634</v>
      </c>
      <c r="Z14" s="62">
        <v>5.1278789357413626</v>
      </c>
    </row>
    <row r="15" spans="1:26" x14ac:dyDescent="0.2">
      <c r="A15" s="1" t="s">
        <v>210</v>
      </c>
      <c r="B15" s="185" t="s">
        <v>242</v>
      </c>
      <c r="W15" s="185" t="s">
        <v>50</v>
      </c>
      <c r="X15" s="185" t="s">
        <v>242</v>
      </c>
      <c r="Y15" s="185" t="s">
        <v>242</v>
      </c>
      <c r="Z15" s="185" t="s">
        <v>242</v>
      </c>
    </row>
    <row r="16" spans="1:26" x14ac:dyDescent="0.2">
      <c r="A16" s="1" t="s">
        <v>215</v>
      </c>
      <c r="B16" s="185" t="s">
        <v>242</v>
      </c>
      <c r="W16" s="185" t="s">
        <v>245</v>
      </c>
      <c r="X16" s="185" t="s">
        <v>242</v>
      </c>
      <c r="Y16" s="185" t="s">
        <v>242</v>
      </c>
      <c r="Z16" s="185" t="s">
        <v>242</v>
      </c>
    </row>
    <row r="17" spans="1:26" x14ac:dyDescent="0.2">
      <c r="A17" s="1" t="s">
        <v>216</v>
      </c>
      <c r="B17" s="185" t="s">
        <v>242</v>
      </c>
      <c r="W17" s="185" t="s">
        <v>50</v>
      </c>
      <c r="X17" s="185" t="s">
        <v>242</v>
      </c>
      <c r="Y17" s="185" t="s">
        <v>242</v>
      </c>
      <c r="Z17" s="185" t="s">
        <v>242</v>
      </c>
    </row>
    <row r="18" spans="1:26" x14ac:dyDescent="0.2">
      <c r="A18" s="1" t="s">
        <v>217</v>
      </c>
      <c r="B18" s="185" t="s">
        <v>50</v>
      </c>
      <c r="W18" s="185" t="s">
        <v>50</v>
      </c>
      <c r="X18" s="185" t="s">
        <v>50</v>
      </c>
      <c r="Y18" s="185" t="s">
        <v>50</v>
      </c>
      <c r="Z18" s="185" t="s">
        <v>50</v>
      </c>
    </row>
    <row r="19" spans="1:26" x14ac:dyDescent="0.2">
      <c r="A19" s="1" t="s">
        <v>218</v>
      </c>
      <c r="B19" s="185" t="s">
        <v>242</v>
      </c>
      <c r="W19" s="185" t="s">
        <v>50</v>
      </c>
      <c r="X19" s="185" t="s">
        <v>242</v>
      </c>
      <c r="Y19" s="185" t="s">
        <v>242</v>
      </c>
      <c r="Z19" s="185" t="s">
        <v>242</v>
      </c>
    </row>
    <row r="20" spans="1:26" x14ac:dyDescent="0.2">
      <c r="A20" s="1" t="s">
        <v>219</v>
      </c>
      <c r="B20" s="185" t="s">
        <v>242</v>
      </c>
      <c r="W20" s="185" t="s">
        <v>50</v>
      </c>
      <c r="X20" s="185" t="s">
        <v>242</v>
      </c>
      <c r="Y20" s="185" t="s">
        <v>242</v>
      </c>
      <c r="Z20" s="185" t="s">
        <v>242</v>
      </c>
    </row>
    <row r="21" spans="1:26" x14ac:dyDescent="0.2">
      <c r="A21" s="1" t="s">
        <v>222</v>
      </c>
      <c r="B21" s="185">
        <v>2.4500000000000002</v>
      </c>
      <c r="C21" s="1" t="s">
        <v>61</v>
      </c>
      <c r="W21" s="185">
        <v>2.4500000000000002</v>
      </c>
      <c r="X21" s="185">
        <v>2.4500000000000002</v>
      </c>
      <c r="Y21" s="185">
        <v>2</v>
      </c>
      <c r="Z21" s="185">
        <v>2.4500000000000002</v>
      </c>
    </row>
    <row r="22" spans="1:26" x14ac:dyDescent="0.2">
      <c r="A22" s="1" t="s">
        <v>220</v>
      </c>
      <c r="B22" s="185">
        <v>2</v>
      </c>
      <c r="C22" s="1" t="s">
        <v>61</v>
      </c>
      <c r="W22" s="185">
        <v>2.1</v>
      </c>
      <c r="X22" s="185">
        <v>2</v>
      </c>
      <c r="Y22" s="185">
        <v>2</v>
      </c>
      <c r="Z22" s="185">
        <v>2</v>
      </c>
    </row>
    <row r="23" spans="1:26" x14ac:dyDescent="0.2">
      <c r="A23" s="1" t="s">
        <v>221</v>
      </c>
      <c r="B23" s="185">
        <v>1.3</v>
      </c>
      <c r="C23" s="1" t="s">
        <v>61</v>
      </c>
      <c r="W23" s="185">
        <v>1.53</v>
      </c>
      <c r="X23" s="185">
        <v>1.3</v>
      </c>
      <c r="Y23" s="185">
        <v>2</v>
      </c>
      <c r="Z23" s="185">
        <v>1.3</v>
      </c>
    </row>
    <row r="24" spans="1:26" x14ac:dyDescent="0.2">
      <c r="A24" s="1" t="s">
        <v>339</v>
      </c>
      <c r="B24" s="185">
        <v>4.5</v>
      </c>
      <c r="C24" s="1"/>
      <c r="W24" s="185">
        <v>5.2</v>
      </c>
      <c r="X24" s="185">
        <v>2.5</v>
      </c>
      <c r="Y24" s="185">
        <f>2+2.5</f>
        <v>4.5</v>
      </c>
      <c r="Z24" s="185">
        <v>4.5</v>
      </c>
    </row>
    <row r="25" spans="1:26" x14ac:dyDescent="0.2">
      <c r="A25" s="1" t="s">
        <v>328</v>
      </c>
      <c r="B25" s="185">
        <v>2</v>
      </c>
      <c r="C25" s="1"/>
      <c r="W25" s="185">
        <v>2</v>
      </c>
      <c r="X25" s="185">
        <v>2</v>
      </c>
      <c r="Y25" s="185">
        <v>2</v>
      </c>
      <c r="Z25" s="185">
        <v>2</v>
      </c>
    </row>
    <row r="26" spans="1:26" x14ac:dyDescent="0.2">
      <c r="A26" s="1" t="s">
        <v>340</v>
      </c>
      <c r="B26" s="185">
        <v>0.25</v>
      </c>
      <c r="C26" s="1"/>
      <c r="W26" s="185">
        <v>0.75</v>
      </c>
      <c r="X26" s="185">
        <v>0.25</v>
      </c>
      <c r="Y26" s="185">
        <v>0.5</v>
      </c>
      <c r="Z26" s="185">
        <v>0.25</v>
      </c>
    </row>
    <row r="27" spans="1:26" x14ac:dyDescent="0.2">
      <c r="A27" s="1" t="s">
        <v>341</v>
      </c>
      <c r="B27" s="185">
        <v>0.96</v>
      </c>
      <c r="C27" s="1"/>
      <c r="W27" s="185">
        <v>1.5</v>
      </c>
      <c r="X27" s="185">
        <v>1</v>
      </c>
      <c r="Y27" s="185">
        <v>1.2809403425074779</v>
      </c>
      <c r="Z27" s="185">
        <v>0.96</v>
      </c>
    </row>
    <row r="28" spans="1:26" x14ac:dyDescent="0.2">
      <c r="A28" s="1" t="s">
        <v>342</v>
      </c>
      <c r="B28" s="185">
        <v>0.26</v>
      </c>
      <c r="C28" s="1"/>
      <c r="W28" s="185">
        <v>0.5</v>
      </c>
      <c r="X28" s="185">
        <v>0.25</v>
      </c>
      <c r="Y28" s="185">
        <v>0.42812982998454402</v>
      </c>
      <c r="Z28" s="185">
        <v>0.26</v>
      </c>
    </row>
    <row r="29" spans="1:26" x14ac:dyDescent="0.2">
      <c r="A29" t="s">
        <v>343</v>
      </c>
      <c r="B29" s="185">
        <v>-7.9752704791344664</v>
      </c>
      <c r="C29" s="1"/>
      <c r="W29" s="185">
        <v>-15</v>
      </c>
      <c r="X29" s="185">
        <v>-7.9752704791344664</v>
      </c>
      <c r="Y29" s="185">
        <f>-15*LWL/32.35</f>
        <v>-7.9752704791344664</v>
      </c>
      <c r="Z29" s="185">
        <v>-7.9752704791344664</v>
      </c>
    </row>
    <row r="30" spans="1:26" x14ac:dyDescent="0.2">
      <c r="A30" s="1" t="s">
        <v>347</v>
      </c>
      <c r="B30" s="185">
        <v>0</v>
      </c>
      <c r="C30" s="1"/>
      <c r="W30" s="185">
        <v>0</v>
      </c>
      <c r="X30" s="185">
        <v>0</v>
      </c>
      <c r="Y30" s="185">
        <v>0</v>
      </c>
      <c r="Z30" s="185">
        <v>0</v>
      </c>
    </row>
    <row r="31" spans="1:26" x14ac:dyDescent="0.2">
      <c r="A31" s="1"/>
      <c r="B31" s="185"/>
      <c r="C31" s="1"/>
      <c r="W31" s="185"/>
      <c r="X31" s="185"/>
      <c r="Y31" s="185"/>
      <c r="Z31" s="185"/>
    </row>
    <row r="32" spans="1:26" x14ac:dyDescent="0.2">
      <c r="A32" s="1"/>
      <c r="B32" s="185"/>
      <c r="C32" s="1"/>
      <c r="W32" s="185"/>
      <c r="X32" s="185"/>
      <c r="Y32" s="185"/>
      <c r="Z32" s="185"/>
    </row>
    <row r="33" spans="1:26" x14ac:dyDescent="0.2">
      <c r="A33" s="1"/>
      <c r="B33" s="185"/>
      <c r="C33" s="1"/>
      <c r="W33" s="185"/>
      <c r="X33" s="185"/>
      <c r="Y33" s="185"/>
      <c r="Z33" s="185"/>
    </row>
    <row r="34" spans="1:26" x14ac:dyDescent="0.2">
      <c r="A34" s="1" t="s">
        <v>238</v>
      </c>
      <c r="B34" s="185">
        <v>2</v>
      </c>
      <c r="C34" s="1" t="s">
        <v>244</v>
      </c>
      <c r="W34" s="185">
        <v>2</v>
      </c>
      <c r="X34" s="185">
        <v>2</v>
      </c>
      <c r="Y34" s="185">
        <v>2</v>
      </c>
      <c r="Z34" s="185">
        <v>2</v>
      </c>
    </row>
    <row r="35" spans="1:26" x14ac:dyDescent="0.2">
      <c r="A35" s="1"/>
      <c r="B35" s="1"/>
      <c r="W35" s="1"/>
      <c r="X35" s="1"/>
      <c r="Y35" s="1"/>
      <c r="Z35" s="1"/>
    </row>
    <row r="36" spans="1:26" x14ac:dyDescent="0.2">
      <c r="A36" s="98" t="s">
        <v>205</v>
      </c>
      <c r="B36" s="1"/>
      <c r="W36" s="1"/>
      <c r="X36" s="1"/>
      <c r="Y36" s="1"/>
      <c r="Z36" s="1"/>
    </row>
    <row r="37" spans="1:26" x14ac:dyDescent="0.2">
      <c r="A37" s="1" t="s">
        <v>202</v>
      </c>
      <c r="B37" s="184">
        <v>0</v>
      </c>
      <c r="W37" s="184">
        <v>62</v>
      </c>
      <c r="X37" s="184">
        <v>0</v>
      </c>
      <c r="Y37" s="184">
        <v>0</v>
      </c>
      <c r="Z37" s="184">
        <v>0</v>
      </c>
    </row>
    <row r="38" spans="1:26" x14ac:dyDescent="0.2">
      <c r="A38" s="1" t="s">
        <v>203</v>
      </c>
      <c r="B38" s="184">
        <v>26</v>
      </c>
      <c r="W38" s="184">
        <v>54</v>
      </c>
      <c r="X38" s="184">
        <v>26</v>
      </c>
      <c r="Y38" s="184">
        <v>26</v>
      </c>
      <c r="Z38" s="184">
        <v>26</v>
      </c>
    </row>
    <row r="39" spans="1:26" x14ac:dyDescent="0.2">
      <c r="A39" s="1" t="s">
        <v>204</v>
      </c>
      <c r="B39" s="184">
        <v>24</v>
      </c>
      <c r="W39" s="184">
        <v>54</v>
      </c>
      <c r="X39" s="184">
        <v>24</v>
      </c>
      <c r="Y39" s="184">
        <v>24</v>
      </c>
      <c r="Z39" s="184">
        <v>24</v>
      </c>
    </row>
    <row r="40" spans="1:26" x14ac:dyDescent="0.2">
      <c r="A40" s="1" t="s">
        <v>171</v>
      </c>
      <c r="B40" s="184">
        <v>1</v>
      </c>
      <c r="W40" s="184">
        <v>1</v>
      </c>
      <c r="X40" s="184">
        <v>1</v>
      </c>
      <c r="Y40" s="184">
        <v>1</v>
      </c>
      <c r="Z40" s="184">
        <v>1</v>
      </c>
    </row>
    <row r="41" spans="1:26" x14ac:dyDescent="0.2">
      <c r="A41" s="1" t="s">
        <v>207</v>
      </c>
      <c r="B41" s="184">
        <v>1</v>
      </c>
      <c r="W41" s="184">
        <v>1</v>
      </c>
      <c r="X41" s="184">
        <v>1</v>
      </c>
      <c r="Y41" s="184">
        <v>1</v>
      </c>
      <c r="Z41" s="184">
        <v>1</v>
      </c>
    </row>
    <row r="42" spans="1:26" x14ac:dyDescent="0.2">
      <c r="A42" s="1" t="s">
        <v>172</v>
      </c>
      <c r="B42" s="184">
        <v>8</v>
      </c>
      <c r="W42" s="184">
        <v>28</v>
      </c>
      <c r="X42" s="184">
        <v>8</v>
      </c>
      <c r="Y42" s="184">
        <v>8</v>
      </c>
      <c r="Z42" s="184">
        <v>8</v>
      </c>
    </row>
    <row r="43" spans="1:26" x14ac:dyDescent="0.2">
      <c r="A43" s="1" t="s">
        <v>326</v>
      </c>
      <c r="B43" s="184" t="s">
        <v>348</v>
      </c>
      <c r="Q43" s="184"/>
      <c r="Y43" s="184" t="s">
        <v>348</v>
      </c>
    </row>
    <row r="44" spans="1:26" x14ac:dyDescent="0.2">
      <c r="A44" s="237" t="s">
        <v>398</v>
      </c>
      <c r="B44" s="184" t="s">
        <v>283</v>
      </c>
    </row>
    <row r="45" spans="1:26" ht="15.75" x14ac:dyDescent="0.25">
      <c r="A45" s="20" t="s">
        <v>226</v>
      </c>
      <c r="B45" s="98" t="str">
        <f>IF(ABS(B48)&gt;0.1,"NOT BALANCED","BALANCED DESIGN")</f>
        <v>BALANCED DESIGN</v>
      </c>
    </row>
    <row r="46" spans="1:26" x14ac:dyDescent="0.2">
      <c r="A46" s="1" t="s">
        <v>227</v>
      </c>
      <c r="B46" s="189">
        <f>D60</f>
        <v>14.411900721671186</v>
      </c>
      <c r="C46" s="1" t="s">
        <v>228</v>
      </c>
    </row>
    <row r="47" spans="1:26" x14ac:dyDescent="0.2">
      <c r="A47" s="1" t="s">
        <v>229</v>
      </c>
      <c r="B47" s="189">
        <f>Weight!H82/1000</f>
        <v>14.483646713886092</v>
      </c>
      <c r="C47" s="1" t="s">
        <v>228</v>
      </c>
    </row>
    <row r="48" spans="1:26" x14ac:dyDescent="0.2">
      <c r="A48" s="1" t="s">
        <v>230</v>
      </c>
      <c r="B48" s="189">
        <f>B47-B46</f>
        <v>7.1745992214905741E-2</v>
      </c>
      <c r="C48" s="1" t="s">
        <v>228</v>
      </c>
    </row>
    <row r="49" spans="1:12" x14ac:dyDescent="0.2">
      <c r="A49" s="1" t="s">
        <v>233</v>
      </c>
      <c r="B49" s="66">
        <f>IF(B48&gt;0.1,"NOT BALLANCED",MIN(B21:B23)-T)</f>
        <v>0.54100000000000004</v>
      </c>
      <c r="C49" s="1" t="s">
        <v>61</v>
      </c>
    </row>
    <row r="50" spans="1:12" x14ac:dyDescent="0.2">
      <c r="A50" s="1" t="s">
        <v>247</v>
      </c>
      <c r="B50" s="66">
        <f>D70</f>
        <v>0.50635480121377752</v>
      </c>
      <c r="C50" s="1" t="s">
        <v>61</v>
      </c>
      <c r="E50" s="1" t="s">
        <v>38</v>
      </c>
    </row>
    <row r="51" spans="1:12" x14ac:dyDescent="0.2">
      <c r="A51" s="1" t="s">
        <v>322</v>
      </c>
      <c r="B51" s="189">
        <f>LWL/D</f>
        <v>9.8285714285714274</v>
      </c>
      <c r="C51" s="1" t="s">
        <v>323</v>
      </c>
    </row>
    <row r="52" spans="1:12" ht="13.5" thickBot="1" x14ac:dyDescent="0.25">
      <c r="B52" s="1"/>
    </row>
    <row r="53" spans="1:12" x14ac:dyDescent="0.2">
      <c r="A53" s="132"/>
      <c r="B53" s="134" t="s">
        <v>27</v>
      </c>
      <c r="C53" s="130" t="s">
        <v>26</v>
      </c>
      <c r="D53" s="128"/>
    </row>
    <row r="54" spans="1:12" ht="13.5" thickBot="1" x14ac:dyDescent="0.25">
      <c r="A54" s="133"/>
      <c r="B54" s="135" t="s">
        <v>132</v>
      </c>
      <c r="C54" s="131" t="s">
        <v>130</v>
      </c>
      <c r="D54" s="129" t="s">
        <v>131</v>
      </c>
    </row>
    <row r="55" spans="1:12" x14ac:dyDescent="0.2">
      <c r="A55" s="92" t="s">
        <v>125</v>
      </c>
      <c r="B55" s="136">
        <f>'Basis Hull'!E5</f>
        <v>32.35</v>
      </c>
      <c r="C55" s="136">
        <f>Input!B6</f>
        <v>17.2</v>
      </c>
      <c r="D55" s="57">
        <f>LWL</f>
        <v>17.2</v>
      </c>
    </row>
    <row r="56" spans="1:12" x14ac:dyDescent="0.2">
      <c r="A56" s="93" t="s">
        <v>126</v>
      </c>
      <c r="B56" s="56">
        <f>2*MAX('Basis Hull'!C224:W224)</f>
        <v>3.7042357797642769</v>
      </c>
      <c r="C56" s="56">
        <f>2*MAX(Transform!C262:W262)</f>
        <v>3.229293003706295</v>
      </c>
      <c r="D56" s="58">
        <f>2*MAX(Transform!C289:W289)</f>
        <v>2.9700889829645267</v>
      </c>
    </row>
    <row r="57" spans="1:12" x14ac:dyDescent="0.2">
      <c r="A57" s="178" t="s">
        <v>196</v>
      </c>
      <c r="B57" s="56"/>
      <c r="C57" s="56">
        <f>2*MAX(Transform!W52:W78)</f>
        <v>3.4054054054054053</v>
      </c>
      <c r="D57" s="58"/>
      <c r="G57" s="1"/>
    </row>
    <row r="58" spans="1:12" x14ac:dyDescent="0.2">
      <c r="A58" s="93" t="s">
        <v>127</v>
      </c>
      <c r="B58" s="56">
        <f>'Basis Hull'!E7</f>
        <v>2.4</v>
      </c>
      <c r="C58" s="56">
        <f>D</f>
        <v>1.75</v>
      </c>
      <c r="D58" s="58">
        <f>D</f>
        <v>1.75</v>
      </c>
    </row>
    <row r="59" spans="1:12" x14ac:dyDescent="0.2">
      <c r="A59" s="93" t="s">
        <v>129</v>
      </c>
      <c r="B59" s="56">
        <f>'Basis Hull'!I5</f>
        <v>1.1499999999999999</v>
      </c>
      <c r="C59" s="56">
        <f>Input!B9</f>
        <v>0.97750000000000004</v>
      </c>
      <c r="D59" s="94">
        <f>T</f>
        <v>0.75900000000000001</v>
      </c>
    </row>
    <row r="60" spans="1:12" x14ac:dyDescent="0.2">
      <c r="A60" s="93" t="s">
        <v>89</v>
      </c>
      <c r="B60" s="126">
        <f>'Basis Hull'!C234*1.0252</f>
        <v>45.376946465736602</v>
      </c>
      <c r="C60" s="126">
        <f>Transform!C268*1.0252</f>
        <v>23.344816397130717</v>
      </c>
      <c r="D60" s="141">
        <f>Transform!C295*1.0252</f>
        <v>14.411900721671186</v>
      </c>
      <c r="F60" s="177"/>
    </row>
    <row r="61" spans="1:12" x14ac:dyDescent="0.2">
      <c r="A61" s="93" t="s">
        <v>190</v>
      </c>
      <c r="B61" s="126">
        <f>'Basis Hull'!C235*1.0252</f>
        <v>45.376946465736602</v>
      </c>
      <c r="C61" s="126"/>
      <c r="D61" s="141">
        <f>Transform!C296*1.0252</f>
        <v>14.411900721671186</v>
      </c>
      <c r="H61" s="1" t="s">
        <v>324</v>
      </c>
      <c r="J61">
        <v>10656</v>
      </c>
      <c r="K61">
        <f>J61/12</f>
        <v>888</v>
      </c>
    </row>
    <row r="62" spans="1:12" x14ac:dyDescent="0.2">
      <c r="A62" s="302" t="s">
        <v>384</v>
      </c>
      <c r="B62" s="85">
        <f>'Basis Hull'!C240</f>
        <v>15.668849949460682</v>
      </c>
      <c r="C62" s="85">
        <f>Transform!C273</f>
        <v>8.3132704980657817</v>
      </c>
      <c r="D62" s="137">
        <f>Transform!C301</f>
        <v>8.4047375531355897</v>
      </c>
      <c r="F62" s="65" t="s">
        <v>38</v>
      </c>
      <c r="H62" s="1" t="s">
        <v>329</v>
      </c>
      <c r="I62" s="1" t="s">
        <v>330</v>
      </c>
      <c r="J62" s="1" t="s">
        <v>331</v>
      </c>
    </row>
    <row r="63" spans="1:12" x14ac:dyDescent="0.2">
      <c r="A63" s="93" t="s">
        <v>128</v>
      </c>
      <c r="B63" s="127">
        <f>(B62-(B55/2))/B55</f>
        <v>-1.5646060294878465E-2</v>
      </c>
      <c r="C63" s="127">
        <f>(C62-(C55/2))/C55</f>
        <v>-1.6670319879896395E-2</v>
      </c>
      <c r="D63" s="138">
        <f>(D62-(D55/2))/D55</f>
        <v>-1.1352467840954068E-2</v>
      </c>
      <c r="H63">
        <f>3000/53</f>
        <v>56.60377358490566</v>
      </c>
      <c r="I63" s="184">
        <f>2*26</f>
        <v>52</v>
      </c>
      <c r="J63">
        <f>I63*H63</f>
        <v>2943.3962264150941</v>
      </c>
      <c r="L63">
        <f>2900/2</f>
        <v>1450</v>
      </c>
    </row>
    <row r="64" spans="1:12" x14ac:dyDescent="0.2">
      <c r="A64" s="302" t="s">
        <v>385</v>
      </c>
      <c r="B64" s="56">
        <f>'Basis Hull'!C246</f>
        <v>15.247386877033769</v>
      </c>
      <c r="C64" s="56">
        <f>Transform!C279</f>
        <v>8.0212437317644838</v>
      </c>
      <c r="D64" s="58">
        <f>Transform!C307</f>
        <v>8.3014744274718648</v>
      </c>
      <c r="I64" s="184"/>
    </row>
    <row r="65" spans="1:11" x14ac:dyDescent="0.2">
      <c r="A65" s="302" t="s">
        <v>67</v>
      </c>
      <c r="B65" s="56">
        <f>'Basis Hull'!C239</f>
        <v>91.872982597960586</v>
      </c>
      <c r="C65" s="56">
        <f>Transform!C272</f>
        <v>42.672513270600312</v>
      </c>
      <c r="D65" s="58">
        <f>Transform!C300</f>
        <v>36.704258358159464</v>
      </c>
      <c r="I65" s="184"/>
    </row>
    <row r="66" spans="1:11" x14ac:dyDescent="0.2">
      <c r="A66" s="93" t="s">
        <v>321</v>
      </c>
      <c r="B66" s="56">
        <f>B55/(B60/1.025)^0.333333</f>
        <v>9.1447330651036491</v>
      </c>
      <c r="C66" s="56">
        <f>C55/(C60/1.025)^0.333333</f>
        <v>6.0679226165882456</v>
      </c>
      <c r="D66" s="58">
        <f>D55/(D60/1.025)^0.333333</f>
        <v>7.1262824364955382</v>
      </c>
      <c r="H66">
        <f>15000/131</f>
        <v>114.50381679389314</v>
      </c>
      <c r="I66" s="184">
        <v>2</v>
      </c>
      <c r="J66">
        <f>I66*H66</f>
        <v>229.00763358778627</v>
      </c>
      <c r="K66">
        <f>J66/12</f>
        <v>19.083969465648856</v>
      </c>
    </row>
    <row r="67" spans="1:11" x14ac:dyDescent="0.2">
      <c r="A67" s="93" t="s">
        <v>73</v>
      </c>
      <c r="B67" s="85">
        <f>'Basis Hull'!C234/(Input!B55*Input!B56*Input!B59)</f>
        <v>0.32118549392675172</v>
      </c>
      <c r="C67" s="85">
        <f>Transform!C268/(C55*C56*C59)</f>
        <v>0.41940074777629666</v>
      </c>
      <c r="D67" s="139">
        <f>Transform!C295/(D55*D56*D59)</f>
        <v>0.36255423342613663</v>
      </c>
      <c r="E67" t="s">
        <v>38</v>
      </c>
    </row>
    <row r="68" spans="1:11" x14ac:dyDescent="0.2">
      <c r="A68" s="93" t="s">
        <v>78</v>
      </c>
      <c r="B68" s="85">
        <f>'Basis Hull'!C234/('Basis Hull'!C243*'Basis Hull'!E5)</f>
        <v>0.6914215907513851</v>
      </c>
      <c r="C68" s="85">
        <f>Transform!C268/(Transform!C276*Input!C55)</f>
        <v>0.66281263618775865</v>
      </c>
      <c r="D68" s="137">
        <f>Transform!C295/(Transform!C304*Input!D55)</f>
        <v>0.62017558095144065</v>
      </c>
      <c r="E68" s="21"/>
    </row>
    <row r="69" spans="1:11" x14ac:dyDescent="0.2">
      <c r="A69" s="93" t="s">
        <v>74</v>
      </c>
      <c r="B69" s="85">
        <f>'Basis Hull'!C243/(Input!B56*Input!B59)</f>
        <v>0.46452916458352328</v>
      </c>
      <c r="C69" s="85">
        <f>Transform!C276/(Input!C56*Input!C59)</f>
        <v>0.63275913113021987</v>
      </c>
      <c r="D69" s="137">
        <f>Transform!C304/(Input!D56*Input!D59)</f>
        <v>0.58459933696506561</v>
      </c>
    </row>
    <row r="70" spans="1:11" x14ac:dyDescent="0.2">
      <c r="A70" s="188" t="s">
        <v>214</v>
      </c>
      <c r="B70" s="186">
        <f>B71-Weight!F82</f>
        <v>0.76305777866263957</v>
      </c>
      <c r="C70" s="186"/>
      <c r="D70" s="187">
        <f>D71-Weight!I82</f>
        <v>0.50635480121377752</v>
      </c>
    </row>
    <row r="71" spans="1:11" ht="16.5" thickBot="1" x14ac:dyDescent="0.35">
      <c r="A71" s="211" t="s">
        <v>109</v>
      </c>
      <c r="B71" s="89">
        <f>'Basis Hull'!C241+'Basis Hull'!C242</f>
        <v>2.8127270369287296</v>
      </c>
      <c r="C71" s="89">
        <f>Transform!C274+Transform!C275</f>
        <v>2.0024929754369163</v>
      </c>
      <c r="D71" s="140">
        <f>Transform!C302+Transform!C303</f>
        <v>2.0765552867331278</v>
      </c>
    </row>
    <row r="73" spans="1:11" x14ac:dyDescent="0.2">
      <c r="B73" s="1" t="s">
        <v>208</v>
      </c>
      <c r="C73">
        <f>LWL</f>
        <v>17.2</v>
      </c>
    </row>
    <row r="74" spans="1:11" x14ac:dyDescent="0.2">
      <c r="B74" s="1" t="s">
        <v>209</v>
      </c>
      <c r="C74">
        <f>B7</f>
        <v>2.8</v>
      </c>
    </row>
    <row r="75" spans="1:11" x14ac:dyDescent="0.2">
      <c r="B75" s="1" t="s">
        <v>206</v>
      </c>
      <c r="C75">
        <f>D</f>
        <v>1.75</v>
      </c>
    </row>
    <row r="76" spans="1:11" x14ac:dyDescent="0.2">
      <c r="B76" s="1" t="s">
        <v>88</v>
      </c>
      <c r="C76">
        <f>Transform!C280</f>
        <v>59.203460279289025</v>
      </c>
    </row>
  </sheetData>
  <pageMargins left="0.75" right="0.75" top="1" bottom="1" header="0.5" footer="0.5"/>
  <pageSetup paperSize="9" orientation="portrait" r:id="rId1"/>
  <headerFooter alignWithMargins="0">
    <oddHeader>&amp;CINPUTS</oddHeader>
    <oddFooter>&amp;L&amp;F&amp;RPage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B8C7D-CC5D-4481-A528-D52A0BDCA1D8}">
  <sheetPr codeName="Sheet4"/>
  <dimension ref="A1:M89"/>
  <sheetViews>
    <sheetView workbookViewId="0">
      <selection activeCell="H92" sqref="H92"/>
    </sheetView>
  </sheetViews>
  <sheetFormatPr defaultRowHeight="12.75" outlineLevelRow="1" x14ac:dyDescent="0.2"/>
  <cols>
    <col min="1" max="1" width="3.7109375" customWidth="1"/>
    <col min="2" max="3" width="4" customWidth="1"/>
    <col min="4" max="4" width="24.28515625" customWidth="1"/>
    <col min="5" max="6" width="6.85546875" customWidth="1"/>
    <col min="7" max="7" width="9.140625" hidden="1" customWidth="1"/>
    <col min="8" max="8" width="7.140625" customWidth="1"/>
    <col min="9" max="9" width="6.28515625" customWidth="1"/>
    <col min="10" max="10" width="9.140625" hidden="1" customWidth="1"/>
    <col min="11" max="11" width="28.140625" customWidth="1"/>
  </cols>
  <sheetData>
    <row r="1" spans="1:13" ht="26.1" customHeight="1" thickBot="1" x14ac:dyDescent="0.25">
      <c r="E1" s="316" t="s">
        <v>232</v>
      </c>
      <c r="F1" s="317"/>
      <c r="G1" s="134"/>
      <c r="H1" s="190" t="s">
        <v>173</v>
      </c>
      <c r="I1" s="191"/>
      <c r="J1" s="134"/>
      <c r="K1" s="1" t="s">
        <v>352</v>
      </c>
    </row>
    <row r="2" spans="1:13" ht="13.5" thickBot="1" x14ac:dyDescent="0.25">
      <c r="A2" s="172"/>
      <c r="B2" s="173"/>
      <c r="C2" s="173"/>
      <c r="D2" s="174" t="s">
        <v>181</v>
      </c>
      <c r="E2" s="172" t="s">
        <v>153</v>
      </c>
      <c r="F2" s="173" t="s">
        <v>154</v>
      </c>
      <c r="G2" s="175" t="s">
        <v>180</v>
      </c>
      <c r="H2" s="172" t="s">
        <v>153</v>
      </c>
      <c r="I2" s="175" t="s">
        <v>154</v>
      </c>
      <c r="J2" s="191" t="s">
        <v>180</v>
      </c>
    </row>
    <row r="3" spans="1:13" x14ac:dyDescent="0.2">
      <c r="A3" s="198">
        <v>1</v>
      </c>
      <c r="B3" s="168"/>
      <c r="C3" s="168"/>
      <c r="D3" s="169" t="s">
        <v>136</v>
      </c>
      <c r="E3" s="170">
        <f>SUM(E4:E36)</f>
        <v>19836.546879999998</v>
      </c>
      <c r="F3" s="179">
        <f>IF(E3=0,0,G3/E3)</f>
        <v>1.8546890972588466</v>
      </c>
      <c r="G3" s="171">
        <f>SUM(G4:G36)</f>
        <v>36790.627225599987</v>
      </c>
      <c r="H3" s="170">
        <f>SUM(H4:H36)</f>
        <v>6588.9068570735108</v>
      </c>
      <c r="I3" s="199">
        <f>IF(H3=0,0,J3/H3)</f>
        <v>1.3192365519042168</v>
      </c>
      <c r="J3" s="192">
        <f>SUM(J4:J36)</f>
        <v>8692.3267629437087</v>
      </c>
    </row>
    <row r="4" spans="1:13" hidden="1" outlineLevel="1" x14ac:dyDescent="0.2">
      <c r="A4" s="93"/>
      <c r="B4" s="68"/>
      <c r="C4" s="68">
        <v>110</v>
      </c>
      <c r="D4" s="156" t="s">
        <v>137</v>
      </c>
      <c r="E4" s="80"/>
      <c r="F4" s="85"/>
      <c r="G4" s="164">
        <f>E4*F4</f>
        <v>0</v>
      </c>
      <c r="H4" s="80"/>
      <c r="I4" s="137"/>
      <c r="J4" s="193">
        <f>H4*I4</f>
        <v>0</v>
      </c>
    </row>
    <row r="5" spans="1:13" hidden="1" outlineLevel="1" x14ac:dyDescent="0.2">
      <c r="A5" s="93"/>
      <c r="B5" s="68"/>
      <c r="C5" s="68"/>
      <c r="D5" s="156" t="s">
        <v>152</v>
      </c>
      <c r="E5" s="80">
        <f>0.0727*24^3</f>
        <v>1005.0048</v>
      </c>
      <c r="F5" s="85">
        <f>0.013*24</f>
        <v>0.312</v>
      </c>
      <c r="G5" s="164">
        <f t="shared" ref="G5:G36" si="0">E5*F5</f>
        <v>313.5614976</v>
      </c>
      <c r="H5" s="80">
        <f>0.298389222430894*LWL^2.3333333</f>
        <v>227.86771690911638</v>
      </c>
      <c r="I5" s="137">
        <f>0.13*D</f>
        <v>0.22750000000000001</v>
      </c>
      <c r="J5" s="193">
        <f t="shared" ref="J5:J36" si="1">H5*I5</f>
        <v>51.839905596823982</v>
      </c>
      <c r="K5" s="237" t="s">
        <v>360</v>
      </c>
    </row>
    <row r="6" spans="1:13" hidden="1" outlineLevel="1" x14ac:dyDescent="0.2">
      <c r="A6" s="93"/>
      <c r="B6" s="68"/>
      <c r="C6" s="68"/>
      <c r="D6" s="156" t="s">
        <v>155</v>
      </c>
      <c r="E6" s="80">
        <f>0.4181*24^3</f>
        <v>5779.8144000000002</v>
      </c>
      <c r="F6" s="85">
        <v>1.32</v>
      </c>
      <c r="G6" s="164">
        <f t="shared" si="0"/>
        <v>7629.3550080000005</v>
      </c>
      <c r="H6" s="80">
        <f>26.295*HullSA</f>
        <v>2297.9500491598847</v>
      </c>
      <c r="I6" s="137">
        <f>0.55*D</f>
        <v>0.96250000000000013</v>
      </c>
      <c r="J6" s="193">
        <f t="shared" si="1"/>
        <v>2211.7769223163891</v>
      </c>
      <c r="K6" s="237" t="s">
        <v>360</v>
      </c>
      <c r="L6" s="1"/>
      <c r="M6" s="1"/>
    </row>
    <row r="7" spans="1:13" hidden="1" outlineLevel="1" x14ac:dyDescent="0.2">
      <c r="A7" s="93"/>
      <c r="B7" s="68"/>
      <c r="C7" s="68"/>
      <c r="D7" s="156" t="s">
        <v>156</v>
      </c>
      <c r="E7" s="80">
        <f>0.2115*24^3</f>
        <v>2923.7759999999998</v>
      </c>
      <c r="F7" s="85">
        <v>0.98</v>
      </c>
      <c r="G7" s="164">
        <f t="shared" si="0"/>
        <v>2865.3004799999999</v>
      </c>
      <c r="H7" s="80">
        <f>4.11122233099813*HullSA*D^1.333</f>
        <v>757.54439900910631</v>
      </c>
      <c r="I7" s="137">
        <f>0.4083*D</f>
        <v>0.71452499999999997</v>
      </c>
      <c r="J7" s="193">
        <f t="shared" si="1"/>
        <v>541.28441170198164</v>
      </c>
      <c r="K7" s="237" t="s">
        <v>360</v>
      </c>
    </row>
    <row r="8" spans="1:13" hidden="1" outlineLevel="1" x14ac:dyDescent="0.2">
      <c r="A8" s="93"/>
      <c r="B8" s="68"/>
      <c r="C8" s="68"/>
      <c r="D8" s="158" t="s">
        <v>197</v>
      </c>
      <c r="E8" s="80">
        <f>(0.01+0.0675)*24^3</f>
        <v>1071.3599999999999</v>
      </c>
      <c r="F8" s="85">
        <v>2.5</v>
      </c>
      <c r="G8" s="164">
        <f t="shared" si="0"/>
        <v>2678.3999999999996</v>
      </c>
      <c r="H8" s="80">
        <f>IF(Input!B15="Y",33.07573*LWL,0)</f>
        <v>0</v>
      </c>
      <c r="I8" s="137">
        <f>D+0.1</f>
        <v>1.85</v>
      </c>
      <c r="J8" s="193">
        <f t="shared" si="1"/>
        <v>0</v>
      </c>
      <c r="K8" s="237" t="s">
        <v>361</v>
      </c>
      <c r="L8" s="182"/>
      <c r="M8" s="182"/>
    </row>
    <row r="9" spans="1:13" hidden="1" outlineLevel="1" x14ac:dyDescent="0.2">
      <c r="A9" s="93"/>
      <c r="B9" s="68"/>
      <c r="C9" s="68">
        <v>120</v>
      </c>
      <c r="D9" s="156" t="s">
        <v>138</v>
      </c>
      <c r="E9" s="80"/>
      <c r="F9" s="85"/>
      <c r="G9" s="164">
        <f t="shared" si="0"/>
        <v>0</v>
      </c>
      <c r="H9" s="80"/>
      <c r="I9" s="137"/>
      <c r="J9" s="193">
        <f t="shared" si="1"/>
        <v>0</v>
      </c>
      <c r="L9" s="182"/>
      <c r="M9" s="182"/>
    </row>
    <row r="10" spans="1:13" hidden="1" outlineLevel="1" x14ac:dyDescent="0.2">
      <c r="A10" s="93"/>
      <c r="B10" s="68"/>
      <c r="C10" s="68">
        <v>130</v>
      </c>
      <c r="D10" s="156" t="s">
        <v>139</v>
      </c>
      <c r="E10" s="80"/>
      <c r="F10" s="85"/>
      <c r="G10" s="164">
        <f t="shared" si="0"/>
        <v>0</v>
      </c>
      <c r="H10" s="80"/>
      <c r="I10" s="137"/>
      <c r="J10" s="193">
        <f t="shared" si="1"/>
        <v>0</v>
      </c>
      <c r="L10" s="182"/>
      <c r="M10" s="182"/>
    </row>
    <row r="11" spans="1:13" hidden="1" outlineLevel="1" x14ac:dyDescent="0.2">
      <c r="A11" s="93"/>
      <c r="B11" s="68"/>
      <c r="C11" s="68"/>
      <c r="D11" s="156" t="s">
        <v>158</v>
      </c>
      <c r="E11" s="80">
        <f>0.0152*24^3</f>
        <v>210.12479999999999</v>
      </c>
      <c r="F11" s="85">
        <v>2.4</v>
      </c>
      <c r="G11" s="164">
        <f t="shared" si="0"/>
        <v>504.29951999999997</v>
      </c>
      <c r="H11" s="80">
        <f>1.7545*LWL*BWL</f>
        <v>84.496719999999996</v>
      </c>
      <c r="I11" s="137">
        <f>D</f>
        <v>1.75</v>
      </c>
      <c r="J11" s="193">
        <f t="shared" si="1"/>
        <v>147.86926</v>
      </c>
      <c r="K11" s="237" t="s">
        <v>361</v>
      </c>
    </row>
    <row r="12" spans="1:13" hidden="1" outlineLevel="1" x14ac:dyDescent="0.2">
      <c r="A12" s="93"/>
      <c r="B12" s="68"/>
      <c r="C12" s="68"/>
      <c r="D12" s="236" t="s">
        <v>362</v>
      </c>
      <c r="E12" s="80">
        <f>0.0844*24^3</f>
        <v>1166.7456</v>
      </c>
      <c r="F12" s="85">
        <v>1.95</v>
      </c>
      <c r="G12" s="164">
        <f t="shared" si="0"/>
        <v>2275.1539199999997</v>
      </c>
      <c r="H12" s="80">
        <f>0.62245353844299*HullSA*BOA^1.333</f>
        <v>278.58349819467384</v>
      </c>
      <c r="I12" s="137">
        <f>0.8125*D</f>
        <v>1.421875</v>
      </c>
      <c r="J12" s="193">
        <f t="shared" si="1"/>
        <v>396.11091149555187</v>
      </c>
      <c r="K12" s="237" t="s">
        <v>361</v>
      </c>
    </row>
    <row r="13" spans="1:13" hidden="1" outlineLevel="1" x14ac:dyDescent="0.2">
      <c r="A13" s="93"/>
      <c r="B13" s="68"/>
      <c r="C13" s="68"/>
      <c r="D13" s="158" t="s">
        <v>198</v>
      </c>
      <c r="E13" s="80">
        <f>0.0165*24^3</f>
        <v>228.096</v>
      </c>
      <c r="F13" s="85">
        <v>1.4</v>
      </c>
      <c r="G13" s="164">
        <f t="shared" ref="G13" si="2">E13*F13</f>
        <v>319.33439999999996</v>
      </c>
      <c r="H13" s="80">
        <f>1.905*BWL*LWL</f>
        <v>91.744799999999984</v>
      </c>
      <c r="I13" s="137">
        <f>0.5833*D</f>
        <v>1.020775</v>
      </c>
      <c r="J13" s="193">
        <f t="shared" ref="J13" si="3">H13*I13</f>
        <v>93.650798219999984</v>
      </c>
      <c r="K13" s="237" t="s">
        <v>361</v>
      </c>
      <c r="L13" s="19"/>
    </row>
    <row r="14" spans="1:13" hidden="1" outlineLevel="1" x14ac:dyDescent="0.2">
      <c r="A14" s="93"/>
      <c r="B14" s="68"/>
      <c r="C14" s="68"/>
      <c r="D14" s="156" t="s">
        <v>159</v>
      </c>
      <c r="E14" s="80">
        <f>0.0504*24^3</f>
        <v>696.7296</v>
      </c>
      <c r="F14" s="85">
        <v>2.0499999999999998</v>
      </c>
      <c r="G14" s="164">
        <f t="shared" si="0"/>
        <v>1428.2956799999999</v>
      </c>
      <c r="H14" s="80">
        <f>4.7879100120213*BOA*LWL</f>
        <v>280.44212373115022</v>
      </c>
      <c r="I14" s="137">
        <f>0.83333*D</f>
        <v>1.4583275</v>
      </c>
      <c r="J14" s="193">
        <f t="shared" si="1"/>
        <v>408.97646119553895</v>
      </c>
      <c r="K14" s="237" t="s">
        <v>361</v>
      </c>
    </row>
    <row r="15" spans="1:13" hidden="1" outlineLevel="1" x14ac:dyDescent="0.2">
      <c r="A15" s="93"/>
      <c r="B15" s="68"/>
      <c r="C15" s="68"/>
      <c r="D15" s="156"/>
      <c r="E15" s="80"/>
      <c r="F15" s="85"/>
      <c r="G15" s="164">
        <f t="shared" si="0"/>
        <v>0</v>
      </c>
      <c r="H15" s="80"/>
      <c r="I15" s="137"/>
      <c r="J15" s="193">
        <f t="shared" si="1"/>
        <v>0</v>
      </c>
    </row>
    <row r="16" spans="1:13" hidden="1" outlineLevel="1" x14ac:dyDescent="0.2">
      <c r="A16" s="93"/>
      <c r="B16" s="68"/>
      <c r="C16" s="68">
        <v>140</v>
      </c>
      <c r="D16" s="156" t="s">
        <v>140</v>
      </c>
      <c r="E16" s="80"/>
      <c r="F16" s="85"/>
      <c r="G16" s="164">
        <f t="shared" si="0"/>
        <v>0</v>
      </c>
      <c r="H16" s="80"/>
      <c r="I16" s="137"/>
      <c r="J16" s="193">
        <f t="shared" si="1"/>
        <v>0</v>
      </c>
    </row>
    <row r="17" spans="1:12" hidden="1" outlineLevel="1" x14ac:dyDescent="0.2">
      <c r="A17" s="93"/>
      <c r="B17" s="68"/>
      <c r="C17" s="68"/>
      <c r="D17" s="156" t="s">
        <v>157</v>
      </c>
      <c r="E17" s="80">
        <v>32</v>
      </c>
      <c r="F17" s="85">
        <v>3</v>
      </c>
      <c r="G17" s="164">
        <f t="shared" si="0"/>
        <v>96</v>
      </c>
      <c r="H17" s="80">
        <f>IF(Input!B16="Y",1.82129*BWL*LWL,0)</f>
        <v>0</v>
      </c>
      <c r="I17" s="137">
        <f>D+0.6</f>
        <v>2.35</v>
      </c>
      <c r="J17" s="193">
        <f t="shared" si="1"/>
        <v>0</v>
      </c>
      <c r="K17" s="237" t="s">
        <v>361</v>
      </c>
    </row>
    <row r="18" spans="1:12" hidden="1" outlineLevel="1" x14ac:dyDescent="0.2">
      <c r="A18" s="93"/>
      <c r="B18" s="68"/>
      <c r="C18" s="68"/>
      <c r="D18" s="156" t="s">
        <v>186</v>
      </c>
      <c r="E18" s="80">
        <v>43</v>
      </c>
      <c r="F18" s="85">
        <v>2.2000000000000002</v>
      </c>
      <c r="G18" s="164">
        <f t="shared" si="0"/>
        <v>94.600000000000009</v>
      </c>
      <c r="H18" s="80">
        <f>IF(Input!B17="Y",2.08864*BWL*LWL,0)</f>
        <v>0</v>
      </c>
      <c r="I18" s="137">
        <f>D-0.2</f>
        <v>1.55</v>
      </c>
      <c r="J18" s="193">
        <f t="shared" si="1"/>
        <v>0</v>
      </c>
      <c r="K18" s="237" t="s">
        <v>361</v>
      </c>
    </row>
    <row r="19" spans="1:12" hidden="1" outlineLevel="1" x14ac:dyDescent="0.2">
      <c r="A19" s="93"/>
      <c r="B19" s="68"/>
      <c r="C19" s="68">
        <v>150</v>
      </c>
      <c r="D19" s="156" t="s">
        <v>141</v>
      </c>
      <c r="E19" s="80"/>
      <c r="F19" s="85"/>
      <c r="G19" s="164">
        <f t="shared" si="0"/>
        <v>0</v>
      </c>
      <c r="H19" s="80"/>
      <c r="I19" s="137"/>
      <c r="J19" s="193">
        <f t="shared" si="1"/>
        <v>0</v>
      </c>
      <c r="K19" s="181"/>
    </row>
    <row r="20" spans="1:12" hidden="1" outlineLevel="1" x14ac:dyDescent="0.2">
      <c r="A20" s="93"/>
      <c r="B20" s="68"/>
      <c r="C20" s="68"/>
      <c r="D20" s="158" t="s">
        <v>350</v>
      </c>
      <c r="E20" s="235">
        <f>0.2483*24^3</f>
        <v>3432.4991999999997</v>
      </c>
      <c r="F20" s="85">
        <v>3.1</v>
      </c>
      <c r="G20" s="164">
        <f t="shared" si="0"/>
        <v>10640.747519999999</v>
      </c>
      <c r="H20" s="80">
        <f>IF(Input!B18="Y",17.255710115061*BOA*LWL,0)</f>
        <v>1010.7182421989241</v>
      </c>
      <c r="I20" s="137">
        <f>D+0.7</f>
        <v>2.4500000000000002</v>
      </c>
      <c r="J20" s="193">
        <f t="shared" si="1"/>
        <v>2476.2596933873642</v>
      </c>
      <c r="K20" s="237" t="s">
        <v>360</v>
      </c>
    </row>
    <row r="21" spans="1:12" hidden="1" outlineLevel="1" x14ac:dyDescent="0.2">
      <c r="A21" s="93"/>
      <c r="B21" s="68"/>
      <c r="C21" s="68"/>
      <c r="D21" s="158" t="s">
        <v>213</v>
      </c>
      <c r="E21" s="80">
        <v>348.3648</v>
      </c>
      <c r="F21" s="85">
        <v>3.1</v>
      </c>
      <c r="G21" s="164">
        <f t="shared" si="0"/>
        <v>1079.9308800000001</v>
      </c>
      <c r="H21" s="80">
        <f>IF(Input!B19="Y",2.39052035033488*BOA*LWL,0)</f>
        <v>0</v>
      </c>
      <c r="I21" s="137">
        <f>D+0.7</f>
        <v>2.4500000000000002</v>
      </c>
      <c r="J21" s="193">
        <f t="shared" si="1"/>
        <v>0</v>
      </c>
      <c r="K21" s="237" t="s">
        <v>361</v>
      </c>
      <c r="L21" s="62"/>
    </row>
    <row r="22" spans="1:12" hidden="1" outlineLevel="1" x14ac:dyDescent="0.2">
      <c r="A22" s="93"/>
      <c r="B22" s="68"/>
      <c r="C22" s="68"/>
      <c r="D22" s="158" t="s">
        <v>351</v>
      </c>
      <c r="E22" s="80">
        <v>130</v>
      </c>
      <c r="F22" s="85">
        <v>3</v>
      </c>
      <c r="G22" s="164">
        <f t="shared" ref="G22" si="4">E22*F22</f>
        <v>390</v>
      </c>
      <c r="H22" s="80">
        <f>E22</f>
        <v>130</v>
      </c>
      <c r="I22" s="137">
        <f>D+0.6</f>
        <v>2.35</v>
      </c>
      <c r="J22" s="193">
        <f t="shared" ref="J22" si="5">H22*I22</f>
        <v>305.5</v>
      </c>
      <c r="K22" s="237" t="s">
        <v>377</v>
      </c>
    </row>
    <row r="23" spans="1:12" hidden="1" outlineLevel="1" x14ac:dyDescent="0.2">
      <c r="A23" s="93"/>
      <c r="B23" s="68"/>
      <c r="C23" s="68"/>
      <c r="D23" s="156"/>
      <c r="E23" s="80"/>
      <c r="F23" s="85"/>
      <c r="G23" s="164">
        <f t="shared" si="0"/>
        <v>0</v>
      </c>
      <c r="H23" s="80"/>
      <c r="I23" s="137"/>
      <c r="J23" s="193">
        <f t="shared" si="1"/>
        <v>0</v>
      </c>
      <c r="K23" s="181"/>
      <c r="L23" s="62"/>
    </row>
    <row r="24" spans="1:12" hidden="1" outlineLevel="1" x14ac:dyDescent="0.2">
      <c r="A24" s="93"/>
      <c r="B24" s="68"/>
      <c r="C24" s="68">
        <v>160</v>
      </c>
      <c r="D24" s="156" t="s">
        <v>142</v>
      </c>
      <c r="E24" s="80"/>
      <c r="F24" s="85"/>
      <c r="G24" s="164">
        <f t="shared" si="0"/>
        <v>0</v>
      </c>
      <c r="H24" s="80"/>
      <c r="I24" s="137"/>
      <c r="J24" s="193">
        <f t="shared" si="1"/>
        <v>0</v>
      </c>
    </row>
    <row r="25" spans="1:12" hidden="1" outlineLevel="1" x14ac:dyDescent="0.2">
      <c r="A25" s="93"/>
      <c r="B25" s="68"/>
      <c r="C25" s="68"/>
      <c r="D25" s="156" t="s">
        <v>160</v>
      </c>
      <c r="E25" s="80">
        <v>852.94079999999997</v>
      </c>
      <c r="F25" s="85">
        <v>1</v>
      </c>
      <c r="G25" s="164">
        <f t="shared" si="0"/>
        <v>852.94079999999997</v>
      </c>
      <c r="H25" s="80">
        <f>16.2236271040367*(LWL*BWL*D)^0.7</f>
        <v>361.53897671109445</v>
      </c>
      <c r="I25" s="137">
        <f>T-0.15</f>
        <v>0.60899999999999999</v>
      </c>
      <c r="J25" s="193">
        <f t="shared" si="1"/>
        <v>220.17723681705652</v>
      </c>
      <c r="K25" s="237" t="s">
        <v>361</v>
      </c>
    </row>
    <row r="26" spans="1:12" hidden="1" outlineLevel="1" x14ac:dyDescent="0.2">
      <c r="A26" s="93"/>
      <c r="B26" s="68"/>
      <c r="C26" s="68"/>
      <c r="D26" s="156"/>
      <c r="E26" s="80"/>
      <c r="F26" s="85"/>
      <c r="G26" s="164">
        <f t="shared" si="0"/>
        <v>0</v>
      </c>
      <c r="H26" s="80"/>
      <c r="I26" s="137"/>
      <c r="J26" s="193">
        <f t="shared" si="1"/>
        <v>0</v>
      </c>
    </row>
    <row r="27" spans="1:12" hidden="1" outlineLevel="1" x14ac:dyDescent="0.2">
      <c r="A27" s="93"/>
      <c r="B27" s="68"/>
      <c r="C27" s="68">
        <v>170</v>
      </c>
      <c r="D27" s="156" t="s">
        <v>148</v>
      </c>
      <c r="E27" s="80"/>
      <c r="F27" s="85"/>
      <c r="G27" s="164">
        <f t="shared" si="0"/>
        <v>0</v>
      </c>
      <c r="H27" s="80"/>
      <c r="I27" s="137"/>
      <c r="J27" s="193">
        <f t="shared" si="1"/>
        <v>0</v>
      </c>
    </row>
    <row r="28" spans="1:12" hidden="1" outlineLevel="1" x14ac:dyDescent="0.2">
      <c r="A28" s="93"/>
      <c r="B28" s="68"/>
      <c r="C28" s="68"/>
      <c r="D28" s="156" t="s">
        <v>174</v>
      </c>
      <c r="E28" s="80">
        <f>0.00811*24^3</f>
        <v>112.11263999999998</v>
      </c>
      <c r="F28" s="85">
        <v>5</v>
      </c>
      <c r="G28" s="164">
        <f t="shared" si="0"/>
        <v>560.56319999999994</v>
      </c>
      <c r="H28" s="80">
        <f>IF(Input!B20="Y",112,0)</f>
        <v>0</v>
      </c>
      <c r="I28" s="137">
        <f>F28</f>
        <v>5</v>
      </c>
      <c r="J28" s="193">
        <f t="shared" si="1"/>
        <v>0</v>
      </c>
      <c r="K28" s="237" t="s">
        <v>360</v>
      </c>
    </row>
    <row r="29" spans="1:12" hidden="1" outlineLevel="1" x14ac:dyDescent="0.2">
      <c r="A29" s="93"/>
      <c r="B29" s="68"/>
      <c r="C29" s="68"/>
      <c r="D29" s="156" t="s">
        <v>175</v>
      </c>
      <c r="E29" s="80">
        <f>0.00416*24^3</f>
        <v>57.507839999999995</v>
      </c>
      <c r="F29" s="85">
        <f>IF(F85="y",3,8.5)</f>
        <v>3</v>
      </c>
      <c r="G29" s="164">
        <f t="shared" si="0"/>
        <v>172.52351999999999</v>
      </c>
      <c r="H29" s="80">
        <f>IF(Input!B20="Y",58,0)</f>
        <v>0</v>
      </c>
      <c r="I29" s="137">
        <f>F29</f>
        <v>3</v>
      </c>
      <c r="J29" s="193">
        <f t="shared" si="1"/>
        <v>0</v>
      </c>
      <c r="K29" s="237" t="s">
        <v>360</v>
      </c>
    </row>
    <row r="30" spans="1:12" hidden="1" outlineLevel="1" x14ac:dyDescent="0.2">
      <c r="A30" s="93"/>
      <c r="B30" s="68"/>
      <c r="C30" s="68"/>
      <c r="D30" s="156" t="s">
        <v>176</v>
      </c>
      <c r="E30" s="80">
        <f>0.02685*24^3</f>
        <v>371.17439999999999</v>
      </c>
      <c r="F30" s="85">
        <v>7</v>
      </c>
      <c r="G30" s="164">
        <f t="shared" si="0"/>
        <v>2598.2208000000001</v>
      </c>
      <c r="H30" s="80">
        <f>0.0864161672321483*(LWL+BWL)^2.3333333</f>
        <v>93.827817307987416</v>
      </c>
      <c r="I30" s="137">
        <f>0.194174757281553*(LWL+BWL)</f>
        <v>3.88349514563106</v>
      </c>
      <c r="J30" s="193">
        <f t="shared" si="1"/>
        <v>364.37987304072709</v>
      </c>
      <c r="K30" s="237" t="s">
        <v>360</v>
      </c>
    </row>
    <row r="31" spans="1:12" hidden="1" outlineLevel="1" x14ac:dyDescent="0.2">
      <c r="A31" s="93"/>
      <c r="B31" s="68"/>
      <c r="C31" s="68"/>
      <c r="D31" s="156" t="s">
        <v>177</v>
      </c>
      <c r="E31" s="80">
        <f>0.02525*24^3</f>
        <v>349.05600000000004</v>
      </c>
      <c r="F31" s="85">
        <f>IF(F85="Y",3,12)</f>
        <v>3</v>
      </c>
      <c r="G31" s="164">
        <f t="shared" si="0"/>
        <v>1047.1680000000001</v>
      </c>
      <c r="H31" s="80">
        <f>0.0812917583935842*(LWL+BWL)^2.3333333</f>
        <v>88.263903613174094</v>
      </c>
      <c r="I31" s="137">
        <f>0.332871012482663*(LWL+BWL)</f>
        <v>6.65742024965326</v>
      </c>
      <c r="J31" s="193">
        <f t="shared" si="1"/>
        <v>587.60989922778879</v>
      </c>
      <c r="K31" s="237" t="s">
        <v>360</v>
      </c>
    </row>
    <row r="32" spans="1:12" hidden="1" outlineLevel="1" x14ac:dyDescent="0.2">
      <c r="A32" s="93"/>
      <c r="B32" s="68"/>
      <c r="C32" s="68">
        <v>180</v>
      </c>
      <c r="D32" s="156" t="s">
        <v>143</v>
      </c>
      <c r="E32" s="80"/>
      <c r="F32" s="85"/>
      <c r="G32" s="164">
        <f t="shared" si="0"/>
        <v>0</v>
      </c>
      <c r="H32" s="80"/>
      <c r="I32" s="137"/>
      <c r="J32" s="193">
        <f t="shared" si="1"/>
        <v>0</v>
      </c>
    </row>
    <row r="33" spans="1:11" hidden="1" outlineLevel="1" x14ac:dyDescent="0.2">
      <c r="A33" s="93"/>
      <c r="B33" s="68"/>
      <c r="C33" s="68"/>
      <c r="D33" s="156" t="s">
        <v>164</v>
      </c>
      <c r="E33" s="80">
        <v>74.239999999999995</v>
      </c>
      <c r="F33" s="85">
        <v>1.8</v>
      </c>
      <c r="G33" s="164">
        <f t="shared" si="0"/>
        <v>133.63200000000001</v>
      </c>
      <c r="H33" s="80">
        <f>IF(Input!B20="Y",Weight!E33,0)</f>
        <v>0</v>
      </c>
      <c r="I33" s="137">
        <f>F33</f>
        <v>1.8</v>
      </c>
      <c r="J33" s="193">
        <f t="shared" si="1"/>
        <v>0</v>
      </c>
      <c r="K33" s="237" t="s">
        <v>361</v>
      </c>
    </row>
    <row r="34" spans="1:11" hidden="1" outlineLevel="1" x14ac:dyDescent="0.2">
      <c r="A34" s="93"/>
      <c r="B34" s="68"/>
      <c r="C34" s="68"/>
      <c r="D34" s="156" t="s">
        <v>165</v>
      </c>
      <c r="E34" s="80">
        <v>182</v>
      </c>
      <c r="F34" s="85">
        <v>1.8</v>
      </c>
      <c r="G34" s="164">
        <f t="shared" si="0"/>
        <v>327.60000000000002</v>
      </c>
      <c r="H34" s="80">
        <f>2.57599175682638*LWL*D</f>
        <v>77.537351880474034</v>
      </c>
      <c r="I34" s="137">
        <f>F34</f>
        <v>1.8</v>
      </c>
      <c r="J34" s="193">
        <f t="shared" si="1"/>
        <v>139.56723338485327</v>
      </c>
      <c r="K34" s="237" t="s">
        <v>361</v>
      </c>
    </row>
    <row r="35" spans="1:11" hidden="1" outlineLevel="1" x14ac:dyDescent="0.2">
      <c r="A35" s="93"/>
      <c r="B35" s="68"/>
      <c r="C35" s="68">
        <v>190</v>
      </c>
      <c r="D35" s="236" t="s">
        <v>363</v>
      </c>
      <c r="E35" s="80">
        <v>670</v>
      </c>
      <c r="F35" s="85">
        <v>0.9</v>
      </c>
      <c r="G35" s="164">
        <f t="shared" si="0"/>
        <v>603</v>
      </c>
      <c r="H35" s="80">
        <f>6.33633633633634*LOA*BOA*D</f>
        <v>755.22279035792599</v>
      </c>
      <c r="I35" s="137">
        <f>F35</f>
        <v>0.9</v>
      </c>
      <c r="J35" s="193">
        <f t="shared" si="1"/>
        <v>679.70051132213337</v>
      </c>
      <c r="K35" s="237" t="s">
        <v>376</v>
      </c>
    </row>
    <row r="36" spans="1:11" hidden="1" outlineLevel="1" x14ac:dyDescent="0.2">
      <c r="A36" s="93"/>
      <c r="B36" s="68"/>
      <c r="C36" s="68"/>
      <c r="D36" s="158" t="s">
        <v>182</v>
      </c>
      <c r="E36" s="80">
        <v>100</v>
      </c>
      <c r="F36" s="85">
        <v>1.8</v>
      </c>
      <c r="G36" s="164">
        <f t="shared" si="0"/>
        <v>180</v>
      </c>
      <c r="H36" s="80">
        <f>3.09119*LWL</f>
        <v>53.168467999999997</v>
      </c>
      <c r="I36" s="137">
        <f>I12-0.15</f>
        <v>1.2718750000000001</v>
      </c>
      <c r="J36" s="193">
        <f t="shared" si="1"/>
        <v>67.6236452375</v>
      </c>
      <c r="K36" t="s">
        <v>376</v>
      </c>
    </row>
    <row r="37" spans="1:11" collapsed="1" x14ac:dyDescent="0.2">
      <c r="A37" s="200">
        <v>2</v>
      </c>
      <c r="B37" s="154"/>
      <c r="C37" s="154"/>
      <c r="D37" s="157" t="s">
        <v>144</v>
      </c>
      <c r="E37" s="162">
        <f>SUM(E38:E53)</f>
        <v>4950.9823999999999</v>
      </c>
      <c r="F37" s="179">
        <f>IF(E37=0,0,G37/E37)</f>
        <v>2.0372527627648203</v>
      </c>
      <c r="G37" s="163">
        <f>SUM(G38:G53)</f>
        <v>10086.4025728</v>
      </c>
      <c r="H37" s="162">
        <f>SUM(H38:H53)</f>
        <v>1412.7380800000001</v>
      </c>
      <c r="I37" s="199">
        <f>IF(H37=0,0,J37/H37)</f>
        <v>1.699491744428663</v>
      </c>
      <c r="J37" s="194">
        <f>SUM(J38:J53)</f>
        <v>2400.9367040000002</v>
      </c>
    </row>
    <row r="38" spans="1:11" hidden="1" outlineLevel="1" x14ac:dyDescent="0.2">
      <c r="A38" s="93"/>
      <c r="B38" s="68"/>
      <c r="C38" s="68"/>
      <c r="D38" s="156" t="s">
        <v>161</v>
      </c>
      <c r="E38" s="80">
        <v>152.06399999999999</v>
      </c>
      <c r="F38" s="85">
        <v>1.53</v>
      </c>
      <c r="G38" s="164">
        <f t="shared" ref="G38:G52" si="6">E38*F38</f>
        <v>232.65791999999999</v>
      </c>
      <c r="H38" s="80">
        <f>Input!B39*E38/54</f>
        <v>67.584000000000003</v>
      </c>
      <c r="I38" s="137">
        <f>Input!B23</f>
        <v>1.3</v>
      </c>
      <c r="J38" s="193">
        <f t="shared" ref="J38:J52" si="7">H38*I38</f>
        <v>87.859200000000001</v>
      </c>
      <c r="K38" t="s">
        <v>377</v>
      </c>
    </row>
    <row r="39" spans="1:11" hidden="1" outlineLevel="1" x14ac:dyDescent="0.2">
      <c r="A39" s="93"/>
      <c r="B39" s="68"/>
      <c r="C39" s="68"/>
      <c r="D39" s="156" t="s">
        <v>162</v>
      </c>
      <c r="E39" s="80">
        <v>95.385599999999997</v>
      </c>
      <c r="F39" s="85">
        <v>2.1</v>
      </c>
      <c r="G39" s="164">
        <f t="shared" si="6"/>
        <v>200.30976000000001</v>
      </c>
      <c r="H39" s="80">
        <f>Input!B38*E39/54</f>
        <v>45.926400000000001</v>
      </c>
      <c r="I39" s="137">
        <f>Input!B22</f>
        <v>2</v>
      </c>
      <c r="J39" s="193">
        <f t="shared" si="7"/>
        <v>91.852800000000002</v>
      </c>
      <c r="K39" t="s">
        <v>377</v>
      </c>
    </row>
    <row r="40" spans="1:11" hidden="1" outlineLevel="1" x14ac:dyDescent="0.2">
      <c r="A40" s="93"/>
      <c r="B40" s="68"/>
      <c r="C40" s="68"/>
      <c r="D40" s="158" t="s">
        <v>223</v>
      </c>
      <c r="E40" s="80">
        <f>62*0.1</f>
        <v>6.2</v>
      </c>
      <c r="F40" s="85">
        <v>2.4500000000000002</v>
      </c>
      <c r="G40" s="164">
        <f t="shared" si="6"/>
        <v>15.190000000000001</v>
      </c>
      <c r="H40" s="80">
        <f>Input!B37*0.1</f>
        <v>0</v>
      </c>
      <c r="I40" s="137">
        <f>Input!$B$21</f>
        <v>2.4500000000000002</v>
      </c>
      <c r="J40" s="193">
        <f t="shared" si="7"/>
        <v>0</v>
      </c>
      <c r="K40" t="s">
        <v>377</v>
      </c>
    </row>
    <row r="41" spans="1:11" hidden="1" outlineLevel="1" x14ac:dyDescent="0.2">
      <c r="A41" s="93"/>
      <c r="B41" s="68"/>
      <c r="C41" s="68"/>
      <c r="D41" s="158" t="s">
        <v>224</v>
      </c>
      <c r="E41" s="80">
        <f>54*0.1</f>
        <v>5.4</v>
      </c>
      <c r="F41" s="85">
        <v>2.1</v>
      </c>
      <c r="G41" s="164">
        <f t="shared" ref="G41:G42" si="8">E41*F41</f>
        <v>11.340000000000002</v>
      </c>
      <c r="H41" s="80">
        <f>Input!B38*0.09</f>
        <v>2.34</v>
      </c>
      <c r="I41" s="137">
        <f>Input!$B$22</f>
        <v>2</v>
      </c>
      <c r="J41" s="193">
        <f t="shared" ref="J41:J42" si="9">H41*I41</f>
        <v>4.68</v>
      </c>
      <c r="K41" t="s">
        <v>377</v>
      </c>
    </row>
    <row r="42" spans="1:11" hidden="1" outlineLevel="1" x14ac:dyDescent="0.2">
      <c r="A42" s="93"/>
      <c r="B42" s="68"/>
      <c r="C42" s="68"/>
      <c r="D42" s="158" t="s">
        <v>225</v>
      </c>
      <c r="E42" s="80">
        <f>54*0.1</f>
        <v>5.4</v>
      </c>
      <c r="F42" s="85">
        <v>1.53</v>
      </c>
      <c r="G42" s="164">
        <f t="shared" si="8"/>
        <v>8.2620000000000005</v>
      </c>
      <c r="H42" s="80">
        <f>Input!B39*0.09</f>
        <v>2.16</v>
      </c>
      <c r="I42" s="137">
        <f>Input!$B$23</f>
        <v>1.3</v>
      </c>
      <c r="J42" s="193">
        <f t="shared" si="9"/>
        <v>2.8080000000000003</v>
      </c>
      <c r="K42" t="s">
        <v>377</v>
      </c>
    </row>
    <row r="43" spans="1:11" hidden="1" outlineLevel="1" x14ac:dyDescent="0.2">
      <c r="A43" s="93"/>
      <c r="B43" s="68"/>
      <c r="C43" s="68"/>
      <c r="D43" s="158" t="s">
        <v>199</v>
      </c>
      <c r="E43" s="80">
        <f>62*17</f>
        <v>1054</v>
      </c>
      <c r="F43" s="85">
        <v>2.4500000000000002</v>
      </c>
      <c r="G43" s="164">
        <f t="shared" si="6"/>
        <v>2582.3000000000002</v>
      </c>
      <c r="H43" s="80">
        <f>Input!B37*17</f>
        <v>0</v>
      </c>
      <c r="I43" s="137">
        <f>Input!$B$21</f>
        <v>2.4500000000000002</v>
      </c>
      <c r="J43" s="193">
        <f t="shared" si="7"/>
        <v>0</v>
      </c>
      <c r="K43" s="237" t="s">
        <v>360</v>
      </c>
    </row>
    <row r="44" spans="1:11" hidden="1" outlineLevel="1" x14ac:dyDescent="0.2">
      <c r="A44" s="93"/>
      <c r="B44" s="68"/>
      <c r="C44" s="68"/>
      <c r="D44" s="158" t="s">
        <v>200</v>
      </c>
      <c r="E44" s="80">
        <f>54*17</f>
        <v>918</v>
      </c>
      <c r="F44" s="85">
        <v>2.1</v>
      </c>
      <c r="G44" s="164">
        <f t="shared" ref="G44:G49" si="10">E44*F44</f>
        <v>1927.8000000000002</v>
      </c>
      <c r="H44" s="80">
        <f>Input!B38*17</f>
        <v>442</v>
      </c>
      <c r="I44" s="137">
        <f>Input!$B$22</f>
        <v>2</v>
      </c>
      <c r="J44" s="193">
        <f t="shared" ref="J44:J49" si="11">H44*I44</f>
        <v>884</v>
      </c>
      <c r="K44" s="237" t="s">
        <v>360</v>
      </c>
    </row>
    <row r="45" spans="1:11" hidden="1" outlineLevel="1" x14ac:dyDescent="0.2">
      <c r="A45" s="93"/>
      <c r="B45" s="68"/>
      <c r="C45" s="68"/>
      <c r="D45" s="158" t="s">
        <v>201</v>
      </c>
      <c r="E45" s="80">
        <f>54*17</f>
        <v>918</v>
      </c>
      <c r="F45" s="85">
        <v>1.53</v>
      </c>
      <c r="G45" s="164">
        <f t="shared" si="10"/>
        <v>1404.54</v>
      </c>
      <c r="H45" s="80">
        <f>Input!B39*17</f>
        <v>408</v>
      </c>
      <c r="I45" s="137">
        <f>Input!$B$23</f>
        <v>1.3</v>
      </c>
      <c r="J45" s="193">
        <f t="shared" si="11"/>
        <v>530.4</v>
      </c>
      <c r="K45" s="237" t="s">
        <v>360</v>
      </c>
    </row>
    <row r="46" spans="1:11" hidden="1" outlineLevel="1" x14ac:dyDescent="0.2">
      <c r="A46" s="93"/>
      <c r="B46" s="68"/>
      <c r="C46" s="68"/>
      <c r="D46" s="236" t="s">
        <v>359</v>
      </c>
      <c r="E46" s="80">
        <f>30*17</f>
        <v>510</v>
      </c>
      <c r="F46" s="85">
        <v>2.1</v>
      </c>
      <c r="G46" s="164">
        <f t="shared" ref="G46" si="12">E46*F46</f>
        <v>1071</v>
      </c>
      <c r="H46" s="80">
        <f>E46*SUM(Input!B37:B39)/170</f>
        <v>150</v>
      </c>
      <c r="I46" s="137">
        <f>Input!$B$22</f>
        <v>2</v>
      </c>
      <c r="J46" s="193">
        <f t="shared" ref="J46" si="13">H46*I46</f>
        <v>300</v>
      </c>
      <c r="K46" s="237" t="s">
        <v>360</v>
      </c>
    </row>
    <row r="47" spans="1:11" hidden="1" outlineLevel="1" x14ac:dyDescent="0.2">
      <c r="A47" s="93"/>
      <c r="B47" s="68"/>
      <c r="C47" s="68"/>
      <c r="D47" s="236" t="s">
        <v>356</v>
      </c>
      <c r="E47" s="80">
        <f>62*1.9</f>
        <v>117.8</v>
      </c>
      <c r="F47" s="85">
        <v>2.4500000000000002</v>
      </c>
      <c r="G47" s="164">
        <f t="shared" si="10"/>
        <v>288.61</v>
      </c>
      <c r="H47" s="80">
        <f>Input!B34*E50/62</f>
        <v>11.33568</v>
      </c>
      <c r="I47" s="137">
        <f>Input!$B$21</f>
        <v>2.4500000000000002</v>
      </c>
      <c r="J47" s="193">
        <f t="shared" si="11"/>
        <v>27.772416000000003</v>
      </c>
      <c r="K47" s="237" t="s">
        <v>360</v>
      </c>
    </row>
    <row r="48" spans="1:11" hidden="1" outlineLevel="1" x14ac:dyDescent="0.2">
      <c r="A48" s="93"/>
      <c r="B48" s="68"/>
      <c r="C48" s="68"/>
      <c r="D48" s="236" t="s">
        <v>357</v>
      </c>
      <c r="E48" s="80">
        <f>54*1.9</f>
        <v>102.6</v>
      </c>
      <c r="F48" s="85">
        <v>2.1</v>
      </c>
      <c r="G48" s="164">
        <f t="shared" si="10"/>
        <v>215.46</v>
      </c>
      <c r="H48" s="80">
        <f>Input!B35*E51/54</f>
        <v>0</v>
      </c>
      <c r="I48" s="137">
        <f>Input!$B$22</f>
        <v>2</v>
      </c>
      <c r="J48" s="193">
        <f t="shared" si="11"/>
        <v>0</v>
      </c>
      <c r="K48" s="237" t="s">
        <v>360</v>
      </c>
    </row>
    <row r="49" spans="1:11" hidden="1" outlineLevel="1" x14ac:dyDescent="0.2">
      <c r="A49" s="93"/>
      <c r="B49" s="68"/>
      <c r="C49" s="68"/>
      <c r="D49" s="236" t="s">
        <v>358</v>
      </c>
      <c r="E49" s="80">
        <f>54*1.9</f>
        <v>102.6</v>
      </c>
      <c r="F49" s="85">
        <v>1.53</v>
      </c>
      <c r="G49" s="164">
        <f t="shared" si="10"/>
        <v>156.97799999999998</v>
      </c>
      <c r="H49" s="80">
        <f>Input!B36*E52/54</f>
        <v>0</v>
      </c>
      <c r="I49" s="137">
        <f>Input!$B$23</f>
        <v>1.3</v>
      </c>
      <c r="J49" s="193">
        <f t="shared" si="11"/>
        <v>0</v>
      </c>
      <c r="K49" s="237" t="s">
        <v>360</v>
      </c>
    </row>
    <row r="50" spans="1:11" hidden="1" outlineLevel="1" x14ac:dyDescent="0.2">
      <c r="A50" s="93"/>
      <c r="B50" s="68"/>
      <c r="C50" s="68"/>
      <c r="D50" s="236" t="s">
        <v>353</v>
      </c>
      <c r="E50" s="80">
        <f>62*0.00041*24^3</f>
        <v>351.40607999999997</v>
      </c>
      <c r="F50" s="85">
        <v>2.4500000000000002</v>
      </c>
      <c r="G50" s="164">
        <f t="shared" si="6"/>
        <v>860.94489599999997</v>
      </c>
      <c r="H50" s="80">
        <f>Input!B37*E50/62</f>
        <v>0</v>
      </c>
      <c r="I50" s="137">
        <f>Input!$B$21</f>
        <v>2.4500000000000002</v>
      </c>
      <c r="J50" s="193">
        <f t="shared" si="7"/>
        <v>0</v>
      </c>
      <c r="K50" s="237" t="s">
        <v>360</v>
      </c>
    </row>
    <row r="51" spans="1:11" hidden="1" outlineLevel="1" x14ac:dyDescent="0.2">
      <c r="A51" s="93"/>
      <c r="B51" s="68"/>
      <c r="C51" s="68"/>
      <c r="D51" s="236" t="s">
        <v>354</v>
      </c>
      <c r="E51" s="80">
        <f>54*0.00041*24^3</f>
        <v>306.06335999999999</v>
      </c>
      <c r="F51" s="85">
        <v>2.1</v>
      </c>
      <c r="G51" s="164">
        <f t="shared" si="6"/>
        <v>642.73305600000003</v>
      </c>
      <c r="H51" s="80">
        <f>Input!B38*E51/54</f>
        <v>147.36384000000001</v>
      </c>
      <c r="I51" s="137">
        <f>Input!$B$22</f>
        <v>2</v>
      </c>
      <c r="J51" s="193">
        <f t="shared" si="7"/>
        <v>294.72768000000002</v>
      </c>
      <c r="K51" s="237" t="s">
        <v>360</v>
      </c>
    </row>
    <row r="52" spans="1:11" hidden="1" outlineLevel="1" x14ac:dyDescent="0.2">
      <c r="A52" s="93"/>
      <c r="B52" s="68"/>
      <c r="C52" s="68"/>
      <c r="D52" s="236" t="s">
        <v>355</v>
      </c>
      <c r="E52" s="80">
        <f>54*0.00041*24^3</f>
        <v>306.06335999999999</v>
      </c>
      <c r="F52" s="85">
        <v>1.53</v>
      </c>
      <c r="G52" s="164">
        <f t="shared" si="6"/>
        <v>468.27694079999998</v>
      </c>
      <c r="H52" s="80">
        <f>Input!B39*E52/54</f>
        <v>136.02815999999999</v>
      </c>
      <c r="I52" s="137">
        <f>Input!$B$23</f>
        <v>1.3</v>
      </c>
      <c r="J52" s="193">
        <f t="shared" si="7"/>
        <v>176.83660799999998</v>
      </c>
      <c r="K52" s="237" t="s">
        <v>360</v>
      </c>
    </row>
    <row r="53" spans="1:11" hidden="1" outlineLevel="1" x14ac:dyDescent="0.2">
      <c r="A53" s="93"/>
      <c r="B53" s="68"/>
      <c r="C53" s="68"/>
      <c r="D53" s="156"/>
      <c r="E53" s="80"/>
      <c r="F53" s="85"/>
      <c r="G53" s="164"/>
      <c r="H53" s="80"/>
      <c r="I53" s="137"/>
      <c r="J53" s="193"/>
    </row>
    <row r="54" spans="1:11" collapsed="1" x14ac:dyDescent="0.2">
      <c r="A54" s="200">
        <v>3</v>
      </c>
      <c r="B54" s="154"/>
      <c r="C54" s="154"/>
      <c r="D54" s="157" t="s">
        <v>145</v>
      </c>
      <c r="E54" s="162">
        <v>0</v>
      </c>
      <c r="F54" s="179">
        <f t="shared" ref="F54:F56" si="14">IF(E54=0,0,G54/E54)</f>
        <v>0</v>
      </c>
      <c r="G54" s="163"/>
      <c r="H54" s="162">
        <v>0</v>
      </c>
      <c r="I54" s="199">
        <f t="shared" ref="I54:I56" si="15">IF(H54=0,0,J54/H54)</f>
        <v>0</v>
      </c>
      <c r="J54" s="194"/>
    </row>
    <row r="55" spans="1:11" x14ac:dyDescent="0.2">
      <c r="A55" s="200">
        <v>4</v>
      </c>
      <c r="B55" s="154"/>
      <c r="C55" s="154"/>
      <c r="D55" s="157" t="s">
        <v>150</v>
      </c>
      <c r="E55" s="162">
        <v>0</v>
      </c>
      <c r="F55" s="179">
        <f t="shared" si="14"/>
        <v>0</v>
      </c>
      <c r="G55" s="163"/>
      <c r="H55" s="162">
        <v>0</v>
      </c>
      <c r="I55" s="199">
        <f t="shared" si="15"/>
        <v>0</v>
      </c>
      <c r="J55" s="194"/>
    </row>
    <row r="56" spans="1:11" x14ac:dyDescent="0.2">
      <c r="A56" s="200">
        <v>5</v>
      </c>
      <c r="B56" s="154"/>
      <c r="C56" s="154"/>
      <c r="D56" s="157" t="s">
        <v>146</v>
      </c>
      <c r="E56" s="162">
        <f>SUM(E57:E58)</f>
        <v>144.59904</v>
      </c>
      <c r="F56" s="179">
        <f t="shared" si="14"/>
        <v>1.8</v>
      </c>
      <c r="G56" s="163">
        <f>SUM(G57:G58)</f>
        <v>260.27827200000002</v>
      </c>
      <c r="H56" s="162">
        <f>SUM(H57:H58)</f>
        <v>56.214580113343509</v>
      </c>
      <c r="I56" s="199">
        <f t="shared" si="15"/>
        <v>1.3125</v>
      </c>
      <c r="J56" s="194">
        <f>SUM(J57:J58)</f>
        <v>73.781636398763354</v>
      </c>
    </row>
    <row r="57" spans="1:11" hidden="1" outlineLevel="1" x14ac:dyDescent="0.2">
      <c r="A57" s="93"/>
      <c r="B57" s="68"/>
      <c r="C57" s="68"/>
      <c r="D57" s="156" t="s">
        <v>163</v>
      </c>
      <c r="E57" s="80">
        <f>2*0.00523*24^3</f>
        <v>144.59904</v>
      </c>
      <c r="F57" s="85">
        <v>1.8</v>
      </c>
      <c r="G57" s="164">
        <f t="shared" ref="G57" si="16">E57*F57</f>
        <v>260.27827200000002</v>
      </c>
      <c r="H57" s="80">
        <f>1.86759402369912*LWL*D</f>
        <v>56.214580113343509</v>
      </c>
      <c r="I57" s="137">
        <f>0.75*D</f>
        <v>1.3125</v>
      </c>
      <c r="J57" s="193">
        <f t="shared" ref="J57" si="17">H57*I57</f>
        <v>73.781636398763354</v>
      </c>
      <c r="K57" s="237" t="s">
        <v>360</v>
      </c>
    </row>
    <row r="58" spans="1:11" hidden="1" outlineLevel="1" x14ac:dyDescent="0.2">
      <c r="A58" s="93"/>
      <c r="B58" s="68"/>
      <c r="C58" s="68"/>
      <c r="D58" s="156"/>
      <c r="E58" s="80"/>
      <c r="F58" s="85"/>
      <c r="G58" s="164"/>
      <c r="H58" s="80"/>
      <c r="I58" s="137"/>
      <c r="J58" s="193"/>
    </row>
    <row r="59" spans="1:11" collapsed="1" x14ac:dyDescent="0.2">
      <c r="A59" s="200">
        <v>6</v>
      </c>
      <c r="B59" s="154"/>
      <c r="C59" s="154"/>
      <c r="D59" s="157" t="s">
        <v>147</v>
      </c>
      <c r="E59" s="162">
        <f>SUM(E60:E67)</f>
        <v>446.4332</v>
      </c>
      <c r="F59" s="179">
        <f>IF(E59=0,0,G59/E59)</f>
        <v>3.7124398454236829</v>
      </c>
      <c r="G59" s="163">
        <f>SUM(G60:G67)</f>
        <v>1657.3564000000001</v>
      </c>
      <c r="H59" s="162">
        <f>SUM(H60:H67)</f>
        <v>319.80380610263524</v>
      </c>
      <c r="I59" s="199">
        <f>IF(H59=0,0,J59/H59)</f>
        <v>3.2006003330035764</v>
      </c>
      <c r="J59" s="194">
        <f>SUM(J60:J67)</f>
        <v>1023.5641683079056</v>
      </c>
    </row>
    <row r="60" spans="1:11" hidden="1" outlineLevel="1" x14ac:dyDescent="0.2">
      <c r="A60" s="93"/>
      <c r="B60" s="68"/>
      <c r="C60" s="68"/>
      <c r="D60" s="156" t="s">
        <v>166</v>
      </c>
      <c r="E60" s="80">
        <f>12*8*0.5*1.1</f>
        <v>52.800000000000004</v>
      </c>
      <c r="F60" s="85">
        <f>IF(F85="Y",3,8)</f>
        <v>3</v>
      </c>
      <c r="G60" s="164">
        <f t="shared" ref="G60:G67" si="18">E60*F60</f>
        <v>158.4</v>
      </c>
      <c r="H60" s="80">
        <f>1.47018030513176*(LWL+BWL)</f>
        <v>29.403606102635198</v>
      </c>
      <c r="I60" s="137">
        <f>F60</f>
        <v>3</v>
      </c>
      <c r="J60" s="193">
        <f t="shared" ref="J60:J67" si="19">H60*I60</f>
        <v>88.210818307905598</v>
      </c>
      <c r="K60" s="237" t="s">
        <v>361</v>
      </c>
    </row>
    <row r="61" spans="1:11" hidden="1" outlineLevel="1" x14ac:dyDescent="0.2">
      <c r="A61" s="93"/>
      <c r="B61" s="68"/>
      <c r="C61" s="68"/>
      <c r="D61" s="156" t="s">
        <v>167</v>
      </c>
      <c r="E61" s="80">
        <f>6*4.3*0.5*1.1</f>
        <v>14.19</v>
      </c>
      <c r="F61" s="85">
        <f>IF(F85="Y",3,6.5)</f>
        <v>3</v>
      </c>
      <c r="G61" s="164">
        <f t="shared" si="18"/>
        <v>42.57</v>
      </c>
      <c r="H61" s="80">
        <f>IF(Input!B20="Y",E61,0)</f>
        <v>0</v>
      </c>
      <c r="I61" s="137">
        <f>F61</f>
        <v>3</v>
      </c>
      <c r="J61" s="193">
        <f t="shared" si="19"/>
        <v>0</v>
      </c>
      <c r="K61" s="237" t="s">
        <v>361</v>
      </c>
    </row>
    <row r="62" spans="1:11" hidden="1" outlineLevel="1" x14ac:dyDescent="0.2">
      <c r="A62" s="93"/>
      <c r="B62" s="68"/>
      <c r="C62" s="68"/>
      <c r="D62" s="156" t="s">
        <v>168</v>
      </c>
      <c r="E62" s="80">
        <v>200</v>
      </c>
      <c r="F62" s="85">
        <v>5</v>
      </c>
      <c r="G62" s="164">
        <f t="shared" si="18"/>
        <v>1000</v>
      </c>
      <c r="H62" s="80">
        <f>5.54785*(LWL+BWL)</f>
        <v>110.95700000000001</v>
      </c>
      <c r="I62" s="137">
        <f>D+2.6</f>
        <v>4.3499999999999996</v>
      </c>
      <c r="J62" s="193">
        <f t="shared" si="19"/>
        <v>482.66294999999997</v>
      </c>
      <c r="K62" t="s">
        <v>367</v>
      </c>
    </row>
    <row r="63" spans="1:11" hidden="1" outlineLevel="1" x14ac:dyDescent="0.2">
      <c r="A63" s="93"/>
      <c r="B63" s="68"/>
      <c r="C63" s="68"/>
      <c r="D63" s="156" t="s">
        <v>169</v>
      </c>
      <c r="E63" s="80">
        <v>25</v>
      </c>
      <c r="F63" s="85">
        <v>3.9</v>
      </c>
      <c r="G63" s="164">
        <f t="shared" si="18"/>
        <v>97.5</v>
      </c>
      <c r="H63" s="80">
        <f>E63</f>
        <v>25</v>
      </c>
      <c r="I63" s="137">
        <f>D+1.5</f>
        <v>3.25</v>
      </c>
      <c r="J63" s="193">
        <f t="shared" si="19"/>
        <v>81.25</v>
      </c>
      <c r="K63" t="s">
        <v>368</v>
      </c>
    </row>
    <row r="64" spans="1:11" hidden="1" outlineLevel="1" x14ac:dyDescent="0.2">
      <c r="A64" s="93"/>
      <c r="B64" s="68"/>
      <c r="C64" s="68"/>
      <c r="D64" s="158" t="s">
        <v>349</v>
      </c>
      <c r="E64" s="80">
        <f>(0.0033+0.001)*24^3</f>
        <v>59.443199999999997</v>
      </c>
      <c r="F64" s="85">
        <v>2</v>
      </c>
      <c r="G64" s="164">
        <f t="shared" ref="G64" si="20">E64*F64</f>
        <v>118.88639999999999</v>
      </c>
      <c r="H64" s="80">
        <f>E64</f>
        <v>59.443199999999997</v>
      </c>
      <c r="I64" s="137">
        <f>D+1.5</f>
        <v>3.25</v>
      </c>
      <c r="J64" s="193">
        <f t="shared" ref="J64" si="21">H64*I64</f>
        <v>193.19039999999998</v>
      </c>
      <c r="K64" s="237" t="s">
        <v>360</v>
      </c>
    </row>
    <row r="65" spans="1:11" hidden="1" outlineLevel="1" x14ac:dyDescent="0.2">
      <c r="A65" s="93"/>
      <c r="B65" s="68"/>
      <c r="C65" s="68"/>
      <c r="D65" s="156" t="s">
        <v>184</v>
      </c>
      <c r="E65" s="80">
        <v>25</v>
      </c>
      <c r="F65" s="85">
        <v>2.6</v>
      </c>
      <c r="G65" s="164">
        <f t="shared" si="18"/>
        <v>65</v>
      </c>
      <c r="H65" s="80">
        <f>E65</f>
        <v>25</v>
      </c>
      <c r="I65" s="137">
        <f>D+0.2</f>
        <v>1.95</v>
      </c>
      <c r="J65" s="193">
        <f t="shared" si="19"/>
        <v>48.75</v>
      </c>
      <c r="K65" s="237" t="s">
        <v>368</v>
      </c>
    </row>
    <row r="66" spans="1:11" hidden="1" outlineLevel="1" x14ac:dyDescent="0.2">
      <c r="A66" s="93"/>
      <c r="B66" s="68"/>
      <c r="C66" s="68"/>
      <c r="D66" s="159" t="s">
        <v>185</v>
      </c>
      <c r="E66" s="165">
        <f>2*35</f>
        <v>70</v>
      </c>
      <c r="F66" s="85">
        <v>2.5</v>
      </c>
      <c r="G66" s="164">
        <f t="shared" si="18"/>
        <v>175</v>
      </c>
      <c r="H66" s="80">
        <f>E66</f>
        <v>70</v>
      </c>
      <c r="I66" s="137">
        <f>D+0.1</f>
        <v>1.85</v>
      </c>
      <c r="J66" s="193">
        <f t="shared" si="19"/>
        <v>129.5</v>
      </c>
      <c r="K66" s="237" t="s">
        <v>360</v>
      </c>
    </row>
    <row r="67" spans="1:11" hidden="1" outlineLevel="1" x14ac:dyDescent="0.2">
      <c r="A67" s="93"/>
      <c r="B67" s="68"/>
      <c r="C67" s="68"/>
      <c r="D67" s="156" t="s">
        <v>246</v>
      </c>
      <c r="E67" s="80"/>
      <c r="F67" s="85"/>
      <c r="G67" s="164">
        <f t="shared" si="18"/>
        <v>0</v>
      </c>
      <c r="H67" s="80"/>
      <c r="I67" s="137"/>
      <c r="J67" s="193">
        <f t="shared" si="19"/>
        <v>0</v>
      </c>
    </row>
    <row r="68" spans="1:11" collapsed="1" x14ac:dyDescent="0.2">
      <c r="A68" s="200">
        <v>7</v>
      </c>
      <c r="B68" s="154"/>
      <c r="C68" s="154"/>
      <c r="D68" s="157" t="s">
        <v>149</v>
      </c>
      <c r="E68" s="162">
        <f>SUM(E69:E70)</f>
        <v>225</v>
      </c>
      <c r="F68" s="179">
        <f>IF(E68=0,0,G68/E68)</f>
        <v>1.1666666666666667</v>
      </c>
      <c r="G68" s="163">
        <f>SUM(G69:G70)</f>
        <v>262.5</v>
      </c>
      <c r="H68" s="162">
        <f>SUM(H69:H70)</f>
        <v>109.76881048325789</v>
      </c>
      <c r="I68" s="199">
        <f>IF(H68=0,0,J68/H68)</f>
        <v>0.89163948441649543</v>
      </c>
      <c r="J68" s="194">
        <f>SUM(J69:J70)</f>
        <v>97.874205584304065</v>
      </c>
    </row>
    <row r="69" spans="1:11" hidden="1" outlineLevel="1" x14ac:dyDescent="0.2">
      <c r="A69" s="93"/>
      <c r="B69" s="68"/>
      <c r="C69" s="68"/>
      <c r="D69" s="156" t="s">
        <v>170</v>
      </c>
      <c r="E69" s="80">
        <v>200</v>
      </c>
      <c r="F69" s="85">
        <v>1</v>
      </c>
      <c r="G69" s="164">
        <f t="shared" ref="G69:G70" si="22">E69*F69</f>
        <v>200</v>
      </c>
      <c r="H69" s="80">
        <f>3.80389850036031*(LWL*BWL*D)^0.7</f>
        <v>84.768810483257894</v>
      </c>
      <c r="I69" s="137">
        <f>T-0.15</f>
        <v>0.60899999999999999</v>
      </c>
      <c r="J69" s="193">
        <f t="shared" ref="J69:J70" si="23">H69*I69</f>
        <v>51.624205584304057</v>
      </c>
      <c r="K69" t="s">
        <v>365</v>
      </c>
    </row>
    <row r="70" spans="1:11" hidden="1" outlineLevel="1" x14ac:dyDescent="0.2">
      <c r="A70" s="93"/>
      <c r="B70" s="68"/>
      <c r="C70" s="68"/>
      <c r="D70" s="156" t="s">
        <v>187</v>
      </c>
      <c r="E70" s="80">
        <f>0.5*50</f>
        <v>25</v>
      </c>
      <c r="F70" s="85">
        <v>2.5</v>
      </c>
      <c r="G70" s="164">
        <f t="shared" si="22"/>
        <v>62.5</v>
      </c>
      <c r="H70" s="80">
        <f>E70</f>
        <v>25</v>
      </c>
      <c r="I70" s="137">
        <f>D+0.1</f>
        <v>1.85</v>
      </c>
      <c r="J70" s="193">
        <f t="shared" si="23"/>
        <v>46.25</v>
      </c>
      <c r="K70" t="s">
        <v>366</v>
      </c>
    </row>
    <row r="71" spans="1:11" ht="13.5" collapsed="1" thickBot="1" x14ac:dyDescent="0.25">
      <c r="A71" s="201">
        <v>8</v>
      </c>
      <c r="B71" s="202"/>
      <c r="C71" s="202"/>
      <c r="D71" s="203" t="s">
        <v>151</v>
      </c>
      <c r="E71" s="166">
        <f>SUM(E72:E79)</f>
        <v>19800</v>
      </c>
      <c r="F71" s="204">
        <f>IF(E71=0,0,G71/E71)</f>
        <v>2.237449494949495</v>
      </c>
      <c r="G71" s="167">
        <f>SUM(G72:G79)</f>
        <v>44301.5</v>
      </c>
      <c r="H71" s="166">
        <f>SUM(H72:H79)</f>
        <v>5940</v>
      </c>
      <c r="I71" s="205">
        <f>IF(H71=0,0,J71/H71)</f>
        <v>1.7598898358585857</v>
      </c>
      <c r="J71" s="195">
        <f>SUM(J72:J79)</f>
        <v>10453.745625</v>
      </c>
    </row>
    <row r="72" spans="1:11" hidden="1" outlineLevel="1" x14ac:dyDescent="0.2">
      <c r="A72" s="100"/>
      <c r="B72" s="100"/>
      <c r="C72" s="100"/>
      <c r="D72" s="196" t="s">
        <v>193</v>
      </c>
      <c r="E72" s="160">
        <f>62*75</f>
        <v>4650</v>
      </c>
      <c r="F72" s="180">
        <v>2.5</v>
      </c>
      <c r="G72" s="197">
        <f t="shared" ref="G72:G79" si="24">E72*F72</f>
        <v>11625</v>
      </c>
      <c r="H72" s="160">
        <f>Input!B37*75</f>
        <v>0</v>
      </c>
      <c r="I72" s="180">
        <f>Input!$B$21+0.05</f>
        <v>2.5</v>
      </c>
      <c r="J72" s="164">
        <f t="shared" ref="J72:J79" si="25">H72*I72</f>
        <v>0</v>
      </c>
      <c r="K72" t="s">
        <v>370</v>
      </c>
    </row>
    <row r="73" spans="1:11" hidden="1" outlineLevel="1" x14ac:dyDescent="0.2">
      <c r="A73" s="68"/>
      <c r="B73" s="68"/>
      <c r="C73" s="68"/>
      <c r="D73" s="101" t="s">
        <v>194</v>
      </c>
      <c r="E73" s="160">
        <f>54*75</f>
        <v>4050</v>
      </c>
      <c r="F73" s="85">
        <v>2.1</v>
      </c>
      <c r="G73" s="164">
        <f t="shared" si="24"/>
        <v>8505</v>
      </c>
      <c r="H73" s="160">
        <f>Input!B38*75</f>
        <v>1950</v>
      </c>
      <c r="I73" s="85">
        <f>Input!$B$22</f>
        <v>2</v>
      </c>
      <c r="J73" s="164">
        <f t="shared" si="25"/>
        <v>3900</v>
      </c>
      <c r="K73" t="s">
        <v>370</v>
      </c>
    </row>
    <row r="74" spans="1:11" hidden="1" outlineLevel="1" x14ac:dyDescent="0.2">
      <c r="A74" s="68"/>
      <c r="B74" s="68"/>
      <c r="C74" s="68"/>
      <c r="D74" s="101" t="s">
        <v>195</v>
      </c>
      <c r="E74" s="160">
        <f>54*75</f>
        <v>4050</v>
      </c>
      <c r="F74" s="85">
        <v>1.53</v>
      </c>
      <c r="G74" s="164">
        <f t="shared" si="24"/>
        <v>6196.5</v>
      </c>
      <c r="H74" s="160">
        <f>Input!B39*75</f>
        <v>1800</v>
      </c>
      <c r="I74" s="85">
        <f>Input!$B$23</f>
        <v>1.3</v>
      </c>
      <c r="J74" s="164">
        <f t="shared" si="25"/>
        <v>2340</v>
      </c>
      <c r="K74" t="s">
        <v>370</v>
      </c>
    </row>
    <row r="75" spans="1:11" hidden="1" outlineLevel="1" x14ac:dyDescent="0.2">
      <c r="A75" s="68"/>
      <c r="B75" s="68"/>
      <c r="C75" s="68"/>
      <c r="D75" s="68" t="s">
        <v>171</v>
      </c>
      <c r="E75" s="155">
        <v>75</v>
      </c>
      <c r="F75" s="85">
        <v>3.9</v>
      </c>
      <c r="G75" s="164">
        <f t="shared" si="24"/>
        <v>292.5</v>
      </c>
      <c r="H75" s="160">
        <f>Input!B40*75</f>
        <v>75</v>
      </c>
      <c r="I75" s="85">
        <f>IF(Input!B19="Y",D+1.5,I14+1)</f>
        <v>2.4583275000000002</v>
      </c>
      <c r="J75" s="164">
        <f t="shared" si="25"/>
        <v>184.37456250000002</v>
      </c>
      <c r="K75" t="s">
        <v>370</v>
      </c>
    </row>
    <row r="76" spans="1:11" hidden="1" outlineLevel="1" x14ac:dyDescent="0.2">
      <c r="A76" s="68"/>
      <c r="B76" s="68"/>
      <c r="C76" s="68"/>
      <c r="D76" s="238" t="s">
        <v>364</v>
      </c>
      <c r="E76" s="155">
        <f>29*75</f>
        <v>2175</v>
      </c>
      <c r="F76" s="85">
        <v>3.9</v>
      </c>
      <c r="G76" s="164">
        <f t="shared" si="24"/>
        <v>8482.5</v>
      </c>
      <c r="H76" s="160">
        <f>(Input!B41+Input!B42)*75</f>
        <v>675</v>
      </c>
      <c r="I76" s="85">
        <f>IF(Input!B19="Y",D+1.5,I14+1)</f>
        <v>2.4583275000000002</v>
      </c>
      <c r="J76" s="164">
        <f t="shared" si="25"/>
        <v>1659.3710625000001</v>
      </c>
      <c r="K76" t="s">
        <v>370</v>
      </c>
    </row>
    <row r="77" spans="1:11" hidden="1" outlineLevel="1" x14ac:dyDescent="0.2">
      <c r="A77" s="68"/>
      <c r="B77" s="68"/>
      <c r="C77" s="68"/>
      <c r="D77" s="101" t="s">
        <v>236</v>
      </c>
      <c r="E77" s="155">
        <f>200*7*2</f>
        <v>2800</v>
      </c>
      <c r="F77" s="85">
        <v>1</v>
      </c>
      <c r="G77" s="164">
        <f t="shared" ref="G77:G78" si="26">E77*F77</f>
        <v>2800</v>
      </c>
      <c r="H77" s="160">
        <f>SUM(Input!B37:B42)*7*Input!B34</f>
        <v>840</v>
      </c>
      <c r="I77" s="85">
        <f>F77</f>
        <v>1</v>
      </c>
      <c r="J77" s="164">
        <f t="shared" si="25"/>
        <v>840</v>
      </c>
      <c r="K77" t="s">
        <v>371</v>
      </c>
    </row>
    <row r="78" spans="1:11" hidden="1" outlineLevel="1" x14ac:dyDescent="0.2">
      <c r="A78" s="68"/>
      <c r="B78" s="68"/>
      <c r="C78" s="68"/>
      <c r="D78" s="101" t="s">
        <v>237</v>
      </c>
      <c r="E78" s="155">
        <f>200*10</f>
        <v>2000</v>
      </c>
      <c r="F78" s="85">
        <v>3.2</v>
      </c>
      <c r="G78" s="164">
        <f t="shared" si="26"/>
        <v>6400</v>
      </c>
      <c r="H78" s="160">
        <f>SUM(Input!B37:B42)*10</f>
        <v>600</v>
      </c>
      <c r="I78" s="85">
        <f>D+0.8</f>
        <v>2.5499999999999998</v>
      </c>
      <c r="J78" s="164">
        <f t="shared" si="25"/>
        <v>1530</v>
      </c>
      <c r="K78" t="s">
        <v>369</v>
      </c>
    </row>
    <row r="79" spans="1:11" hidden="1" outlineLevel="1" x14ac:dyDescent="0.2">
      <c r="A79" s="68"/>
      <c r="B79" s="68"/>
      <c r="C79" s="68"/>
      <c r="D79" s="101" t="s">
        <v>183</v>
      </c>
      <c r="E79" s="155">
        <v>0</v>
      </c>
      <c r="F79" s="85">
        <v>0</v>
      </c>
      <c r="G79" s="164">
        <f t="shared" si="24"/>
        <v>0</v>
      </c>
      <c r="H79" s="155">
        <f>E79</f>
        <v>0</v>
      </c>
      <c r="I79" s="85">
        <f>F79</f>
        <v>0</v>
      </c>
      <c r="J79" s="164">
        <f t="shared" si="25"/>
        <v>0</v>
      </c>
    </row>
    <row r="80" spans="1:11" collapsed="1" x14ac:dyDescent="0.2">
      <c r="E80" s="67"/>
      <c r="F80" s="21"/>
      <c r="G80" s="67"/>
      <c r="H80" s="67"/>
      <c r="I80" s="21"/>
      <c r="J80" s="67"/>
    </row>
    <row r="81" spans="4:10" x14ac:dyDescent="0.2">
      <c r="D81" t="s">
        <v>178</v>
      </c>
      <c r="E81" s="67">
        <f>E3+E37+E54+E55+E56+E57+E59+E68</f>
        <v>25748.16056</v>
      </c>
      <c r="F81" s="21">
        <f>(G3+G37+G54+G55+G56+G59+G68)/E81</f>
        <v>1.90526870282962</v>
      </c>
      <c r="G81" s="67"/>
      <c r="H81" s="67">
        <f>H3+H37+H54+H55+H56+H57+H59+H68</f>
        <v>8543.6467138860917</v>
      </c>
      <c r="I81" s="21">
        <f>(J3+J37+J54+J55+J56+J59+J68)/H81</f>
        <v>1.4383183070131005</v>
      </c>
      <c r="J81" s="67"/>
    </row>
    <row r="82" spans="4:10" x14ac:dyDescent="0.2">
      <c r="D82" t="s">
        <v>179</v>
      </c>
      <c r="E82" s="67">
        <f>E81+E71</f>
        <v>45548.160560000004</v>
      </c>
      <c r="F82" s="21">
        <f>(G3+G37+G54+G55+G56+G59+G68+G71)/E82</f>
        <v>2.04966925826609</v>
      </c>
      <c r="G82" s="67"/>
      <c r="H82" s="67">
        <f>H81+H71</f>
        <v>14483.646713886092</v>
      </c>
      <c r="I82" s="21">
        <f>(J3+J37+J54+J55+J56+J59+J68+J71)/H82</f>
        <v>1.5702004855193503</v>
      </c>
      <c r="J82" s="67"/>
    </row>
    <row r="83" spans="4:10" x14ac:dyDescent="0.2">
      <c r="F83" s="21"/>
      <c r="I83" s="21"/>
    </row>
    <row r="84" spans="4:10" x14ac:dyDescent="0.2">
      <c r="D84" s="1" t="s">
        <v>192</v>
      </c>
      <c r="E84">
        <v>25798</v>
      </c>
      <c r="F84" s="21">
        <f>1.575+0.2</f>
        <v>1.7749999999999999</v>
      </c>
      <c r="G84" s="1" t="s">
        <v>211</v>
      </c>
      <c r="I84" s="21"/>
    </row>
    <row r="85" spans="4:10" x14ac:dyDescent="0.2">
      <c r="D85" s="1" t="s">
        <v>243</v>
      </c>
      <c r="F85" s="183" t="s">
        <v>50</v>
      </c>
      <c r="I85" s="67"/>
    </row>
    <row r="89" spans="4:10" x14ac:dyDescent="0.2">
      <c r="E89" s="177"/>
      <c r="H89" s="177"/>
    </row>
  </sheetData>
  <mergeCells count="1">
    <mergeCell ref="E1:F1"/>
  </mergeCells>
  <pageMargins left="0.7" right="0.7" top="0.75" bottom="0.75" header="0.3" footer="0.3"/>
  <pageSetup paperSize="9"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65C8A-D5EF-4658-AE66-2E7DEF53AA8C}">
  <sheetPr codeName="Sheet6"/>
  <dimension ref="A1:T227"/>
  <sheetViews>
    <sheetView view="pageBreakPreview" zoomScale="60" zoomScaleNormal="100" workbookViewId="0">
      <selection activeCell="R138" sqref="R138"/>
    </sheetView>
  </sheetViews>
  <sheetFormatPr defaultRowHeight="12.75" x14ac:dyDescent="0.2"/>
  <cols>
    <col min="1" max="1" width="37.140625" customWidth="1"/>
    <col min="2" max="2" width="11.5703125" bestFit="1" customWidth="1"/>
    <col min="3" max="3" width="12.42578125" bestFit="1" customWidth="1"/>
    <col min="20" max="20" width="12.42578125" bestFit="1" customWidth="1"/>
  </cols>
  <sheetData>
    <row r="1" spans="1:4" x14ac:dyDescent="0.2">
      <c r="B1" t="s">
        <v>248</v>
      </c>
      <c r="C1" t="s">
        <v>173</v>
      </c>
    </row>
    <row r="2" spans="1:4" x14ac:dyDescent="0.2">
      <c r="A2" s="219" t="s">
        <v>346</v>
      </c>
    </row>
    <row r="3" spans="1:4" x14ac:dyDescent="0.2">
      <c r="A3" s="68" t="s">
        <v>332</v>
      </c>
      <c r="B3" s="239">
        <f>Input!B55</f>
        <v>32.35</v>
      </c>
      <c r="C3" s="68">
        <f>LWL</f>
        <v>17.2</v>
      </c>
    </row>
    <row r="4" spans="1:4" x14ac:dyDescent="0.2">
      <c r="A4" s="68" t="s">
        <v>333</v>
      </c>
      <c r="B4" s="239">
        <f>Input!B56</f>
        <v>3.7042357797642769</v>
      </c>
      <c r="C4" s="68">
        <f>BWL</f>
        <v>2.8</v>
      </c>
    </row>
    <row r="5" spans="1:4" x14ac:dyDescent="0.2">
      <c r="A5" s="68" t="s">
        <v>334</v>
      </c>
      <c r="B5" s="240">
        <f>Input!B59</f>
        <v>1.1499999999999999</v>
      </c>
      <c r="C5" s="85">
        <f>T</f>
        <v>0.75900000000000001</v>
      </c>
    </row>
    <row r="6" spans="1:4" x14ac:dyDescent="0.2">
      <c r="A6" s="68" t="s">
        <v>335</v>
      </c>
      <c r="B6" s="241">
        <f>Input!B60*1000</f>
        <v>45376.946465736604</v>
      </c>
      <c r="C6" s="155">
        <f>Input!D60*1000</f>
        <v>14411.900721671185</v>
      </c>
      <c r="D6" s="67"/>
    </row>
    <row r="7" spans="1:4" x14ac:dyDescent="0.2">
      <c r="A7" s="68" t="s">
        <v>336</v>
      </c>
      <c r="B7" s="241">
        <f>B6*(B3/3)^2</f>
        <v>5276443.9397432031</v>
      </c>
      <c r="C7" s="241">
        <f>C6*(C3/3)^2</f>
        <v>473735.18994435598</v>
      </c>
      <c r="D7" s="67"/>
    </row>
    <row r="8" spans="1:4" x14ac:dyDescent="0.2">
      <c r="A8" s="68" t="s">
        <v>337</v>
      </c>
      <c r="B8" s="85">
        <v>0.32118549392675172</v>
      </c>
      <c r="C8" s="85">
        <f>Input!D67</f>
        <v>0.36255423342613663</v>
      </c>
    </row>
    <row r="9" spans="1:4" x14ac:dyDescent="0.2">
      <c r="A9" s="101" t="s">
        <v>338</v>
      </c>
      <c r="B9" s="68">
        <v>170</v>
      </c>
      <c r="C9" s="68">
        <f>SUM(Input!B37:B39)</f>
        <v>50</v>
      </c>
    </row>
    <row r="10" spans="1:4" x14ac:dyDescent="0.2">
      <c r="A10" s="101" t="s">
        <v>339</v>
      </c>
      <c r="B10" s="85">
        <v>5.2</v>
      </c>
      <c r="C10" s="85">
        <f>Input!B24</f>
        <v>4.5</v>
      </c>
    </row>
    <row r="11" spans="1:4" x14ac:dyDescent="0.2">
      <c r="A11" s="101" t="s">
        <v>328</v>
      </c>
      <c r="B11" s="68">
        <v>2</v>
      </c>
      <c r="C11" s="68">
        <f>Input!B25</f>
        <v>2</v>
      </c>
    </row>
    <row r="12" spans="1:4" x14ac:dyDescent="0.2">
      <c r="A12" s="101" t="s">
        <v>340</v>
      </c>
      <c r="B12" s="68">
        <f>B13*B14</f>
        <v>0.75</v>
      </c>
      <c r="C12" s="68">
        <f>Input!B26</f>
        <v>0.25</v>
      </c>
    </row>
    <row r="13" spans="1:4" x14ac:dyDescent="0.2">
      <c r="A13" s="101" t="s">
        <v>341</v>
      </c>
      <c r="B13" s="85">
        <v>1.5</v>
      </c>
      <c r="C13" s="85">
        <f>Input!B27</f>
        <v>0.96</v>
      </c>
    </row>
    <row r="14" spans="1:4" x14ac:dyDescent="0.2">
      <c r="A14" s="101" t="s">
        <v>342</v>
      </c>
      <c r="B14" s="85">
        <v>0.5</v>
      </c>
      <c r="C14" s="85">
        <f>Input!B28</f>
        <v>0.26</v>
      </c>
    </row>
    <row r="15" spans="1:4" x14ac:dyDescent="0.2">
      <c r="A15" s="68" t="s">
        <v>343</v>
      </c>
      <c r="B15" s="85">
        <v>-15</v>
      </c>
      <c r="C15" s="85">
        <f>Input!B29</f>
        <v>-7.9752704791344664</v>
      </c>
    </row>
    <row r="16" spans="1:4" x14ac:dyDescent="0.2">
      <c r="A16" s="101" t="s">
        <v>347</v>
      </c>
      <c r="B16" s="68">
        <v>0</v>
      </c>
      <c r="C16" s="68">
        <f>Input!B30</f>
        <v>0</v>
      </c>
    </row>
    <row r="21" spans="1:3" x14ac:dyDescent="0.2">
      <c r="A21" s="219" t="s">
        <v>304</v>
      </c>
    </row>
    <row r="22" spans="1:3" x14ac:dyDescent="0.2">
      <c r="A22" s="1"/>
      <c r="B22" s="183"/>
      <c r="C22" s="220"/>
    </row>
    <row r="23" spans="1:3" x14ac:dyDescent="0.2">
      <c r="A23" s="101" t="s">
        <v>344</v>
      </c>
      <c r="B23" s="242">
        <f>-RADIANS(67)</f>
        <v>-1.1693705988362009</v>
      </c>
      <c r="C23" s="242">
        <f>B23</f>
        <v>-1.1693705988362009</v>
      </c>
    </row>
    <row r="24" spans="1:3" x14ac:dyDescent="0.2">
      <c r="A24" s="101" t="s">
        <v>345</v>
      </c>
      <c r="B24" s="243" t="s">
        <v>50</v>
      </c>
      <c r="C24" s="243" t="s">
        <v>50</v>
      </c>
    </row>
    <row r="25" spans="1:3" x14ac:dyDescent="0.2">
      <c r="A25" s="246" t="s">
        <v>378</v>
      </c>
      <c r="B25" s="243"/>
      <c r="C25" s="243"/>
    </row>
    <row r="26" spans="1:3" x14ac:dyDescent="0.2">
      <c r="A26" s="238" t="s">
        <v>301</v>
      </c>
      <c r="B26" s="243">
        <v>0</v>
      </c>
      <c r="C26" s="243">
        <v>0</v>
      </c>
    </row>
    <row r="27" spans="1:3" x14ac:dyDescent="0.2">
      <c r="A27" s="238" t="s">
        <v>50</v>
      </c>
      <c r="B27" s="243">
        <v>0</v>
      </c>
      <c r="C27" s="243">
        <v>0</v>
      </c>
    </row>
    <row r="28" spans="1:3" x14ac:dyDescent="0.2">
      <c r="A28" s="238" t="s">
        <v>379</v>
      </c>
      <c r="B28" s="243">
        <v>0</v>
      </c>
      <c r="C28" s="243">
        <v>0</v>
      </c>
    </row>
    <row r="29" spans="1:3" x14ac:dyDescent="0.2">
      <c r="A29" s="246" t="s">
        <v>380</v>
      </c>
      <c r="B29" s="243"/>
      <c r="C29" s="243"/>
    </row>
    <row r="30" spans="1:3" x14ac:dyDescent="0.2">
      <c r="A30" s="238" t="s">
        <v>381</v>
      </c>
      <c r="B30" s="244">
        <v>4</v>
      </c>
      <c r="C30" s="244">
        <v>4</v>
      </c>
    </row>
    <row r="31" spans="1:3" x14ac:dyDescent="0.2">
      <c r="A31" s="238" t="s">
        <v>403</v>
      </c>
      <c r="B31" s="244">
        <v>0</v>
      </c>
      <c r="C31" s="244">
        <v>0</v>
      </c>
    </row>
    <row r="32" spans="1:3" x14ac:dyDescent="0.2">
      <c r="A32" s="238" t="s">
        <v>379</v>
      </c>
      <c r="B32" s="244">
        <v>0</v>
      </c>
      <c r="C32" s="244">
        <v>0</v>
      </c>
    </row>
    <row r="33" spans="1:20" x14ac:dyDescent="0.2">
      <c r="A33" s="238" t="s">
        <v>404</v>
      </c>
      <c r="B33" s="245">
        <f>5000/62</f>
        <v>80.645161290322577</v>
      </c>
      <c r="C33" s="245">
        <f>5000/62</f>
        <v>80.645161290322577</v>
      </c>
      <c r="N33" s="237" t="s">
        <v>38</v>
      </c>
    </row>
    <row r="34" spans="1:20" x14ac:dyDescent="0.2">
      <c r="A34" s="238" t="s">
        <v>372</v>
      </c>
      <c r="B34" s="243">
        <v>0</v>
      </c>
      <c r="C34" s="243">
        <v>0</v>
      </c>
      <c r="E34" t="s">
        <v>38</v>
      </c>
    </row>
    <row r="35" spans="1:20" x14ac:dyDescent="0.2">
      <c r="A35" s="238" t="s">
        <v>373</v>
      </c>
      <c r="B35" s="243">
        <v>1</v>
      </c>
      <c r="C35" s="243">
        <v>1</v>
      </c>
      <c r="M35" s="237"/>
    </row>
    <row r="36" spans="1:20" ht="13.5" customHeight="1" x14ac:dyDescent="0.2">
      <c r="M36" s="237"/>
    </row>
    <row r="37" spans="1:20" x14ac:dyDescent="0.2">
      <c r="A37" s="1" t="s">
        <v>308</v>
      </c>
      <c r="B37">
        <f>A42-A41</f>
        <v>1</v>
      </c>
      <c r="C37" t="s">
        <v>374</v>
      </c>
    </row>
    <row r="38" spans="1:20" x14ac:dyDescent="0.2">
      <c r="A38" s="1"/>
      <c r="K38" s="1" t="s">
        <v>307</v>
      </c>
      <c r="M38" s="237" t="s">
        <v>38</v>
      </c>
      <c r="R38" s="1" t="s">
        <v>318</v>
      </c>
    </row>
    <row r="39" spans="1:20" x14ac:dyDescent="0.2">
      <c r="A39" s="237" t="s">
        <v>391</v>
      </c>
      <c r="B39" s="1" t="s">
        <v>317</v>
      </c>
      <c r="E39" s="1" t="s">
        <v>305</v>
      </c>
      <c r="H39" s="1" t="s">
        <v>303</v>
      </c>
      <c r="K39" s="1" t="s">
        <v>299</v>
      </c>
      <c r="L39" s="1" t="s">
        <v>306</v>
      </c>
      <c r="M39" s="1"/>
      <c r="O39" s="1" t="s">
        <v>319</v>
      </c>
    </row>
    <row r="40" spans="1:20" ht="13.5" thickBot="1" x14ac:dyDescent="0.25">
      <c r="A40" s="1" t="s">
        <v>300</v>
      </c>
      <c r="B40" s="1" t="s">
        <v>309</v>
      </c>
      <c r="C40" s="1" t="s">
        <v>310</v>
      </c>
      <c r="D40" s="1" t="s">
        <v>311</v>
      </c>
      <c r="E40" s="1" t="s">
        <v>312</v>
      </c>
      <c r="F40" s="1" t="s">
        <v>313</v>
      </c>
      <c r="G40" s="237" t="s">
        <v>405</v>
      </c>
      <c r="H40" s="1" t="s">
        <v>314</v>
      </c>
      <c r="I40" s="1" t="s">
        <v>315</v>
      </c>
      <c r="J40" s="1" t="s">
        <v>316</v>
      </c>
      <c r="K40" s="1"/>
      <c r="L40" s="1" t="s">
        <v>301</v>
      </c>
      <c r="M40" s="1" t="s">
        <v>50</v>
      </c>
      <c r="N40" s="1" t="s">
        <v>49</v>
      </c>
      <c r="O40" s="1" t="s">
        <v>301</v>
      </c>
      <c r="P40" s="1" t="s">
        <v>50</v>
      </c>
      <c r="Q40" s="1" t="s">
        <v>49</v>
      </c>
      <c r="R40" s="1" t="s">
        <v>301</v>
      </c>
      <c r="S40" s="1" t="s">
        <v>50</v>
      </c>
      <c r="T40" s="1" t="s">
        <v>49</v>
      </c>
    </row>
    <row r="41" spans="1:20" x14ac:dyDescent="0.2">
      <c r="A41">
        <v>0</v>
      </c>
      <c r="B41" s="265">
        <f>B26</f>
        <v>0</v>
      </c>
      <c r="C41" s="266">
        <f>B27</f>
        <v>0</v>
      </c>
      <c r="D41" s="266">
        <f>B28</f>
        <v>0</v>
      </c>
      <c r="E41" s="266">
        <f>$B$30</f>
        <v>4</v>
      </c>
      <c r="F41" s="266">
        <f>B31</f>
        <v>0</v>
      </c>
      <c r="G41" s="267">
        <f>B32</f>
        <v>0</v>
      </c>
      <c r="H41" s="247">
        <v>0</v>
      </c>
      <c r="I41" s="247">
        <v>0</v>
      </c>
      <c r="J41" s="247">
        <v>0</v>
      </c>
      <c r="K41" s="67" cm="1">
        <f t="array" ref="K41">-Lininterp(Powering!$A$55:$A$71,Powering!$G$55:$G$71,E41/0.514)</f>
        <v>-3007.0101167315174</v>
      </c>
      <c r="L41" s="67" cm="1">
        <f t="array" ref="L41">OarForces(170,5.2,$B$34,$B$35,$B$33,E41,F41,G41, $L$40)</f>
        <v>3891.2249138808693</v>
      </c>
      <c r="M41" s="67"/>
      <c r="N41" s="4" cm="1">
        <f t="array" ref="N41">OarForces(170,5.2,$B$34,$B$35,$B$33,E41,F41,G41, $N$40)</f>
        <v>20234.36955218052</v>
      </c>
      <c r="O41" s="67" cm="1">
        <f t="array" ref="O41">$B$11*IF($B$24="Y",RudderForces($B$15,$B$16,$B$13,$B$14,$B$12,$B$23,E41,F41,G41,$O$40),0)</f>
        <v>-23038.897956645669</v>
      </c>
      <c r="P41" s="67" cm="1">
        <f t="array" ref="P41">$B$11*IF($B$24="Y",RudderForces($B$15,$B$16,$B$13,$B$14,$B$12,$B$23,E41,F41,G41,$P$40),0)</f>
        <v>-8847.8795441654074</v>
      </c>
      <c r="Q41" s="67" cm="1">
        <f t="array" ref="Q41">$B$11*IF($B$24="Y",RudderForces($B$15,$B$16,$B$13,$B$14,$B$12,$B$23,E41,F41,G41,$Q$40),0)</f>
        <v>132718.19316248113</v>
      </c>
      <c r="R41" cm="1">
        <f t="array" ref="R41">ManAcceleration($B$3,$B$4,$B$5,$B$6,$B$7,$B$8,K41,E41,F41,G41,L41,M41,N41,O41,P41,Q41,$R$40)</f>
        <v>-0.46091743879570241</v>
      </c>
      <c r="S41" cm="1">
        <f t="array" ref="S41">ManAcceleration($B$3,$B$4,$B$5,$B$6,$B$7,$B$8,K41,E41,F41,G41,L41,M41,N41,O41,P41,Q41,$S$40)</f>
        <v>-8.5166644826865354E-2</v>
      </c>
      <c r="T41" cm="1">
        <f t="array" ref="T41">ManAcceleration($B$3,$B$4,$B$5,$B$6,$B$7,$B$8,K41,E41,F41,G41,L41,M41,N41,O41,P41,Q41,$T$40)</f>
        <v>1.5445515455679461E-2</v>
      </c>
    </row>
    <row r="42" spans="1:20" x14ac:dyDescent="0.2">
      <c r="A42">
        <v>1</v>
      </c>
      <c r="B42" s="268">
        <f>B41+H42</f>
        <v>3.5390825612042978</v>
      </c>
      <c r="C42" s="21">
        <f t="shared" ref="B42:D45" si="0">C41+I42</f>
        <v>-8.5166644826865354E-2</v>
      </c>
      <c r="D42" s="21">
        <f t="shared" si="0"/>
        <v>1.5445515455679461E-2</v>
      </c>
      <c r="E42" s="21">
        <f t="shared" ref="E42:G45" si="1">E41+R41/$B$37</f>
        <v>3.5390825612042978</v>
      </c>
      <c r="F42" s="21">
        <f t="shared" si="1"/>
        <v>-8.5166644826865354E-2</v>
      </c>
      <c r="G42" s="269">
        <f t="shared" si="1"/>
        <v>1.5445515455679461E-2</v>
      </c>
      <c r="H42" s="21">
        <f>E42*COS(D41)-F42*SIN(D41)</f>
        <v>3.5390825612042978</v>
      </c>
      <c r="I42" s="21">
        <f>F42*COS(D41)+E42*SIN(D41)</f>
        <v>-8.5166644826865354E-2</v>
      </c>
      <c r="J42" s="21">
        <f>G42</f>
        <v>1.5445515455679461E-2</v>
      </c>
      <c r="K42" s="67" cm="1">
        <f t="array" ref="K42">-Lininterp(Powering!$A$55:$A$71,Powering!$G$55:$G$71,E42/0.514)</f>
        <v>-2047.1298511129032</v>
      </c>
      <c r="L42" s="67" cm="1">
        <f t="array" ref="L42">OarForces(170,5.2,$B$34,$B$35,$B$33,E42,F42,G42, $L$40)</f>
        <v>4173.2133284714755</v>
      </c>
      <c r="M42" s="67"/>
      <c r="N42" s="4" cm="1">
        <f t="array" ref="N42">OarForces(170,5.2,$B$34,$B$35,$B$33,E42,F42,G42, $N$40)</f>
        <v>21700.709308051675</v>
      </c>
      <c r="O42" s="67" cm="1">
        <f t="array" ref="O42">$B$11*IF($B$24="Y",RudderForces($B$15,$B$16,$B$13,$B$14,$B$12,$B$23,E42,F42,G42,$O$40),0)</f>
        <v>-18332.105874142817</v>
      </c>
      <c r="P42" s="67" cm="1">
        <f t="array" ref="P42">$B$11*IF($B$24="Y",RudderForces($B$15,$B$16,$B$13,$B$14,$B$12,$B$23,E42,F42,G42,$P$40),0)</f>
        <v>-6913.8195640157592</v>
      </c>
      <c r="Q42" s="67" cm="1">
        <f t="array" ref="Q42">$B$11*IF($B$24="Y",RudderForces($B$15,$B$16,$B$13,$B$14,$B$12,$B$23,E42,F42,G42,$Q$40),0)</f>
        <v>103707.29346023638</v>
      </c>
      <c r="R42" cm="1">
        <f t="array" ref="R42">ManAcceleration($B$3,$B$4,$B$5,$B$6,$B$7,$B$8,K42,E42,F42,G42,L42,M42,N42,O42,P42,Q42,$R$40)</f>
        <v>-0.33840027415532281</v>
      </c>
      <c r="S42" cm="1">
        <f t="array" ref="S42">ManAcceleration($B$3,$B$4,$B$5,$B$6,$B$7,$B$8,K42,E42,F42,G42,L42,M42,N42,O42,P42,Q42,$S$40)</f>
        <v>-6.1920502412789589E-2</v>
      </c>
      <c r="T42" cm="1">
        <f t="array" ref="T42">ManAcceleration($B$3,$B$4,$B$5,$B$6,$B$7,$B$8,K42,E42,F42,G42,L42,M42,N42,O42,P42,Q42,$T$40)</f>
        <v>9.6581329171809283E-3</v>
      </c>
    </row>
    <row r="43" spans="1:20" x14ac:dyDescent="0.2">
      <c r="A43">
        <f>A42+1</f>
        <v>2</v>
      </c>
      <c r="B43" s="268">
        <f t="shared" si="0"/>
        <v>6.7416548186197183</v>
      </c>
      <c r="C43" s="21">
        <f t="shared" si="0"/>
        <v>-0.18280202542863491</v>
      </c>
      <c r="D43" s="21">
        <f t="shared" si="0"/>
        <v>4.0549163828539847E-2</v>
      </c>
      <c r="E43" s="21">
        <f t="shared" si="1"/>
        <v>3.2006822870489748</v>
      </c>
      <c r="F43" s="21">
        <f t="shared" si="1"/>
        <v>-0.14708714723965494</v>
      </c>
      <c r="G43" s="269">
        <f t="shared" si="1"/>
        <v>2.5103648372860388E-2</v>
      </c>
      <c r="H43" s="21">
        <f>E43*COS(D42)-F43*SIN(D42)</f>
        <v>3.2025722574154205</v>
      </c>
      <c r="I43" s="21">
        <f>F43*COS(D42)+E43*SIN(D42)</f>
        <v>-9.7635380601769559E-2</v>
      </c>
      <c r="J43" s="21">
        <f>G43</f>
        <v>2.5103648372860388E-2</v>
      </c>
      <c r="K43" s="67" cm="1">
        <f t="array" ref="K43">-Lininterp(Powering!$A$55:$A$71,Powering!$G$55:$G$71,E43/0.514)</f>
        <v>-1601.0208515649517</v>
      </c>
      <c r="L43" s="67" cm="1">
        <f t="array" ref="L43">OarForces(170,5.2,$B$34,$B$35,$B$33,E43,F43,G43, $L$40)</f>
        <v>4386.7253899769958</v>
      </c>
      <c r="M43" s="67"/>
      <c r="N43" s="4" cm="1">
        <f t="array" ref="N43">OarForces(170,5.2,$B$34,$B$35,$B$33,E43,F43,G43, $N$40)</f>
        <v>22810.97202788038</v>
      </c>
      <c r="O43" s="67" cm="1">
        <f t="array" ref="O43">$B$11*IF($B$24="Y",RudderForces($B$15,$B$16,$B$13,$B$14,$B$12,$B$23,E43,F43,G43,$O$40),0)</f>
        <v>-15225.790552367778</v>
      </c>
      <c r="P43" s="67" cm="1">
        <f t="array" ref="P43">$B$11*IF($B$24="Y",RudderForces($B$15,$B$16,$B$13,$B$14,$B$12,$B$23,E43,F43,G43,$P$40),0)</f>
        <v>-5667.6618743284325</v>
      </c>
      <c r="Q43" s="67" cm="1">
        <f t="array" ref="Q43">$B$11*IF($B$24="Y",RudderForces($B$15,$B$16,$B$13,$B$14,$B$12,$B$23,E43,F43,G43,$Q$40),0)</f>
        <v>85014.928114926486</v>
      </c>
      <c r="R43" cm="1">
        <f t="array" ref="R43">ManAcceleration($B$3,$B$4,$B$5,$B$6,$B$7,$B$8,K43,E43,F43,G43,L43,M43,N43,O43,P43,Q43,$R$40)</f>
        <v>-0.26229577224772682</v>
      </c>
      <c r="S43" cm="1">
        <f t="array" ref="S43">ManAcceleration($B$3,$B$4,$B$5,$B$6,$B$7,$B$8,K43,E43,F43,G43,L43,M43,N43,O43,P43,Q43,$S$40)</f>
        <v>-4.6857119460179723E-2</v>
      </c>
      <c r="T43" cm="1">
        <f t="array" ref="T43">ManAcceleration($B$3,$B$4,$B$5,$B$6,$B$7,$B$8,K43,E43,F43,G43,L43,M43,N43,O43,P43,Q43,$T$40)</f>
        <v>6.1243244984198414E-3</v>
      </c>
    </row>
    <row r="44" spans="1:20" x14ac:dyDescent="0.2">
      <c r="A44">
        <f t="shared" ref="A44:A131" si="2">A43+1</f>
        <v>3</v>
      </c>
      <c r="B44" s="268">
        <f t="shared" si="0"/>
        <v>9.685488088786208</v>
      </c>
      <c r="C44" s="21">
        <f t="shared" si="0"/>
        <v>-0.25747040168281737</v>
      </c>
      <c r="D44" s="21">
        <f t="shared" si="0"/>
        <v>7.1777136699820082E-2</v>
      </c>
      <c r="E44" s="21">
        <f t="shared" si="1"/>
        <v>2.9383865148012482</v>
      </c>
      <c r="F44" s="21">
        <f t="shared" si="1"/>
        <v>-0.19394426669983467</v>
      </c>
      <c r="G44" s="269">
        <f t="shared" si="1"/>
        <v>3.1227972871280228E-2</v>
      </c>
      <c r="H44" s="21">
        <f>E44*COS(D43)-F44*SIN(D43)</f>
        <v>2.9438332701664893</v>
      </c>
      <c r="I44" s="21">
        <f>F44*COS(D43)+E44*SIN(D43)</f>
        <v>-7.4668376254182461E-2</v>
      </c>
      <c r="J44" s="21">
        <f>G44</f>
        <v>3.1227972871280228E-2</v>
      </c>
      <c r="K44" s="67" cm="1">
        <f t="array" ref="K44">-Lininterp(Powering!$A$55:$A$71,Powering!$G$55:$G$71,E44/0.514)</f>
        <v>-1321.9270755741479</v>
      </c>
      <c r="L44" s="67" cm="1">
        <f t="array" ref="L44">OarForces(170,5.2,$B$34,$B$35,$B$33,E44,F44,G44, $L$40)</f>
        <v>4557.4660599346262</v>
      </c>
      <c r="M44" s="67"/>
      <c r="N44" s="4" cm="1">
        <f t="array" ref="N44">OarForces(170,5.2,$B$34,$B$35,$B$33,E44,F44,G44, $N$40)</f>
        <v>23698.823511660055</v>
      </c>
      <c r="O44" s="67" cm="1">
        <f t="array" ref="O44">$B$11*IF($B$24="Y",RudderForces($B$15,$B$16,$B$13,$B$14,$B$12,$B$23,E44,F44,G44,$O$40),0)</f>
        <v>-13006.451599646391</v>
      </c>
      <c r="P44" s="67" cm="1">
        <f t="array" ref="P44">$B$11*IF($B$24="Y",RudderForces($B$15,$B$16,$B$13,$B$14,$B$12,$B$23,E44,F44,G44,$P$40),0)</f>
        <v>-4795.1348165052514</v>
      </c>
      <c r="Q44" s="67" cm="1">
        <f t="array" ref="Q44">$B$11*IF($B$24="Y",RudderForces($B$15,$B$16,$B$13,$B$14,$B$12,$B$23,E44,F44,G44,$Q$40),0)</f>
        <v>71927.022247578774</v>
      </c>
      <c r="R44" cm="1">
        <f t="array" ref="R44">ManAcceleration($B$3,$B$4,$B$5,$B$6,$B$7,$B$8,K44,E44,F44,G44,L44,M44,N44,O44,P44,Q44,$R$40)</f>
        <v>-0.20899669618753633</v>
      </c>
      <c r="S44" cm="1">
        <f t="array" ref="S44">ManAcceleration($B$3,$B$4,$B$5,$B$6,$B$7,$B$8,K44,E44,F44,G44,L44,M44,N44,O44,P44,Q44,$S$40)</f>
        <v>-3.6408068681399446E-2</v>
      </c>
      <c r="T44" cm="1">
        <f t="array" ref="T44">ManAcceleration($B$3,$B$4,$B$5,$B$6,$B$7,$B$8,K44,E44,F44,G44,L44,M44,N44,O44,P44,Q44,$T$40)</f>
        <v>3.926454521375437E-3</v>
      </c>
    </row>
    <row r="45" spans="1:20" x14ac:dyDescent="0.2">
      <c r="A45">
        <f t="shared" si="2"/>
        <v>4</v>
      </c>
      <c r="B45" s="268">
        <f t="shared" si="0"/>
        <v>12.424369913081144</v>
      </c>
      <c r="C45" s="21">
        <f t="shared" si="0"/>
        <v>-0.29148999772132078</v>
      </c>
      <c r="D45" s="21">
        <f t="shared" si="0"/>
        <v>0.10693156409247576</v>
      </c>
      <c r="E45" s="21">
        <f t="shared" si="1"/>
        <v>2.7293898186137118</v>
      </c>
      <c r="F45" s="21">
        <f t="shared" si="1"/>
        <v>-0.23035233538123412</v>
      </c>
      <c r="G45" s="269">
        <f t="shared" si="1"/>
        <v>3.5154427392655667E-2</v>
      </c>
      <c r="H45" s="21">
        <f>E45*COS(D44)-F45*SIN(D44)</f>
        <v>2.7388818242949355</v>
      </c>
      <c r="I45" s="21">
        <f>F45*COS(D44)+E45*SIN(D44)</f>
        <v>-3.401959603850338E-2</v>
      </c>
      <c r="J45" s="21">
        <f>G45</f>
        <v>3.5154427392655667E-2</v>
      </c>
      <c r="K45" s="67" cm="1">
        <f t="array" ref="K45">-Lininterp(Powering!$A$55:$A$71,Powering!$G$55:$G$71,E45/0.514)</f>
        <v>-1142.1248595155316</v>
      </c>
      <c r="L45" s="67" cm="1">
        <f t="array" ref="L45">OarForces(170,5.2,$B$34,$B$35,$B$33,E45,F45,G45, $L$40)</f>
        <v>4697.1849897343964</v>
      </c>
      <c r="M45" s="67"/>
      <c r="N45" s="4" cm="1">
        <f t="array" ref="N45">OarForces(170,5.2,$B$34,$B$35,$B$33,E45,F45,G45, $N$40)</f>
        <v>24425.361946618861</v>
      </c>
      <c r="O45" s="67" cm="1">
        <f t="array" ref="O45">$B$11*IF($B$24="Y",RudderForces($B$15,$B$16,$B$13,$B$14,$B$12,$B$23,E45,F45,G45,$O$40),0)</f>
        <v>-11351.875937822815</v>
      </c>
      <c r="P45" s="67" cm="1">
        <f t="array" ref="P45">$B$11*IF($B$24="Y",RudderForces($B$15,$B$16,$B$13,$B$14,$B$12,$B$23,E45,F45,G45,$P$40),0)</f>
        <v>-4154.7805217689256</v>
      </c>
      <c r="Q45" s="67" cm="1">
        <f t="array" ref="Q45">$B$11*IF($B$24="Y",RudderForces($B$15,$B$16,$B$13,$B$14,$B$12,$B$23,E45,F45,G45,$Q$40),0)</f>
        <v>62321.707826533886</v>
      </c>
      <c r="R45" cm="1">
        <f t="array" ref="R45">ManAcceleration($B$3,$B$4,$B$5,$B$6,$B$7,$B$8,K45,E45,F45,G45,L45,M45,N45,O45,P45,Q45,$R$40)</f>
        <v>-0.16985376082172465</v>
      </c>
      <c r="S45" cm="1">
        <f t="array" ref="S45">ManAcceleration($B$3,$B$4,$B$5,$B$6,$B$7,$B$8,K45,E45,F45,G45,L45,M45,N45,O45,P45,Q45,$S$40)</f>
        <v>-2.8874168399828808E-2</v>
      </c>
      <c r="T45" cm="1">
        <f t="array" ref="T45">ManAcceleration($B$3,$B$4,$B$5,$B$6,$B$7,$B$8,K45,E45,F45,G45,L45,M45,N45,O45,P45,Q45,$T$40)</f>
        <v>2.5449682000960412E-3</v>
      </c>
    </row>
    <row r="46" spans="1:20" x14ac:dyDescent="0.2">
      <c r="A46">
        <f t="shared" si="2"/>
        <v>5</v>
      </c>
      <c r="B46" s="268">
        <f t="shared" ref="B46:B63" si="3">B45+H46</f>
        <v>14.996953281447949</v>
      </c>
      <c r="C46" s="21">
        <f t="shared" ref="C46:C63" si="4">C45+I46</f>
        <v>-0.27606196471641342</v>
      </c>
      <c r="D46" s="21">
        <f t="shared" ref="D46:D63" si="5">D45+J46</f>
        <v>0.14463095968522746</v>
      </c>
      <c r="E46" s="21">
        <f t="shared" ref="E46:E63" si="6">E45+R45/$B$37</f>
        <v>2.5595360577919872</v>
      </c>
      <c r="F46" s="21">
        <f t="shared" ref="F46:F63" si="7">F45+S45/$B$37</f>
        <v>-0.25922650378106293</v>
      </c>
      <c r="G46" s="269">
        <f t="shared" ref="G46:G63" si="8">G45+T45/$B$37</f>
        <v>3.7699395592751705E-2</v>
      </c>
      <c r="H46" s="21">
        <f t="shared" ref="H46:H63" si="9">E46*COS(D45)-F46*SIN(D45)</f>
        <v>2.5725833683668058</v>
      </c>
      <c r="I46" s="21">
        <f t="shared" ref="I46:I63" si="10">F46*COS(D45)+E46*SIN(D45)</f>
        <v>1.542803300490736E-2</v>
      </c>
      <c r="J46" s="21">
        <f t="shared" ref="J46:J63" si="11">G46</f>
        <v>3.7699395592751705E-2</v>
      </c>
      <c r="K46" s="67" cm="1">
        <f t="array" ref="K46">-Lininterp(Powering!$A$55:$A$71,Powering!$G$55:$G$71,E46/0.514)</f>
        <v>-997.63452472595532</v>
      </c>
      <c r="L46" s="67" cm="1">
        <f t="array" ref="L46">OarForces(170,5.2,$B$34,$B$35,$B$33,E46,F46,G46, $L$40)</f>
        <v>4813.2252332162252</v>
      </c>
      <c r="M46" s="67"/>
      <c r="N46" s="4" cm="1">
        <f t="array" ref="N46">OarForces(170,5.2,$B$34,$B$35,$B$33,E46,F46,G46, $N$40)</f>
        <v>25028.771212724372</v>
      </c>
      <c r="O46" s="67" cm="1">
        <f t="array" ref="O46">$B$11*IF($B$24="Y",RudderForces($B$15,$B$16,$B$13,$B$14,$B$12,$B$23,E46,F46,G46,$O$40),0)</f>
        <v>-10081.008307926149</v>
      </c>
      <c r="P46" s="67" cm="1">
        <f t="array" ref="P46">$B$11*IF($B$24="Y",RudderForces($B$15,$B$16,$B$13,$B$14,$B$12,$B$23,E46,F46,G46,$P$40),0)</f>
        <v>-3668.8319783503812</v>
      </c>
      <c r="Q46" s="67" cm="1">
        <f t="array" ref="Q46">$B$11*IF($B$24="Y",RudderForces($B$15,$B$16,$B$13,$B$14,$B$12,$B$23,E46,F46,G46,$Q$40),0)</f>
        <v>55032.479675255716</v>
      </c>
      <c r="R46" cm="1">
        <f t="array" ref="R46">ManAcceleration($B$3,$B$4,$B$5,$B$6,$B$7,$B$8,K46,E46,F46,G46,L46,M46,N46,O46,P46,Q46,$R$40)</f>
        <v>-0.13957483025125647</v>
      </c>
      <c r="S46" cm="1">
        <f t="array" ref="S46">ManAcceleration($B$3,$B$4,$B$5,$B$6,$B$7,$B$8,K46,E46,F46,G46,L46,M46,N46,O46,P46,Q46,$S$40)</f>
        <v>-2.3282498043947657E-2</v>
      </c>
      <c r="T46" cm="1">
        <f t="array" ref="T46">ManAcceleration($B$3,$B$4,$B$5,$B$6,$B$7,$B$8,K46,E46,F46,G46,L46,M46,N46,O46,P46,Q46,$T$40)</f>
        <v>1.6662813755359326E-3</v>
      </c>
    </row>
    <row r="47" spans="1:20" x14ac:dyDescent="0.2">
      <c r="A47">
        <f t="shared" si="2"/>
        <v>6</v>
      </c>
      <c r="B47" s="268">
        <f t="shared" si="3"/>
        <v>17.432365332084725</v>
      </c>
      <c r="C47" s="21">
        <f t="shared" si="4"/>
        <v>-0.20683897340734986</v>
      </c>
      <c r="D47" s="21">
        <f t="shared" si="5"/>
        <v>0.18399663665351509</v>
      </c>
      <c r="E47" s="21">
        <f t="shared" si="6"/>
        <v>2.419961227540731</v>
      </c>
      <c r="F47" s="21">
        <f t="shared" si="7"/>
        <v>-0.2825090018250106</v>
      </c>
      <c r="G47" s="269">
        <f>G46+T46/$B$37</f>
        <v>3.936567696828764E-2</v>
      </c>
      <c r="H47" s="21">
        <f t="shared" si="9"/>
        <v>2.4354120506367765</v>
      </c>
      <c r="I47" s="21">
        <f t="shared" si="10"/>
        <v>6.9222991309063564E-2</v>
      </c>
      <c r="J47" s="21">
        <f>G47</f>
        <v>3.936567696828764E-2</v>
      </c>
      <c r="K47" s="67" cm="1">
        <f t="array" ref="K47">-Lininterp(Powering!$A$55:$A$71,Powering!$G$55:$G$71,E47/0.514)</f>
        <v>-899.38905082536303</v>
      </c>
      <c r="L47" s="67" cm="1">
        <f t="array" ref="L47">OarForces(170,5.2,$B$34,$B$35,$B$33,E47,F47,G47, $L$40)</f>
        <v>4910.2170275219887</v>
      </c>
      <c r="M47" s="67"/>
      <c r="N47" s="4" cm="1">
        <f t="array" ref="N47">OarForces(170,5.2,$B$34,$B$35,$B$33,E47,F47,G47, $N$40)</f>
        <v>25533.128543114341</v>
      </c>
      <c r="O47" s="67" cm="1">
        <f t="array" ref="O47">$B$11*IF($B$24="Y",RudderForces($B$15,$B$16,$B$13,$B$14,$B$12,$B$23,E47,F47,G47,$O$40),0)</f>
        <v>-9086.7868763741462</v>
      </c>
      <c r="P47" s="67" cm="1">
        <f t="array" ref="P47">$B$11*IF($B$24="Y",RudderForces($B$15,$B$16,$B$13,$B$14,$B$12,$B$23,E47,F47,G47,$P$40),0)</f>
        <v>-3292.1677894665331</v>
      </c>
      <c r="Q47" s="67" cm="1">
        <f t="array" ref="Q47">$B$11*IF($B$24="Y",RudderForces($B$15,$B$16,$B$13,$B$14,$B$12,$B$23,E47,F47,G47,$Q$40),0)</f>
        <v>49382.516841997996</v>
      </c>
      <c r="R47" cm="1">
        <f t="array" ref="R47">ManAcceleration($B$3,$B$4,$B$5,$B$6,$B$7,$B$8,K47,E47,F47,G47,L47,M47,N47,O47,P47,Q47,$R$40)</f>
        <v>-0.11610174098601155</v>
      </c>
      <c r="S47" cm="1">
        <f t="array" ref="S47">ManAcceleration($B$3,$B$4,$B$5,$B$6,$B$7,$B$8,K47,E47,F47,G47,L47,M47,N47,O47,P47,Q47,$S$40)</f>
        <v>-1.9045846774840933E-2</v>
      </c>
      <c r="T47" cm="1">
        <f t="array" ref="T47">ManAcceleration($B$3,$B$4,$B$5,$B$6,$B$7,$B$8,K47,E47,F47,G47,L47,M47,N47,O47,P47,Q47,$T$40)</f>
        <v>1.101559769173662E-3</v>
      </c>
    </row>
    <row r="48" spans="1:20" x14ac:dyDescent="0.2">
      <c r="A48">
        <f t="shared" si="2"/>
        <v>7</v>
      </c>
      <c r="B48" s="268">
        <f t="shared" si="3"/>
        <v>19.752508945189884</v>
      </c>
      <c r="C48" s="21">
        <f t="shared" si="4"/>
        <v>-8.1789083085153647E-2</v>
      </c>
      <c r="D48" s="21">
        <f t="shared" si="5"/>
        <v>0.2244638733909764</v>
      </c>
      <c r="E48" s="21">
        <f t="shared" si="6"/>
        <v>2.3038594865547193</v>
      </c>
      <c r="F48" s="21">
        <f t="shared" si="7"/>
        <v>-0.30155484859985154</v>
      </c>
      <c r="G48" s="269">
        <f t="shared" si="8"/>
        <v>4.0467236737461304E-2</v>
      </c>
      <c r="H48" s="21">
        <f t="shared" si="9"/>
        <v>2.3201436131051585</v>
      </c>
      <c r="I48" s="21">
        <f t="shared" si="10"/>
        <v>0.12504989032219621</v>
      </c>
      <c r="J48" s="21">
        <f t="shared" si="11"/>
        <v>4.0467236737461304E-2</v>
      </c>
      <c r="K48" s="67" cm="1">
        <f t="array" ref="K48">-Lininterp(Powering!$A$55:$A$71,Powering!$G$55:$G$71,E48/0.514)</f>
        <v>-817.66607438812741</v>
      </c>
      <c r="L48" s="67" cm="1">
        <f t="array" ref="L48">OarForces(170,5.2,$B$34,$B$35,$B$33,E48,F48,G48, $L$40)</f>
        <v>4991.9932308000616</v>
      </c>
      <c r="M48" s="67"/>
      <c r="N48" s="4" cm="1">
        <f t="array" ref="N48">OarForces(170,5.2,$B$34,$B$35,$B$33,E48,F48,G48, $N$40)</f>
        <v>25958.364800160321</v>
      </c>
      <c r="O48" s="67" cm="1">
        <f t="array" ref="O48">$B$11*IF($B$24="Y",RudderForces($B$15,$B$16,$B$13,$B$14,$B$12,$B$23,E48,F48,G48,$O$40),0)</f>
        <v>-8294.7255174220791</v>
      </c>
      <c r="P48" s="67" cm="1">
        <f t="array" ref="P48">$B$11*IF($B$24="Y",RudderForces($B$15,$B$16,$B$13,$B$14,$B$12,$B$23,E48,F48,G48,$P$40),0)</f>
        <v>-2994.2678398328667</v>
      </c>
      <c r="Q48" s="67" cm="1">
        <f t="array" ref="Q48">$B$11*IF($B$24="Y",RudderForces($B$15,$B$16,$B$13,$B$14,$B$12,$B$23,E48,F48,G48,$Q$40),0)</f>
        <v>44914.017597493003</v>
      </c>
      <c r="R48" cm="1">
        <f t="array" ref="R48">ManAcceleration($B$3,$B$4,$B$5,$B$6,$B$7,$B$8,K48,E48,F48,G48,L48,M48,N48,O48,P48,Q48,$R$40)</f>
        <v>-9.7243161552138024E-2</v>
      </c>
      <c r="S48" cm="1">
        <f t="array" ref="S48">ManAcceleration($B$3,$B$4,$B$5,$B$6,$B$7,$B$8,K48,E48,F48,G48,L48,M48,N48,O48,P48,Q48,$S$40)</f>
        <v>-1.5770621927787453E-2</v>
      </c>
      <c r="T48" cm="1">
        <f t="array" ref="T48">ManAcceleration($B$3,$B$4,$B$5,$B$6,$B$7,$B$8,K48,E48,F48,G48,L48,M48,N48,O48,P48,Q48,$T$40)</f>
        <v>7.3408528961683083E-4</v>
      </c>
    </row>
    <row r="49" spans="1:20" x14ac:dyDescent="0.2">
      <c r="A49">
        <f t="shared" si="2"/>
        <v>8</v>
      </c>
      <c r="B49" s="268">
        <f t="shared" si="3"/>
        <v>21.974400649525492</v>
      </c>
      <c r="C49" s="21">
        <f t="shared" si="4"/>
        <v>0.10000287003186198</v>
      </c>
      <c r="D49" s="21">
        <f>D48+J49</f>
        <v>0.26566519541805456</v>
      </c>
      <c r="E49" s="21">
        <f t="shared" si="6"/>
        <v>2.2066163250025812</v>
      </c>
      <c r="F49" s="21">
        <f t="shared" si="7"/>
        <v>-0.31732547052763899</v>
      </c>
      <c r="G49" s="269">
        <f>G48+T48/$B$37</f>
        <v>4.1201322027078137E-2</v>
      </c>
      <c r="H49" s="21">
        <f t="shared" si="9"/>
        <v>2.2218917043356061</v>
      </c>
      <c r="I49" s="21">
        <f t="shared" si="10"/>
        <v>0.18179195311701563</v>
      </c>
      <c r="J49" s="21">
        <f>G49</f>
        <v>4.1201322027078137E-2</v>
      </c>
      <c r="K49" s="67" cm="1">
        <f t="array" ref="K49">-Lininterp(Powering!$A$55:$A$71,Powering!$G$55:$G$71,E49/0.514)</f>
        <v>-749.21748324111638</v>
      </c>
      <c r="L49" s="67" cm="1">
        <f t="array" ref="L49">OarForces(170,5.2,$B$34,$B$35,$B$33,E49,F49,G49, $L$40)</f>
        <v>5061.2128157016787</v>
      </c>
      <c r="M49" s="67"/>
      <c r="N49" s="4" cm="1">
        <f t="array" ref="N49">OarForces(170,5.2,$B$34,$B$35,$B$33,E49,F49,G49, $N$40)</f>
        <v>26318.306641648731</v>
      </c>
      <c r="O49" s="67" cm="1">
        <f t="array" ref="O49">$B$11*IF($B$24="Y",RudderForces($B$15,$B$16,$B$13,$B$14,$B$12,$B$23,E49,F49,G49,$O$40),0)</f>
        <v>-7656.2156416763501</v>
      </c>
      <c r="P49" s="67" cm="1">
        <f t="array" ref="P49">$B$11*IF($B$24="Y",RudderForces($B$15,$B$16,$B$13,$B$14,$B$12,$B$23,E49,F49,G49,$P$40),0)</f>
        <v>-2755.49979695191</v>
      </c>
      <c r="Q49" s="67" cm="1">
        <f t="array" ref="Q49">$B$11*IF($B$24="Y",RudderForces($B$15,$B$16,$B$13,$B$14,$B$12,$B$23,E49,F49,G49,$Q$40),0)</f>
        <v>41332.496954278649</v>
      </c>
      <c r="R49" cm="1">
        <f t="array" ref="R49">ManAcceleration($B$3,$B$4,$B$5,$B$6,$B$7,$B$8,K49,E49,F49,G49,L49,M49,N49,O49,P49,Q49,$R$40)</f>
        <v>-8.1917546879663822E-2</v>
      </c>
      <c r="S49" cm="1">
        <f t="array" ref="S49">ManAcceleration($B$3,$B$4,$B$5,$B$6,$B$7,$B$8,K49,E49,F49,G49,L49,M49,N49,O49,P49,Q49,$S$40)</f>
        <v>-1.3199764087310238E-2</v>
      </c>
      <c r="T49" cm="1">
        <f t="array" ref="T49">ManAcceleration($B$3,$B$4,$B$5,$B$6,$B$7,$B$8,K49,E49,F49,G49,L49,M49,N49,O49,P49,Q49,$T$40)</f>
        <v>4.9274373473197765E-4</v>
      </c>
    </row>
    <row r="50" spans="1:20" x14ac:dyDescent="0.2">
      <c r="A50">
        <f t="shared" si="2"/>
        <v>9</v>
      </c>
      <c r="B50" s="268">
        <f t="shared" si="3"/>
        <v>24.111340678578276</v>
      </c>
      <c r="C50" s="21">
        <f t="shared" si="4"/>
        <v>0.33891528223801748</v>
      </c>
      <c r="D50" s="21">
        <f t="shared" si="5"/>
        <v>0.30735926117986467</v>
      </c>
      <c r="E50" s="21">
        <f t="shared" si="6"/>
        <v>2.1246987781229172</v>
      </c>
      <c r="F50" s="21">
        <f t="shared" si="7"/>
        <v>-0.3305252346149492</v>
      </c>
      <c r="G50" s="269">
        <f t="shared" si="8"/>
        <v>4.1694065761810117E-2</v>
      </c>
      <c r="H50" s="21">
        <f t="shared" si="9"/>
        <v>2.1369400290527856</v>
      </c>
      <c r="I50" s="21">
        <f t="shared" si="10"/>
        <v>0.2389124122061555</v>
      </c>
      <c r="J50" s="21">
        <f t="shared" si="11"/>
        <v>4.1694065761810117E-2</v>
      </c>
      <c r="K50" s="67" cm="1">
        <f t="array" ref="K50">-Lininterp(Powering!$A$55:$A$71,Powering!$G$55:$G$71,E50/0.514)</f>
        <v>-691.55645510675367</v>
      </c>
      <c r="L50" s="67" cm="1">
        <f t="array" ref="L50">OarForces(170,5.2,$B$34,$B$35,$B$33,E50,F50,G50, $L$40)</f>
        <v>5120.0074159452179</v>
      </c>
      <c r="M50" s="67"/>
      <c r="N50" s="4" cm="1">
        <f t="array" ref="N50">OarForces(170,5.2,$B$34,$B$35,$B$33,E50,F50,G50, $N$40)</f>
        <v>26624.038562915135</v>
      </c>
      <c r="O50" s="67" cm="1">
        <f t="array" ref="O50">$B$11*IF($B$24="Y",RudderForces($B$15,$B$16,$B$13,$B$14,$B$12,$B$23,E50,F50,G50,$O$40),0)</f>
        <v>-7136.2654109086698</v>
      </c>
      <c r="P50" s="67" cm="1">
        <f t="array" ref="P50">$B$11*IF($B$24="Y",RudderForces($B$15,$B$16,$B$13,$B$14,$B$12,$B$23,E50,F50,G50,$P$40),0)</f>
        <v>-2561.9656633396526</v>
      </c>
      <c r="Q50" s="67" cm="1">
        <f t="array" ref="Q50">$B$11*IF($B$24="Y",RudderForces($B$15,$B$16,$B$13,$B$14,$B$12,$B$23,E50,F50,G50,$Q$40),0)</f>
        <v>38429.484950094789</v>
      </c>
      <c r="R50" cm="1">
        <f t="array" ref="R50">ManAcceleration($B$3,$B$4,$B$5,$B$6,$B$7,$B$8,K50,E50,F50,G50,L50,M50,N50,O50,P50,Q50,$R$40)</f>
        <v>-6.9344599776274787E-2</v>
      </c>
      <c r="S50" cm="1">
        <f t="array" ref="S50">ManAcceleration($B$3,$B$4,$B$5,$B$6,$B$7,$B$8,K50,E50,F50,G50,L50,M50,N50,O50,P50,Q50,$S$40)</f>
        <v>-1.1154063411822323E-2</v>
      </c>
      <c r="T50" cm="1">
        <f t="array" ref="T50">ManAcceleration($B$3,$B$4,$B$5,$B$6,$B$7,$B$8,K50,E50,F50,G50,L50,M50,N50,O50,P50,Q50,$T$40)</f>
        <v>3.3298265674873445E-4</v>
      </c>
    </row>
    <row r="51" spans="1:20" ht="13.5" thickBot="1" x14ac:dyDescent="0.25">
      <c r="A51">
        <f t="shared" si="2"/>
        <v>10</v>
      </c>
      <c r="B51" s="270">
        <f t="shared" si="3"/>
        <v>26.173744967672999</v>
      </c>
      <c r="C51" s="271">
        <f t="shared" si="4"/>
        <v>0.6350809275629884</v>
      </c>
      <c r="D51" s="271">
        <f t="shared" si="5"/>
        <v>0.34938630959842354</v>
      </c>
      <c r="E51" s="271">
        <f t="shared" si="6"/>
        <v>2.0553541783466422</v>
      </c>
      <c r="F51" s="271">
        <f t="shared" si="7"/>
        <v>-0.34167929802677155</v>
      </c>
      <c r="G51" s="272">
        <f t="shared" si="8"/>
        <v>4.2027048418558852E-2</v>
      </c>
      <c r="H51" s="21">
        <f t="shared" si="9"/>
        <v>2.0624042890947236</v>
      </c>
      <c r="I51" s="21">
        <f t="shared" si="10"/>
        <v>0.29616564532497092</v>
      </c>
      <c r="J51" s="21">
        <f t="shared" si="11"/>
        <v>4.2027048418558852E-2</v>
      </c>
      <c r="K51" s="67" cm="1">
        <f t="array" ref="K51">-Lininterp(Powering!$A$55:$A$71,Powering!$G$55:$G$71,E51/0.514)</f>
        <v>-642.84643149172211</v>
      </c>
      <c r="L51" s="67" cm="1">
        <f t="array" ref="L51">OarForces(170,5.2,$B$34,$B$35,$B$33,E51,F51,G51, $L$40)</f>
        <v>5170.1021874915659</v>
      </c>
      <c r="M51" s="67"/>
      <c r="N51" s="4" cm="1">
        <f t="array" ref="N51">OarForces(170,5.2,$B$34,$B$35,$B$33,E51,F51,G51, $N$40)</f>
        <v>26884.531374956143</v>
      </c>
      <c r="O51" s="67" cm="1">
        <f t="array" ref="O51">$B$11*IF($B$24="Y",RudderForces($B$15,$B$16,$B$13,$B$14,$B$12,$B$23,E51,F51,G51,$O$40),0)</f>
        <v>-6709.1431813953313</v>
      </c>
      <c r="P51" s="67" cm="1">
        <f t="array" ref="P51">$B$11*IF($B$24="Y",RudderForces($B$15,$B$16,$B$13,$B$14,$B$12,$B$23,E51,F51,G51,$P$40),0)</f>
        <v>-2403.5823870664717</v>
      </c>
      <c r="Q51" s="67" cm="1">
        <f t="array" ref="Q51">$B$11*IF($B$24="Y",RudderForces($B$15,$B$16,$B$13,$B$14,$B$12,$B$23,E51,F51,G51,$Q$40),0)</f>
        <v>36053.735805997072</v>
      </c>
      <c r="R51" cm="1">
        <f t="array" ref="R51">ManAcceleration($B$3,$B$4,$B$5,$B$6,$B$7,$B$8,K51,E51,F51,G51,L51,M51,N51,O51,P51,Q51,$R$40)</f>
        <v>-5.8949386312794165E-2</v>
      </c>
      <c r="S51" cm="1">
        <f t="array" ref="S51">ManAcceleration($B$3,$B$4,$B$5,$B$6,$B$7,$B$8,K51,E51,F51,G51,L51,M51,N51,O51,P51,Q51,$S$40)</f>
        <v>-9.5061340001336078E-3</v>
      </c>
      <c r="T51" cm="1">
        <f t="array" ref="T51">ManAcceleration($B$3,$B$4,$B$5,$B$6,$B$7,$B$8,K51,E51,F51,G51,L51,M51,N51,O51,P51,Q51,$T$40)</f>
        <v>2.2656364388820861E-4</v>
      </c>
    </row>
    <row r="52" spans="1:20" x14ac:dyDescent="0.2">
      <c r="A52">
        <f t="shared" si="2"/>
        <v>11</v>
      </c>
      <c r="B52" s="21">
        <f t="shared" si="3"/>
        <v>28.169751148769969</v>
      </c>
      <c r="C52" s="21">
        <f t="shared" si="4"/>
        <v>0.9885248783477254</v>
      </c>
      <c r="D52" s="21">
        <f t="shared" si="5"/>
        <v>0.39163992166087058</v>
      </c>
      <c r="E52" s="21">
        <f t="shared" si="6"/>
        <v>1.9964047920338481</v>
      </c>
      <c r="F52" s="21">
        <f t="shared" si="7"/>
        <v>-0.35118543202690516</v>
      </c>
      <c r="G52" s="21">
        <f t="shared" si="8"/>
        <v>4.2253612062447057E-2</v>
      </c>
      <c r="H52" s="21">
        <f t="shared" si="9"/>
        <v>1.9960061810969707</v>
      </c>
      <c r="I52" s="21">
        <f t="shared" si="10"/>
        <v>0.353443950784737</v>
      </c>
      <c r="J52" s="21">
        <f t="shared" si="11"/>
        <v>4.2253612062447057E-2</v>
      </c>
      <c r="K52" s="67" cm="1">
        <f t="array" ref="K52">-Lininterp(Powering!$A$55:$A$71,Powering!$G$55:$G$71,E52/0.514)</f>
        <v>-610.57336279829747</v>
      </c>
      <c r="L52" s="67" cm="1">
        <f t="array" ref="L52">OarForces(170,5.2,$B$34,$B$35,$B$33,E52,F52,G52, $L$40)</f>
        <v>5212.9051098413011</v>
      </c>
      <c r="M52" s="67"/>
      <c r="N52" s="4" cm="1">
        <f t="array" ref="N52">OarForces(170,5.2,$B$34,$B$35,$B$33,E52,F52,G52, $N$40)</f>
        <v>27107.106571174765</v>
      </c>
      <c r="O52" s="67" cm="1">
        <f t="array" ref="O52">$B$11*IF($B$24="Y",RudderForces($B$15,$B$16,$B$13,$B$14,$B$12,$B$23,E52,F52,G52,$O$40),0)</f>
        <v>-6355.5777344453909</v>
      </c>
      <c r="P52" s="67" cm="1">
        <f t="array" ref="P52">$B$11*IF($B$24="Y",RudderForces($B$15,$B$16,$B$13,$B$14,$B$12,$B$23,E52,F52,G52,$P$40),0)</f>
        <v>-2272.8810464614926</v>
      </c>
      <c r="Q52" s="67" cm="1">
        <f t="array" ref="Q52">$B$11*IF($B$24="Y",RudderForces($B$15,$B$16,$B$13,$B$14,$B$12,$B$23,E52,F52,G52,$Q$40),0)</f>
        <v>34093.215696922387</v>
      </c>
      <c r="R52" cm="1">
        <f t="array" ref="R52">ManAcceleration($B$3,$B$4,$B$5,$B$6,$B$7,$B$8,K52,E52,F52,G52,L52,M52,N52,O52,P52,Q52,$R$40)</f>
        <v>-5.0483982897787355E-2</v>
      </c>
      <c r="S52" cm="1">
        <f t="array" ref="S52">ManAcceleration($B$3,$B$4,$B$5,$B$6,$B$7,$B$8,K52,E52,F52,G52,L52,M52,N52,O52,P52,Q52,$S$40)</f>
        <v>-8.1638198445233012E-3</v>
      </c>
      <c r="T52" cm="1">
        <f t="array" ref="T52">ManAcceleration($B$3,$B$4,$B$5,$B$6,$B$7,$B$8,K52,E52,F52,G52,L52,M52,N52,O52,P52,Q52,$T$40)</f>
        <v>1.5536313279612899E-4</v>
      </c>
    </row>
    <row r="53" spans="1:20" x14ac:dyDescent="0.2">
      <c r="A53">
        <f t="shared" si="2"/>
        <v>12</v>
      </c>
      <c r="B53" s="21">
        <f t="shared" si="3"/>
        <v>30.105500565901547</v>
      </c>
      <c r="C53" s="21">
        <f t="shared" si="4"/>
        <v>1.3991510761530406</v>
      </c>
      <c r="D53" s="21">
        <f t="shared" si="5"/>
        <v>0.43404889685611375</v>
      </c>
      <c r="E53" s="21">
        <f t="shared" si="6"/>
        <v>1.9459208091360607</v>
      </c>
      <c r="F53" s="21">
        <f t="shared" si="7"/>
        <v>-0.35934925187142847</v>
      </c>
      <c r="G53" s="21">
        <f t="shared" si="8"/>
        <v>4.2408975195243184E-2</v>
      </c>
      <c r="H53" s="21">
        <f t="shared" si="9"/>
        <v>1.9357494171315786</v>
      </c>
      <c r="I53" s="21">
        <f t="shared" si="10"/>
        <v>0.41062619780531517</v>
      </c>
      <c r="J53" s="21">
        <f t="shared" si="11"/>
        <v>4.2408975195243184E-2</v>
      </c>
      <c r="K53" s="67" cm="1">
        <f t="array" ref="K53">-Lininterp(Powering!$A$55:$A$71,Powering!$G$55:$G$71,E53/0.514)</f>
        <v>-582.93485542974213</v>
      </c>
      <c r="L53" s="67" cm="1">
        <f t="array" ref="L53">OarForces(170,5.2,$B$34,$B$35,$B$33,E53,F53,G53, $L$40)</f>
        <v>5249.7102996661342</v>
      </c>
      <c r="M53" s="67"/>
      <c r="N53" s="4" cm="1">
        <f t="array" ref="N53">OarForces(170,5.2,$B$34,$B$35,$B$33,E53,F53,G53, $N$40)</f>
        <v>27298.493558263897</v>
      </c>
      <c r="O53" s="67" cm="1">
        <f t="array" ref="O53">$B$11*IF($B$24="Y",RudderForces($B$15,$B$16,$B$13,$B$14,$B$12,$B$23,E53,F53,G53,$O$40),0)</f>
        <v>-6059.8395305592685</v>
      </c>
      <c r="P53" s="67" cm="1">
        <f t="array" ref="P53">$B$11*IF($B$24="Y",RudderForces($B$15,$B$16,$B$13,$B$14,$B$12,$B$23,E53,F53,G53,$P$40),0)</f>
        <v>-2163.8427543752814</v>
      </c>
      <c r="Q53" s="67" cm="1">
        <f t="array" ref="Q53">$B$11*IF($B$24="Y",RudderForces($B$15,$B$16,$B$13,$B$14,$B$12,$B$23,E53,F53,G53,$Q$40),0)</f>
        <v>32457.641315629222</v>
      </c>
      <c r="R53" cm="1">
        <f t="array" ref="R53">ManAcceleration($B$3,$B$4,$B$5,$B$6,$B$7,$B$8,K53,E53,F53,G53,L53,M53,N53,O53,P53,Q53,$R$40)</f>
        <v>-4.3368928098336187E-2</v>
      </c>
      <c r="S53" cm="1">
        <f t="array" ref="S53">ManAcceleration($B$3,$B$4,$B$5,$B$6,$B$7,$B$8,K53,E53,F53,G53,L53,M53,N53,O53,P53,Q53,$S$40)</f>
        <v>-7.0568938273795241E-3</v>
      </c>
      <c r="T53" cm="1">
        <f t="array" ref="T53">ManAcceleration($B$3,$B$4,$B$5,$B$6,$B$7,$B$8,K53,E53,F53,G53,L53,M53,N53,O53,P53,Q53,$T$40)</f>
        <v>1.0736614684418894E-4</v>
      </c>
    </row>
    <row r="54" spans="1:20" x14ac:dyDescent="0.2">
      <c r="A54">
        <f t="shared" si="2"/>
        <v>13</v>
      </c>
      <c r="B54" s="21">
        <f t="shared" si="3"/>
        <v>31.985720898041169</v>
      </c>
      <c r="C54" s="21">
        <f t="shared" si="4"/>
        <v>1.8668353994468667</v>
      </c>
      <c r="D54" s="21">
        <f t="shared" si="5"/>
        <v>0.47656523819820112</v>
      </c>
      <c r="E54" s="21">
        <f t="shared" si="6"/>
        <v>1.9025518810377244</v>
      </c>
      <c r="F54" s="21">
        <f t="shared" si="7"/>
        <v>-0.36640614569880797</v>
      </c>
      <c r="G54" s="21">
        <f t="shared" si="8"/>
        <v>4.2516341342087371E-2</v>
      </c>
      <c r="H54" s="21">
        <f t="shared" si="9"/>
        <v>1.8802203321396234</v>
      </c>
      <c r="I54" s="21">
        <f t="shared" si="10"/>
        <v>0.46768432329382614</v>
      </c>
      <c r="J54" s="21">
        <f t="shared" si="11"/>
        <v>4.2516341342087371E-2</v>
      </c>
      <c r="K54" s="67" cm="1">
        <f t="array" ref="K54">-Lininterp(Powering!$A$55:$A$71,Powering!$G$55:$G$71,E54/0.514)</f>
        <v>-559.19163292610051</v>
      </c>
      <c r="L54" s="67" cm="1">
        <f t="array" ref="L54">OarForces(170,5.2,$B$34,$B$35,$B$33,E54,F54,G54, $L$40)</f>
        <v>5281.4288387392335</v>
      </c>
      <c r="M54" s="67"/>
      <c r="N54" s="4" cm="1">
        <f t="array" ref="N54">OarForces(170,5.2,$B$34,$B$35,$B$33,E54,F54,G54, $N$40)</f>
        <v>27463.429961444013</v>
      </c>
      <c r="O54" s="67" cm="1">
        <f t="array" ref="O54">$B$11*IF($B$24="Y",RudderForces($B$15,$B$16,$B$13,$B$14,$B$12,$B$23,E54,F54,G54,$O$40),0)</f>
        <v>-5811.0416108672471</v>
      </c>
      <c r="P54" s="67" cm="1">
        <f t="array" ref="P54">$B$11*IF($B$24="Y",RudderForces($B$15,$B$16,$B$13,$B$14,$B$12,$B$23,E54,F54,G54,$P$40),0)</f>
        <v>-2072.312293308928</v>
      </c>
      <c r="Q54" s="67" cm="1">
        <f t="array" ref="Q54">$B$11*IF($B$24="Y",RudderForces($B$15,$B$16,$B$13,$B$14,$B$12,$B$23,E54,F54,G54,$Q$40),0)</f>
        <v>31084.684399633919</v>
      </c>
      <c r="R54" cm="1">
        <f t="array" ref="R54">ManAcceleration($B$3,$B$4,$B$5,$B$6,$B$7,$B$8,K54,E54,F54,G54,L54,M54,N54,O54,P54,Q54,$R$40)</f>
        <v>-3.7358621144559109E-2</v>
      </c>
      <c r="S54" cm="1">
        <f t="array" ref="S54">ManAcceleration($B$3,$B$4,$B$5,$B$6,$B$7,$B$8,K54,E54,F54,G54,L54,M54,N54,O54,P54,Q54,$S$40)</f>
        <v>-6.1360859800786436E-3</v>
      </c>
      <c r="T54" cm="1">
        <f t="array" ref="T54">ManAcceleration($B$3,$B$4,$B$5,$B$6,$B$7,$B$8,K54,E54,F54,G54,L54,M54,N54,O54,P54,Q54,$T$40)</f>
        <v>7.4987142588530818E-5</v>
      </c>
    </row>
    <row r="55" spans="1:20" x14ac:dyDescent="0.2">
      <c r="A55">
        <f t="shared" si="2"/>
        <v>14</v>
      </c>
      <c r="B55" s="21">
        <f t="shared" si="3"/>
        <v>33.813982709294066</v>
      </c>
      <c r="C55" s="21">
        <f t="shared" si="4"/>
        <v>2.3914232001527789</v>
      </c>
      <c r="D55" s="21">
        <f t="shared" si="5"/>
        <v>0.51915656668287702</v>
      </c>
      <c r="E55" s="21">
        <f t="shared" si="6"/>
        <v>1.8651932598931653</v>
      </c>
      <c r="F55" s="21">
        <f t="shared" si="7"/>
        <v>-0.37254223167888662</v>
      </c>
      <c r="G55" s="21">
        <f t="shared" si="8"/>
        <v>4.2591328484675901E-2</v>
      </c>
      <c r="H55" s="21">
        <f t="shared" si="9"/>
        <v>1.8282618112528939</v>
      </c>
      <c r="I55" s="21">
        <f t="shared" si="10"/>
        <v>0.52458780070591227</v>
      </c>
      <c r="J55" s="21">
        <f t="shared" si="11"/>
        <v>4.2591328484675901E-2</v>
      </c>
      <c r="K55" s="67" cm="1">
        <f t="array" ref="K55">-Lininterp(Powering!$A$55:$A$71,Powering!$G$55:$G$71,E55/0.514)</f>
        <v>-538.73887808158895</v>
      </c>
      <c r="L55" s="67" cm="1">
        <f t="array" ref="L55">OarForces(170,5.2,$B$34,$B$35,$B$33,E55,F55,G55, $L$40)</f>
        <v>5308.8190671838538</v>
      </c>
      <c r="M55" s="67"/>
      <c r="N55" s="4" cm="1">
        <f t="array" ref="N55">OarForces(170,5.2,$B$34,$B$35,$B$33,E55,F55,G55, $N$40)</f>
        <v>27605.859149356042</v>
      </c>
      <c r="O55" s="67" cm="1">
        <f t="array" ref="O55">$B$11*IF($B$24="Y",RudderForces($B$15,$B$16,$B$13,$B$14,$B$12,$B$23,E55,F55,G55,$O$40),0)</f>
        <v>-5600.6637851741316</v>
      </c>
      <c r="P55" s="67" cm="1">
        <f t="array" ref="P55">$B$11*IF($B$24="Y",RudderForces($B$15,$B$16,$B$13,$B$14,$B$12,$B$23,E55,F55,G55,$P$40),0)</f>
        <v>-1995.0585292170672</v>
      </c>
      <c r="Q55" s="67" cm="1">
        <f t="array" ref="Q55">$B$11*IF($B$24="Y",RudderForces($B$15,$B$16,$B$13,$B$14,$B$12,$B$23,E55,F55,G55,$Q$40),0)</f>
        <v>29925.87793825601</v>
      </c>
      <c r="R55" cm="1">
        <f t="array" ref="R55">ManAcceleration($B$3,$B$4,$B$5,$B$6,$B$7,$B$8,K55,E55,F55,G55,L55,M55,N55,O55,P55,Q55,$R$40)</f>
        <v>-3.2259121439545436E-2</v>
      </c>
      <c r="S55" cm="1">
        <f t="array" ref="S55">ManAcceleration($B$3,$B$4,$B$5,$B$6,$B$7,$B$8,K55,E55,F55,G55,L55,M55,N55,O55,P55,Q55,$S$40)</f>
        <v>-5.3640296446237938E-3</v>
      </c>
      <c r="T55" cm="1">
        <f t="array" ref="T55">ManAcceleration($B$3,$B$4,$B$5,$B$6,$B$7,$B$8,K55,E55,F55,G55,L55,M55,N55,O55,P55,Q55,$T$40)</f>
        <v>5.3174519768718974E-5</v>
      </c>
    </row>
    <row r="56" spans="1:20" x14ac:dyDescent="0.2">
      <c r="A56">
        <f t="shared" si="2"/>
        <v>15</v>
      </c>
      <c r="B56" s="21">
        <f t="shared" si="3"/>
        <v>35.592903140421562</v>
      </c>
      <c r="C56" s="21">
        <f t="shared" si="4"/>
        <v>2.9727172720074631</v>
      </c>
      <c r="D56" s="21">
        <f t="shared" si="5"/>
        <v>0.56180106968732169</v>
      </c>
      <c r="E56" s="21">
        <f t="shared" si="6"/>
        <v>1.83293413845362</v>
      </c>
      <c r="F56" s="21">
        <f t="shared" si="7"/>
        <v>-0.37790626132351041</v>
      </c>
      <c r="G56" s="21">
        <f t="shared" si="8"/>
        <v>4.2644503004444619E-2</v>
      </c>
      <c r="H56" s="21">
        <f t="shared" si="9"/>
        <v>1.7789204311274938</v>
      </c>
      <c r="I56" s="21">
        <f t="shared" si="10"/>
        <v>0.5812940718546844</v>
      </c>
      <c r="J56" s="21">
        <f t="shared" si="11"/>
        <v>4.2644503004444619E-2</v>
      </c>
      <c r="K56" s="67" cm="1">
        <f t="array" ref="K56">-Lininterp(Powering!$A$55:$A$71,Powering!$G$55:$G$71,E56/0.514)</f>
        <v>-521.07795050748769</v>
      </c>
      <c r="L56" s="67" cm="1">
        <f t="array" ref="L56">OarForces(170,5.2,$B$34,$B$35,$B$33,E56,F56,G56, $L$40)</f>
        <v>5332.5150961559984</v>
      </c>
      <c r="M56" s="67"/>
      <c r="N56" s="4" cm="1">
        <f t="array" ref="N56">OarForces(170,5.2,$B$34,$B$35,$B$33,E56,F56,G56, $N$40)</f>
        <v>27729.078500011194</v>
      </c>
      <c r="O56" s="67" cm="1">
        <f t="array" ref="O56">$B$11*IF($B$24="Y",RudderForces($B$15,$B$16,$B$13,$B$14,$B$12,$B$23,E56,F56,G56,$O$40),0)</f>
        <v>-5421.9670930419616</v>
      </c>
      <c r="P56" s="67" cm="1">
        <f t="array" ref="P56">$B$11*IF($B$24="Y",RudderForces($B$15,$B$16,$B$13,$B$14,$B$12,$B$23,E56,F56,G56,$P$40),0)</f>
        <v>-1929.5397783062392</v>
      </c>
      <c r="Q56" s="67" cm="1">
        <f t="array" ref="Q56">$B$11*IF($B$24="Y",RudderForces($B$15,$B$16,$B$13,$B$14,$B$12,$B$23,E56,F56,G56,$Q$40),0)</f>
        <v>28943.096674593588</v>
      </c>
      <c r="R56" cm="1">
        <f t="array" ref="R56">ManAcceleration($B$3,$B$4,$B$5,$B$6,$B$7,$B$8,K56,E56,F56,G56,L56,M56,N56,O56,P56,Q56,$R$40)</f>
        <v>-2.7915660262854899E-2</v>
      </c>
      <c r="S56" cm="1">
        <f t="array" ref="S56">ManAcceleration($B$3,$B$4,$B$5,$B$6,$B$7,$B$8,K56,E56,F56,G56,L56,M56,N56,O56,P56,Q56,$S$40)</f>
        <v>-4.7120413855681548E-3</v>
      </c>
      <c r="T56" cm="1">
        <f t="array" ref="T56">ManAcceleration($B$3,$B$4,$B$5,$B$6,$B$7,$B$8,K56,E56,F56,G56,L56,M56,N56,O56,P56,Q56,$T$40)</f>
        <v>3.8534684767744516E-5</v>
      </c>
    </row>
    <row r="57" spans="1:20" x14ac:dyDescent="0.2">
      <c r="A57">
        <f t="shared" si="2"/>
        <v>16</v>
      </c>
      <c r="B57" s="21">
        <f t="shared" si="3"/>
        <v>37.324310018646692</v>
      </c>
      <c r="C57" s="21">
        <f t="shared" si="4"/>
        <v>3.6104622792108065</v>
      </c>
      <c r="D57" s="21">
        <f t="shared" si="5"/>
        <v>0.60448410737653402</v>
      </c>
      <c r="E57" s="21">
        <f t="shared" si="6"/>
        <v>1.805018478190765</v>
      </c>
      <c r="F57" s="21">
        <f t="shared" si="7"/>
        <v>-0.38261830270907854</v>
      </c>
      <c r="G57" s="21">
        <f t="shared" si="8"/>
        <v>4.2683037689212361E-2</v>
      </c>
      <c r="H57" s="21">
        <f t="shared" si="9"/>
        <v>1.7314068782251297</v>
      </c>
      <c r="I57" s="21">
        <f t="shared" si="10"/>
        <v>0.63774500720334348</v>
      </c>
      <c r="J57" s="21">
        <f t="shared" si="11"/>
        <v>4.2683037689212361E-2</v>
      </c>
      <c r="K57" s="67" cm="1">
        <f t="array" ref="K57">-Lininterp(Powering!$A$55:$A$71,Powering!$G$55:$G$71,E57/0.514)</f>
        <v>-505.7949411729208</v>
      </c>
      <c r="L57" s="67" cm="1">
        <f t="array" ref="L57">OarForces(170,5.2,$B$34,$B$35,$B$33,E57,F57,G57, $L$40)</f>
        <v>5353.0494426240284</v>
      </c>
      <c r="M57" s="67"/>
      <c r="N57" s="4" cm="1">
        <f t="array" ref="N57">OarForces(170,5.2,$B$34,$B$35,$B$33,E57,F57,G57, $N$40)</f>
        <v>27835.85710164495</v>
      </c>
      <c r="O57" s="67" cm="1">
        <f t="array" ref="O57">$B$11*IF($B$24="Y",RudderForces($B$15,$B$16,$B$13,$B$14,$B$12,$B$23,E57,F57,G57,$O$40),0)</f>
        <v>-5269.5695484098278</v>
      </c>
      <c r="P57" s="67" cm="1">
        <f t="array" ref="P57">$B$11*IF($B$24="Y",RudderForces($B$15,$B$16,$B$13,$B$14,$B$12,$B$23,E57,F57,G57,$P$40),0)</f>
        <v>-1873.7357286614047</v>
      </c>
      <c r="Q57" s="67" cm="1">
        <f t="array" ref="Q57">$B$11*IF($B$24="Y",RudderForces($B$15,$B$16,$B$13,$B$14,$B$12,$B$23,E57,F57,G57,$Q$40),0)</f>
        <v>28106.035929921069</v>
      </c>
      <c r="R57" cm="1">
        <f t="array" ref="R57">ManAcceleration($B$3,$B$4,$B$5,$B$6,$B$7,$B$8,K57,E57,F57,G57,L57,M57,N57,O57,P57,Q57,$R$40)</f>
        <v>-2.4203558603652225E-2</v>
      </c>
      <c r="S57" cm="1">
        <f t="array" ref="S57">ManAcceleration($B$3,$B$4,$B$5,$B$6,$B$7,$B$8,K57,E57,F57,G57,L57,M57,N57,O57,P57,Q57,$S$40)</f>
        <v>-4.1578532757634316E-3</v>
      </c>
      <c r="T57" cm="1">
        <f t="array" ref="T57">ManAcceleration($B$3,$B$4,$B$5,$B$6,$B$7,$B$8,K57,E57,F57,G57,L57,M57,N57,O57,P57,Q57,$T$40)</f>
        <v>2.8770977833190447E-5</v>
      </c>
    </row>
    <row r="58" spans="1:20" x14ac:dyDescent="0.2">
      <c r="A58">
        <f t="shared" si="2"/>
        <v>17</v>
      </c>
      <c r="B58" s="21">
        <f t="shared" si="3"/>
        <v>39.009375819893279</v>
      </c>
      <c r="C58" s="21">
        <f t="shared" si="4"/>
        <v>4.3043288500525465</v>
      </c>
      <c r="D58" s="21">
        <f t="shared" si="5"/>
        <v>0.64719591604357962</v>
      </c>
      <c r="E58" s="21">
        <f t="shared" si="6"/>
        <v>1.7808149195871128</v>
      </c>
      <c r="F58" s="21">
        <f t="shared" si="7"/>
        <v>-0.386776155984842</v>
      </c>
      <c r="G58" s="21">
        <f t="shared" si="8"/>
        <v>4.2711808667045555E-2</v>
      </c>
      <c r="H58" s="21">
        <f t="shared" si="9"/>
        <v>1.6850658012465836</v>
      </c>
      <c r="I58" s="21">
        <f t="shared" si="10"/>
        <v>0.69386657084174019</v>
      </c>
      <c r="J58" s="21">
        <f t="shared" si="11"/>
        <v>4.2711808667045555E-2</v>
      </c>
      <c r="K58" s="67" cm="1">
        <f t="array" ref="K58">-Lininterp(Powering!$A$55:$A$71,Powering!$G$55:$G$71,E58/0.514)</f>
        <v>-492.54419916695247</v>
      </c>
      <c r="L58" s="67" cm="1">
        <f t="array" ref="L58">OarForces(170,5.2,$B$34,$B$35,$B$33,E58,F58,G58, $L$40)</f>
        <v>5370.8710967834431</v>
      </c>
      <c r="M58" s="67"/>
      <c r="N58" s="4" cm="1">
        <f t="array" ref="N58">OarForces(170,5.2,$B$34,$B$35,$B$33,E58,F58,G58, $N$40)</f>
        <v>27928.529703273904</v>
      </c>
      <c r="O58" s="67" cm="1">
        <f t="array" ref="O58">$B$11*IF($B$24="Y",RudderForces($B$15,$B$16,$B$13,$B$14,$B$12,$B$23,E58,F58,G58,$O$40),0)</f>
        <v>-5139.1346012636213</v>
      </c>
      <c r="P58" s="67" cm="1">
        <f t="array" ref="P58">$B$11*IF($B$24="Y",RudderForces($B$15,$B$16,$B$13,$B$14,$B$12,$B$23,E58,F58,G58,$P$40),0)</f>
        <v>-1826.0251965310119</v>
      </c>
      <c r="Q58" s="67" cm="1">
        <f t="array" ref="Q58">$B$11*IF($B$24="Y",RudderForces($B$15,$B$16,$B$13,$B$14,$B$12,$B$23,E58,F58,G58,$Q$40),0)</f>
        <v>27390.377947965178</v>
      </c>
      <c r="R58" cm="1">
        <f t="array" ref="R58">ManAcceleration($B$3,$B$4,$B$5,$B$6,$B$7,$B$8,K58,E58,F58,G58,L58,M58,N58,O58,P58,Q58,$R$40)</f>
        <v>-2.1021521470884496E-2</v>
      </c>
      <c r="S58" cm="1">
        <f t="array" ref="S58">ManAcceleration($B$3,$B$4,$B$5,$B$6,$B$7,$B$8,K58,E58,F58,G58,L58,M58,N58,O58,P58,Q58,$S$40)</f>
        <v>-3.6839945528114424E-3</v>
      </c>
      <c r="T58" cm="1">
        <f t="array" ref="T58">ManAcceleration($B$3,$B$4,$B$5,$B$6,$B$7,$B$8,K58,E58,F58,G58,L58,M58,N58,O58,P58,Q58,$T$40)</f>
        <v>2.2319805401843353E-5</v>
      </c>
    </row>
    <row r="59" spans="1:20" x14ac:dyDescent="0.2">
      <c r="A59">
        <f t="shared" si="2"/>
        <v>18</v>
      </c>
      <c r="B59" s="21">
        <f t="shared" si="3"/>
        <v>40.648728307803857</v>
      </c>
      <c r="C59" s="21">
        <f t="shared" si="4"/>
        <v>5.0538989625788773</v>
      </c>
      <c r="D59" s="21">
        <f t="shared" si="5"/>
        <v>0.68993004451602702</v>
      </c>
      <c r="E59" s="21">
        <f t="shared" si="6"/>
        <v>1.7597933981162284</v>
      </c>
      <c r="F59" s="21">
        <f t="shared" si="7"/>
        <v>-0.39046015053765343</v>
      </c>
      <c r="G59" s="21">
        <f t="shared" si="8"/>
        <v>4.2734128472447397E-2</v>
      </c>
      <c r="H59" s="21">
        <f t="shared" si="9"/>
        <v>1.6393524879105814</v>
      </c>
      <c r="I59" s="21">
        <f t="shared" si="10"/>
        <v>0.74957011252633099</v>
      </c>
      <c r="J59" s="21">
        <f t="shared" si="11"/>
        <v>4.2734128472447397E-2</v>
      </c>
      <c r="K59" s="67" cm="1">
        <f t="array" ref="K59">-Lininterp(Powering!$A$55:$A$71,Powering!$G$55:$G$71,E59/0.514)</f>
        <v>-481.03552963016858</v>
      </c>
      <c r="L59" s="67" cm="1">
        <f t="array" ref="L59">OarForces(170,5.2,$B$34,$B$35,$B$33,E59,F59,G59, $L$40)</f>
        <v>5386.360023075209</v>
      </c>
      <c r="M59" s="67"/>
      <c r="N59" s="4" cm="1">
        <f t="array" ref="N59">OarForces(170,5.2,$B$34,$B$35,$B$33,E59,F59,G59, $N$40)</f>
        <v>28009.072119991088</v>
      </c>
      <c r="O59" s="67" cm="1">
        <f t="array" ref="O59">$B$11*IF($B$24="Y",RudderForces($B$15,$B$16,$B$13,$B$14,$B$12,$B$23,E59,F59,G59,$O$40),0)</f>
        <v>-5027.1395607340464</v>
      </c>
      <c r="P59" s="67" cm="1">
        <f t="array" ref="P59">$B$11*IF($B$24="Y",RudderForces($B$15,$B$16,$B$13,$B$14,$B$12,$B$23,E59,F59,G59,$P$40),0)</f>
        <v>-1785.0959989196397</v>
      </c>
      <c r="Q59" s="67" cm="1">
        <f t="array" ref="Q59">$B$11*IF($B$24="Y",RudderForces($B$15,$B$16,$B$13,$B$14,$B$12,$B$23,E59,F59,G59,$Q$40),0)</f>
        <v>26776.439983794597</v>
      </c>
      <c r="R59" cm="1">
        <f t="array" ref="R59">ManAcceleration($B$3,$B$4,$B$5,$B$6,$B$7,$B$8,K59,E59,F59,G59,L59,M59,N59,O59,P59,Q59,$R$40)</f>
        <v>-1.828662003350618E-2</v>
      </c>
      <c r="S59" cm="1">
        <f t="array" ref="S59">ManAcceleration($B$3,$B$4,$B$5,$B$6,$B$7,$B$8,K59,E59,F59,G59,L59,M59,N59,O59,P59,Q59,$S$40)</f>
        <v>-3.2766222744162305E-3</v>
      </c>
      <c r="T59" cm="1">
        <f t="array" ref="T59">ManAcceleration($B$3,$B$4,$B$5,$B$6,$B$7,$B$8,K59,E59,F59,G59,L59,M59,N59,O59,P59,Q59,$T$40)</f>
        <v>1.8111873237925637E-5</v>
      </c>
    </row>
    <row r="60" spans="1:20" x14ac:dyDescent="0.2">
      <c r="A60">
        <f t="shared" si="2"/>
        <v>19</v>
      </c>
      <c r="B60" s="21">
        <f t="shared" si="3"/>
        <v>42.242542867277379</v>
      </c>
      <c r="C60" s="21">
        <f t="shared" si="4"/>
        <v>5.8586533688313427</v>
      </c>
      <c r="D60" s="21">
        <f t="shared" si="5"/>
        <v>0.73268228486171239</v>
      </c>
      <c r="E60" s="21">
        <f t="shared" si="6"/>
        <v>1.7415067780827223</v>
      </c>
      <c r="F60" s="21">
        <f t="shared" si="7"/>
        <v>-0.39373677281206965</v>
      </c>
      <c r="G60" s="21">
        <f t="shared" si="8"/>
        <v>4.2752240345685324E-2</v>
      </c>
      <c r="H60" s="21">
        <f t="shared" si="9"/>
        <v>1.5938145594735196</v>
      </c>
      <c r="I60" s="21">
        <f t="shared" si="10"/>
        <v>0.80475440625246542</v>
      </c>
      <c r="J60" s="21">
        <f t="shared" si="11"/>
        <v>4.2752240345685324E-2</v>
      </c>
      <c r="K60" s="67" cm="1">
        <f t="array" ref="K60">-Lininterp(Powering!$A$55:$A$71,Powering!$G$55:$G$71,E60/0.514)</f>
        <v>-471.02413881805074</v>
      </c>
      <c r="L60" s="67" cm="1">
        <f t="array" ref="L60">OarForces(170,5.2,$B$34,$B$35,$B$33,E60,F60,G60, $L$40)</f>
        <v>5399.8388633510422</v>
      </c>
      <c r="M60" s="67"/>
      <c r="N60" s="4" cm="1">
        <f t="array" ref="N60">OarForces(170,5.2,$B$34,$B$35,$B$33,E60,F60,G60, $N$40)</f>
        <v>28079.162089425419</v>
      </c>
      <c r="O60" s="67" cm="1">
        <f t="array" ref="O60">$B$11*IF($B$24="Y",RudderForces($B$15,$B$16,$B$13,$B$14,$B$12,$B$23,E60,F60,G60,$O$40),0)</f>
        <v>-4930.7015005678277</v>
      </c>
      <c r="P60" s="67" cm="1">
        <f t="array" ref="P60">$B$11*IF($B$24="Y",RudderForces($B$15,$B$16,$B$13,$B$14,$B$12,$B$23,E60,F60,G60,$P$40),0)</f>
        <v>-1749.8776742750078</v>
      </c>
      <c r="Q60" s="67" cm="1">
        <f t="array" ref="Q60">$B$11*IF($B$24="Y",RudderForces($B$15,$B$16,$B$13,$B$14,$B$12,$B$23,E60,F60,G60,$Q$40),0)</f>
        <v>26248.165114125117</v>
      </c>
      <c r="R60" cm="1">
        <f t="array" ref="R60">ManAcceleration($B$3,$B$4,$B$5,$B$6,$B$7,$B$8,K60,E60,F60,G60,L60,M60,N60,O60,P60,Q60,$R$40)</f>
        <v>-1.5930491004051379E-2</v>
      </c>
      <c r="S60" cm="1">
        <f t="array" ref="S60">ManAcceleration($B$3,$B$4,$B$5,$B$6,$B$7,$B$8,K60,E60,F60,G60,L60,M60,N60,O60,P60,Q60,$S$40)</f>
        <v>-2.9246664766805017E-3</v>
      </c>
      <c r="T60" cm="1">
        <f t="array" ref="T60">ManAcceleration($B$3,$B$4,$B$5,$B$6,$B$7,$B$8,K60,E60,F60,G60,L60,M60,N60,O60,P60,Q60,$T$40)</f>
        <v>1.5413787275425115E-5</v>
      </c>
    </row>
    <row r="61" spans="1:20" x14ac:dyDescent="0.2">
      <c r="A61">
        <f t="shared" si="2"/>
        <v>20</v>
      </c>
      <c r="B61" s="21">
        <f t="shared" si="3"/>
        <v>43.790620277937798</v>
      </c>
      <c r="C61" s="21">
        <f t="shared" si="4"/>
        <v>6.7179613174445025</v>
      </c>
      <c r="D61" s="21">
        <f t="shared" si="5"/>
        <v>0.77544993899467318</v>
      </c>
      <c r="E61" s="21">
        <f t="shared" si="6"/>
        <v>1.7255762870786708</v>
      </c>
      <c r="F61" s="21">
        <f t="shared" si="7"/>
        <v>-0.39666143928875014</v>
      </c>
      <c r="G61" s="21">
        <f t="shared" si="8"/>
        <v>4.2767654132960749E-2</v>
      </c>
      <c r="H61" s="21">
        <f t="shared" si="9"/>
        <v>1.5480774106604218</v>
      </c>
      <c r="I61" s="21">
        <f t="shared" si="10"/>
        <v>0.85930794861315996</v>
      </c>
      <c r="J61" s="21">
        <f t="shared" si="11"/>
        <v>4.2767654132960749E-2</v>
      </c>
      <c r="K61" s="67" cm="1">
        <f t="array" ref="K61">-Lininterp(Powering!$A$55:$A$71,Powering!$G$55:$G$71,E61/0.514)</f>
        <v>-462.30265989092993</v>
      </c>
      <c r="L61" s="67" cm="1">
        <f t="array" ref="L61">OarForces(170,5.2,$B$34,$B$35,$B$33,E61,F61,G61, $L$40)</f>
        <v>5411.5824344129978</v>
      </c>
      <c r="M61" s="67"/>
      <c r="N61" s="4" cm="1">
        <f t="array" ref="N61">OarForces(170,5.2,$B$34,$B$35,$B$33,E61,F61,G61, $N$40)</f>
        <v>28140.228658947588</v>
      </c>
      <c r="O61" s="67" cm="1">
        <f t="array" ref="O61">$B$11*IF($B$24="Y",RudderForces($B$15,$B$16,$B$13,$B$14,$B$12,$B$23,E61,F61,G61,$O$40),0)</f>
        <v>-4847.4449884866481</v>
      </c>
      <c r="P61" s="67" cm="1">
        <f t="array" ref="P61">$B$11*IF($B$24="Y",RudderForces($B$15,$B$16,$B$13,$B$14,$B$12,$B$23,E61,F61,G61,$P$40),0)</f>
        <v>-1719.4906800662907</v>
      </c>
      <c r="Q61" s="67" cm="1">
        <f t="array" ref="Q61">$B$11*IF($B$24="Y",RudderForces($B$15,$B$16,$B$13,$B$14,$B$12,$B$23,E61,F61,G61,$Q$40),0)</f>
        <v>25792.360200994361</v>
      </c>
      <c r="R61" cm="1">
        <f t="array" ref="R61">ManAcceleration($B$3,$B$4,$B$5,$B$6,$B$7,$B$8,K61,E61,F61,G61,L61,M61,N61,O61,P61,Q61,$R$40)</f>
        <v>-1.3896425850167576E-2</v>
      </c>
      <c r="S61" cm="1">
        <f t="array" ref="S61">ManAcceleration($B$3,$B$4,$B$5,$B$6,$B$7,$B$8,K61,E61,F61,G61,L61,M61,N61,O61,P61,Q61,$S$40)</f>
        <v>-2.6191983107356318E-3</v>
      </c>
      <c r="T61" cm="1">
        <f t="array" ref="T61">ManAcceleration($B$3,$B$4,$B$5,$B$6,$B$7,$B$8,K61,E61,F61,G61,L61,M61,N61,O61,P61,Q61,$T$40)</f>
        <v>1.3721915497281916E-5</v>
      </c>
    </row>
    <row r="62" spans="1:20" x14ac:dyDescent="0.2">
      <c r="A62">
        <f t="shared" si="2"/>
        <v>21</v>
      </c>
      <c r="B62" s="21">
        <f t="shared" si="3"/>
        <v>45.292452762745832</v>
      </c>
      <c r="C62" s="21">
        <f t="shared" si="4"/>
        <v>7.6310725716038235</v>
      </c>
      <c r="D62" s="21">
        <f t="shared" si="5"/>
        <v>0.81823131504313118</v>
      </c>
      <c r="E62" s="21">
        <f t="shared" si="6"/>
        <v>1.7116798612285034</v>
      </c>
      <c r="F62" s="21">
        <f t="shared" si="7"/>
        <v>-0.39928063759948579</v>
      </c>
      <c r="G62" s="21">
        <f t="shared" si="8"/>
        <v>4.2781376048458032E-2</v>
      </c>
      <c r="H62" s="21">
        <f t="shared" si="9"/>
        <v>1.5018324848080336</v>
      </c>
      <c r="I62" s="21">
        <f t="shared" si="10"/>
        <v>0.91311125415932082</v>
      </c>
      <c r="J62" s="21">
        <f t="shared" si="11"/>
        <v>4.2781376048458032E-2</v>
      </c>
      <c r="K62" s="67" cm="1">
        <f t="array" ref="K62">-Lininterp(Powering!$A$55:$A$71,Powering!$G$55:$G$71,E62/0.514)</f>
        <v>-454.69477227568257</v>
      </c>
      <c r="L62" s="67" cm="1">
        <f t="array" ref="L62">OarForces(170,5.2,$B$34,$B$35,$B$33,E62,F62,G62, $L$40)</f>
        <v>5421.8254778579585</v>
      </c>
      <c r="M62" s="67"/>
      <c r="N62" s="4" cm="1">
        <f t="array" ref="N62">OarForces(170,5.2,$B$34,$B$35,$B$33,E62,F62,G62, $N$40)</f>
        <v>28193.492484861385</v>
      </c>
      <c r="O62" s="67" cm="1">
        <f t="array" ref="O62">$B$11*IF($B$24="Y",RudderForces($B$15,$B$16,$B$13,$B$14,$B$12,$B$23,E62,F62,G62,$O$40),0)</f>
        <v>-4775.4005871349491</v>
      </c>
      <c r="P62" s="67" cm="1">
        <f t="array" ref="P62">$B$11*IF($B$24="Y",RudderForces($B$15,$B$16,$B$13,$B$14,$B$12,$B$23,E62,F62,G62,$P$40),0)</f>
        <v>-1693.207620466392</v>
      </c>
      <c r="Q62" s="67" cm="1">
        <f t="array" ref="Q62">$B$11*IF($B$24="Y",RudderForces($B$15,$B$16,$B$13,$B$14,$B$12,$B$23,E62,F62,G62,$Q$40),0)</f>
        <v>25398.114306995878</v>
      </c>
      <c r="R62" cm="1">
        <f t="array" ref="R62">ManAcceleration($B$3,$B$4,$B$5,$B$6,$B$7,$B$8,K62,E62,F62,G62,L62,M62,N62,O62,P62,Q62,$R$40)</f>
        <v>-1.2137118480297093E-2</v>
      </c>
      <c r="S62" cm="1">
        <f t="array" ref="S62">ManAcceleration($B$3,$B$4,$B$5,$B$6,$B$7,$B$8,K62,E62,F62,G62,L62,M62,N62,O62,P62,Q62,$S$40)</f>
        <v>-2.352958077193764E-3</v>
      </c>
      <c r="T62" cm="1">
        <f t="array" ref="T62">ManAcceleration($B$3,$B$4,$B$5,$B$6,$B$7,$B$8,K62,E62,F62,G62,L62,M62,N62,O62,P62,Q62,$T$40)</f>
        <v>1.2690626107716122E-5</v>
      </c>
    </row>
    <row r="63" spans="1:20" x14ac:dyDescent="0.2">
      <c r="A63">
        <f t="shared" si="2"/>
        <v>22</v>
      </c>
      <c r="B63" s="21">
        <f t="shared" si="3"/>
        <v>46.747280486405593</v>
      </c>
      <c r="C63" s="21">
        <f t="shared" si="4"/>
        <v>8.5971115843125432</v>
      </c>
      <c r="D63" s="21">
        <f t="shared" si="5"/>
        <v>0.86102538171769694</v>
      </c>
      <c r="E63" s="21">
        <f t="shared" si="6"/>
        <v>1.6995427427482062</v>
      </c>
      <c r="F63" s="21">
        <f t="shared" si="7"/>
        <v>-0.40163359567667956</v>
      </c>
      <c r="G63" s="21">
        <f t="shared" si="8"/>
        <v>4.2794066674565749E-2</v>
      </c>
      <c r="H63" s="21">
        <f t="shared" si="9"/>
        <v>1.4548277236597593</v>
      </c>
      <c r="I63" s="21">
        <f t="shared" si="10"/>
        <v>0.96603901270871906</v>
      </c>
      <c r="J63" s="21">
        <f t="shared" si="11"/>
        <v>4.2794066674565749E-2</v>
      </c>
      <c r="K63" s="67" cm="1">
        <f t="array" ref="K63">-Lininterp(Powering!$A$55:$A$71,Powering!$G$55:$G$71,E63/0.514)</f>
        <v>-448.05005410378448</v>
      </c>
      <c r="L63" s="67" cm="1">
        <f t="array" ref="L63">OarForces(170,5.2,$B$34,$B$35,$B$33,E63,F63,G63, $L$40)</f>
        <v>5430.7690176513215</v>
      </c>
      <c r="M63" s="67"/>
      <c r="N63" s="4" cm="1">
        <f t="array" ref="N63">OarForces(170,5.2,$B$34,$B$35,$B$33,E63,F63,G63, $N$40)</f>
        <v>28239.998891786872</v>
      </c>
      <c r="O63" s="67" cm="1">
        <f t="array" ref="O63">$B$11*IF($B$24="Y",RudderForces($B$15,$B$16,$B$13,$B$14,$B$12,$B$23,E63,F63,G63,$O$40),0)</f>
        <v>-4712.9262318583287</v>
      </c>
      <c r="P63" s="67" cm="1">
        <f t="array" ref="P63">$B$11*IF($B$24="Y",RudderForces($B$15,$B$16,$B$13,$B$14,$B$12,$B$23,E63,F63,G63,$P$40),0)</f>
        <v>-1670.4233581058054</v>
      </c>
      <c r="Q63" s="67" cm="1">
        <f t="array" ref="Q63">$B$11*IF($B$24="Y",RudderForces($B$15,$B$16,$B$13,$B$14,$B$12,$B$23,E63,F63,G63,$Q$40),0)</f>
        <v>25056.350371587079</v>
      </c>
      <c r="R63" cm="1">
        <f t="array" ref="R63">ManAcceleration($B$3,$B$4,$B$5,$B$6,$B$7,$B$8,K63,E63,F63,G63,L63,M63,N63,O63,P63,Q63,$R$40)</f>
        <v>-1.0612905686747718E-2</v>
      </c>
      <c r="S63" cm="1">
        <f t="array" ref="S63">ManAcceleration($B$3,$B$4,$B$5,$B$6,$B$7,$B$8,K63,E63,F63,G63,L63,M63,N63,O63,P63,Q63,$S$40)</f>
        <v>-2.1199991618331892E-3</v>
      </c>
      <c r="T63" cm="1">
        <f t="array" ref="T63">ManAcceleration($B$3,$B$4,$B$5,$B$6,$B$7,$B$8,K63,E63,F63,G63,L63,M63,N63,O63,P63,Q63,$T$40)</f>
        <v>1.2083380700371302E-5</v>
      </c>
    </row>
    <row r="64" spans="1:20" x14ac:dyDescent="0.2">
      <c r="A64">
        <f t="shared" si="2"/>
        <v>23</v>
      </c>
      <c r="B64" s="21">
        <f t="shared" ref="B64:B122" si="12">B63+H64</f>
        <v>48.154140192398195</v>
      </c>
      <c r="C64" s="21">
        <f t="shared" ref="C64:C122" si="13">C63+I64</f>
        <v>9.6150736305185323</v>
      </c>
      <c r="D64" s="21">
        <f t="shared" ref="D64:D122" si="14">D63+J64</f>
        <v>0.90383153177296305</v>
      </c>
      <c r="E64" s="21">
        <f t="shared" ref="E64:E122" si="15">E63+R63/$B$37</f>
        <v>1.6889298370614585</v>
      </c>
      <c r="F64" s="21">
        <f t="shared" ref="F64:F122" si="16">F63+S63/$B$37</f>
        <v>-0.40375359483851275</v>
      </c>
      <c r="G64" s="21">
        <f t="shared" ref="G64:G122" si="17">G63+T63/$B$37</f>
        <v>4.2806150055266119E-2</v>
      </c>
      <c r="H64" s="21">
        <f t="shared" ref="H64:H122" si="18">E64*COS(D63)-F64*SIN(D63)</f>
        <v>1.4068597059925989</v>
      </c>
      <c r="I64" s="21">
        <f t="shared" ref="I64:I122" si="19">F64*COS(D63)+E64*SIN(D63)</f>
        <v>1.0179620462059893</v>
      </c>
      <c r="J64" s="21">
        <f t="shared" ref="J64:J122" si="20">G64</f>
        <v>4.2806150055266119E-2</v>
      </c>
      <c r="K64" s="67" cm="1">
        <f t="array" ref="K64">-Lininterp(Powering!$A$55:$A$71,Powering!$G$55:$G$71,E64/0.514)</f>
        <v>-442.23979795543664</v>
      </c>
      <c r="L64" s="67" cm="1">
        <f t="array" ref="L64">OarForces(170,5.2,$B$34,$B$35,$B$33,E64,F64,G64, $L$40)</f>
        <v>5438.5856024621389</v>
      </c>
      <c r="M64" s="67"/>
      <c r="N64" s="4" cm="1">
        <f t="array" ref="N64">OarForces(170,5.2,$B$34,$B$35,$B$33,E64,F64,G64, $N$40)</f>
        <v>28280.645132803122</v>
      </c>
      <c r="O64" s="67" cm="1">
        <f t="array" ref="O64">$B$11*IF($B$24="Y",RudderForces($B$15,$B$16,$B$13,$B$14,$B$12,$B$23,E64,F64,G64,$O$40),0)</f>
        <v>-4658.6457837879525</v>
      </c>
      <c r="P64" s="67" cm="1">
        <f t="array" ref="P64">$B$11*IF($B$24="Y",RudderForces($B$15,$B$16,$B$13,$B$14,$B$12,$B$23,E64,F64,G64,$P$40),0)</f>
        <v>-1650.631756584075</v>
      </c>
      <c r="Q64" s="67" cm="1">
        <f t="array" ref="Q64">$B$11*IF($B$24="Y",RudderForces($B$15,$B$16,$B$13,$B$14,$B$12,$B$23,E64,F64,G64,$Q$40),0)</f>
        <v>24759.476348761124</v>
      </c>
      <c r="R64" cm="1">
        <f t="array" ref="R64">ManAcceleration($B$3,$B$4,$B$5,$B$6,$B$7,$B$8,K64,E64,F64,G64,L64,M64,N64,O64,P64,Q64,$R$40)</f>
        <v>-9.2903801850175508E-3</v>
      </c>
      <c r="S64" cm="1">
        <f t="array" ref="S64">ManAcceleration($B$3,$B$4,$B$5,$B$6,$B$7,$B$8,K64,E64,F64,G64,L64,M64,N64,O64,P64,Q64,$S$40)</f>
        <v>-1.9154168416651925E-3</v>
      </c>
      <c r="T64" cm="1">
        <f t="array" ref="T64">ManAcceleration($B$3,$B$4,$B$5,$B$6,$B$7,$B$8,K64,E64,F64,G64,L64,M64,N64,O64,P64,Q64,$T$40)</f>
        <v>1.1739172519438909E-5</v>
      </c>
    </row>
    <row r="65" spans="1:20" x14ac:dyDescent="0.2">
      <c r="A65">
        <f t="shared" si="2"/>
        <v>24</v>
      </c>
      <c r="B65" s="21">
        <f t="shared" si="12"/>
        <v>49.511907305675834</v>
      </c>
      <c r="C65" s="21">
        <f t="shared" si="13"/>
        <v>10.683822674137035</v>
      </c>
      <c r="D65" s="21">
        <f t="shared" si="14"/>
        <v>0.94664942100074856</v>
      </c>
      <c r="E65" s="21">
        <f t="shared" si="15"/>
        <v>1.679639456876441</v>
      </c>
      <c r="F65" s="21">
        <f t="shared" si="16"/>
        <v>-0.40566901168017794</v>
      </c>
      <c r="G65" s="21">
        <f t="shared" si="17"/>
        <v>4.2817889227785559E-2</v>
      </c>
      <c r="H65" s="21">
        <f t="shared" si="18"/>
        <v>1.3577671132776392</v>
      </c>
      <c r="I65" s="21">
        <f t="shared" si="19"/>
        <v>1.0687490436185025</v>
      </c>
      <c r="J65" s="21">
        <f t="shared" si="20"/>
        <v>4.2817889227785559E-2</v>
      </c>
      <c r="K65" s="67" cm="1">
        <f t="array" ref="K65">-Lininterp(Powering!$A$55:$A$71,Powering!$G$55:$G$71,E65/0.514)</f>
        <v>-437.15358592418386</v>
      </c>
      <c r="L65" s="67" cm="1">
        <f t="array" ref="L65">OarForces(170,5.2,$B$34,$B$35,$B$33,E65,F65,G65, $L$40)</f>
        <v>5445.4236496975482</v>
      </c>
      <c r="M65" s="67"/>
      <c r="N65" s="4" cm="1">
        <f t="array" ref="N65">OarForces(170,5.2,$B$34,$B$35,$B$33,E65,F65,G65, $N$40)</f>
        <v>28316.202978427253</v>
      </c>
      <c r="O65" s="67" cm="1">
        <f t="array" ref="O65">$B$11*IF($B$24="Y",RudderForces($B$15,$B$16,$B$13,$B$14,$B$12,$B$23,E65,F65,G65,$O$40),0)</f>
        <v>-4611.4005983628649</v>
      </c>
      <c r="P65" s="67" cm="1">
        <f t="array" ref="P65">$B$11*IF($B$24="Y",RudderForces($B$15,$B$16,$B$13,$B$14,$B$12,$B$23,E65,F65,G65,$P$40),0)</f>
        <v>-1633.4074214964805</v>
      </c>
      <c r="Q65" s="67" cm="1">
        <f t="array" ref="Q65">$B$11*IF($B$24="Y",RudderForces($B$15,$B$16,$B$13,$B$14,$B$12,$B$23,E65,F65,G65,$Q$40),0)</f>
        <v>24501.111322447206</v>
      </c>
      <c r="R65" cm="1">
        <f t="array" ref="R65">ManAcceleration($B$3,$B$4,$B$5,$B$6,$B$7,$B$8,K65,E65,F65,G65,L65,M65,N65,O65,P65,Q65,$R$40)</f>
        <v>-8.1412881433892432E-3</v>
      </c>
      <c r="S65" cm="1">
        <f t="array" ref="S65">ManAcceleration($B$3,$B$4,$B$5,$B$6,$B$7,$B$8,K65,E65,F65,G65,L65,M65,N65,O65,P65,Q65,$S$40)</f>
        <v>-1.7351398436654599E-3</v>
      </c>
      <c r="T65" cm="1">
        <f t="array" ref="T65">ManAcceleration($B$3,$B$4,$B$5,$B$6,$B$7,$B$8,K65,E65,F65,G65,L65,M65,N65,O65,P65,Q65,$T$40)</f>
        <v>1.1549359910150195E-5</v>
      </c>
    </row>
    <row r="66" spans="1:20" x14ac:dyDescent="0.2">
      <c r="A66">
        <f t="shared" si="2"/>
        <v>25</v>
      </c>
      <c r="B66" s="21">
        <f t="shared" si="12"/>
        <v>50.819332555398404</v>
      </c>
      <c r="C66" s="21">
        <f t="shared" si="13"/>
        <v>11.802090748949462</v>
      </c>
      <c r="D66" s="21">
        <f t="shared" si="14"/>
        <v>0.98947885958844428</v>
      </c>
      <c r="E66" s="21">
        <f t="shared" si="15"/>
        <v>1.6714981687330517</v>
      </c>
      <c r="F66" s="21">
        <f t="shared" si="16"/>
        <v>-0.40740415152384341</v>
      </c>
      <c r="G66" s="21">
        <f t="shared" si="17"/>
        <v>4.2829438587695709E-2</v>
      </c>
      <c r="H66" s="21">
        <f t="shared" si="18"/>
        <v>1.3074252497225676</v>
      </c>
      <c r="I66" s="21">
        <f t="shared" si="19"/>
        <v>1.1182680748124263</v>
      </c>
      <c r="J66" s="21">
        <f t="shared" si="20"/>
        <v>4.2829438587695709E-2</v>
      </c>
      <c r="K66" s="67" cm="1">
        <f t="array" ref="K66">-Lininterp(Powering!$A$55:$A$71,Powering!$G$55:$G$71,E66/0.514)</f>
        <v>-432.69646825190802</v>
      </c>
      <c r="L66" s="67" cm="1">
        <f t="array" ref="L66">OarForces(170,5.2,$B$34,$B$35,$B$33,E66,F66,G66, $L$40)</f>
        <v>5451.4110619668027</v>
      </c>
      <c r="M66" s="67"/>
      <c r="N66" s="4" cm="1">
        <f t="array" ref="N66">OarForces(170,5.2,$B$34,$B$35,$B$33,E66,F66,G66, $N$40)</f>
        <v>28347.337522227375</v>
      </c>
      <c r="O66" s="67" cm="1">
        <f t="array" ref="O66">$B$11*IF($B$24="Y",RudderForces($B$15,$B$16,$B$13,$B$14,$B$12,$B$23,E66,F66,G66,$O$40),0)</f>
        <v>-4570.2110449525971</v>
      </c>
      <c r="P66" s="67" cm="1">
        <f t="array" ref="P66">$B$11*IF($B$24="Y",RudderForces($B$15,$B$16,$B$13,$B$14,$B$12,$B$23,E66,F66,G66,$P$40),0)</f>
        <v>-1618.3912451701099</v>
      </c>
      <c r="Q66" s="67" cm="1">
        <f t="array" ref="Q66">$B$11*IF($B$24="Y",RudderForces($B$15,$B$16,$B$13,$B$14,$B$12,$B$23,E66,F66,G66,$Q$40),0)</f>
        <v>24275.868677551647</v>
      </c>
      <c r="R66" cm="1">
        <f t="array" ref="R66">ManAcceleration($B$3,$B$4,$B$5,$B$6,$B$7,$B$8,K66,E66,F66,G66,L66,M66,N66,O66,P66,Q66,$R$40)</f>
        <v>-7.1416459309832179E-3</v>
      </c>
      <c r="S66" cm="1">
        <f t="array" ref="S66">ManAcceleration($B$3,$B$4,$B$5,$B$6,$B$7,$B$8,K66,E66,F66,G66,L66,M66,N66,O66,P66,Q66,$S$40)</f>
        <v>-1.5757687337036249E-3</v>
      </c>
      <c r="T66" cm="1">
        <f t="array" ref="T66">ManAcceleration($B$3,$B$4,$B$5,$B$6,$B$7,$B$8,K66,E66,F66,G66,L66,M66,N66,O66,P66,Q66,$T$40)</f>
        <v>1.1441598334397684E-5</v>
      </c>
    </row>
    <row r="67" spans="1:20" x14ac:dyDescent="0.2">
      <c r="A67">
        <f t="shared" si="2"/>
        <v>26</v>
      </c>
      <c r="B67" s="21">
        <f t="shared" si="12"/>
        <v>52.075073964276427</v>
      </c>
      <c r="C67" s="21">
        <f t="shared" si="13"/>
        <v>12.968478645061513</v>
      </c>
      <c r="D67" s="21">
        <f t="shared" si="14"/>
        <v>1.0323197397744743</v>
      </c>
      <c r="E67" s="21">
        <f t="shared" si="15"/>
        <v>1.6643565228020685</v>
      </c>
      <c r="F67" s="21">
        <f t="shared" si="16"/>
        <v>-0.40897992025754704</v>
      </c>
      <c r="G67" s="21">
        <f t="shared" si="17"/>
        <v>4.2840880186030106E-2</v>
      </c>
      <c r="H67" s="21">
        <f t="shared" si="18"/>
        <v>1.2557414088780241</v>
      </c>
      <c r="I67" s="21">
        <f t="shared" si="19"/>
        <v>1.1663878961120511</v>
      </c>
      <c r="J67" s="21">
        <f t="shared" si="20"/>
        <v>4.2840880186030106E-2</v>
      </c>
      <c r="K67" s="67" cm="1">
        <f t="array" ref="K67">-Lininterp(Powering!$A$55:$A$71,Powering!$G$55:$G$71,E67/0.514)</f>
        <v>-428.78662551848652</v>
      </c>
      <c r="L67" s="67" cm="1">
        <f t="array" ref="L67">OarForces(170,5.2,$B$34,$B$35,$B$33,E67,F67,G67, $L$40)</f>
        <v>5456.6582510459712</v>
      </c>
      <c r="M67" s="67"/>
      <c r="N67" s="4" cm="1">
        <f t="array" ref="N67">OarForces(170,5.2,$B$34,$B$35,$B$33,E67,F67,G67, $N$40)</f>
        <v>28374.62290543905</v>
      </c>
      <c r="O67" s="67" cm="1">
        <f t="array" ref="O67">$B$11*IF($B$24="Y",RudderForces($B$15,$B$16,$B$13,$B$14,$B$12,$B$23,E67,F67,G67,$O$40),0)</f>
        <v>-4534.2456996545843</v>
      </c>
      <c r="P67" s="67" cm="1">
        <f t="array" ref="P67">$B$11*IF($B$24="Y",RudderForces($B$15,$B$16,$B$13,$B$14,$B$12,$B$23,E67,F67,G67,$P$40),0)</f>
        <v>-1605.2788718917298</v>
      </c>
      <c r="Q67" s="67" cm="1">
        <f t="array" ref="Q67">$B$11*IF($B$24="Y",RudderForces($B$15,$B$16,$B$13,$B$14,$B$12,$B$23,E67,F67,G67,$Q$40),0)</f>
        <v>24079.183078375947</v>
      </c>
      <c r="R67" cm="1">
        <f t="array" ref="R67">ManAcceleration($B$3,$B$4,$B$5,$B$6,$B$7,$B$8,K67,E67,F67,G67,L67,M67,N67,O67,P67,Q67,$R$40)</f>
        <v>-6.271027260503788E-3</v>
      </c>
      <c r="S67" cm="1">
        <f t="array" ref="S67">ManAcceleration($B$3,$B$4,$B$5,$B$6,$B$7,$B$8,K67,E67,F67,G67,L67,M67,N67,O67,P67,Q67,$S$40)</f>
        <v>-1.4344495643666116E-3</v>
      </c>
      <c r="T67" cm="1">
        <f t="array" ref="T67">ManAcceleration($B$3,$B$4,$B$5,$B$6,$B$7,$B$8,K67,E67,F67,G67,L67,M67,N67,O67,P67,Q67,$T$40)</f>
        <v>1.1368654224484798E-5</v>
      </c>
    </row>
    <row r="68" spans="1:20" x14ac:dyDescent="0.2">
      <c r="A68">
        <f t="shared" si="2"/>
        <v>27</v>
      </c>
      <c r="B68" s="21">
        <f t="shared" si="12"/>
        <v>53.277724890935104</v>
      </c>
      <c r="C68" s="21">
        <f t="shared" si="13"/>
        <v>14.181457710869598</v>
      </c>
      <c r="D68" s="21">
        <f t="shared" si="14"/>
        <v>1.0751719886147288</v>
      </c>
      <c r="E68" s="21">
        <f t="shared" si="15"/>
        <v>1.6580854955415647</v>
      </c>
      <c r="F68" s="21">
        <f t="shared" si="16"/>
        <v>-0.41041436982191365</v>
      </c>
      <c r="G68" s="21">
        <f t="shared" si="17"/>
        <v>4.2852248840254591E-2</v>
      </c>
      <c r="H68" s="21">
        <f t="shared" si="18"/>
        <v>1.2026509266586796</v>
      </c>
      <c r="I68" s="21">
        <f t="shared" si="19"/>
        <v>1.2129790658080848</v>
      </c>
      <c r="J68" s="21">
        <f t="shared" si="20"/>
        <v>4.2852248840254591E-2</v>
      </c>
      <c r="K68" s="67" cm="1">
        <f t="array" ref="K68">-Lininterp(Powering!$A$55:$A$71,Powering!$G$55:$G$71,E68/0.514)</f>
        <v>-425.35342109999283</v>
      </c>
      <c r="L68" s="67" cm="1">
        <f t="array" ref="L68">OarForces(170,5.2,$B$34,$B$35,$B$33,E68,F68,G68, $L$40)</f>
        <v>5461.260676781083</v>
      </c>
      <c r="M68" s="67"/>
      <c r="N68" s="4" cm="1">
        <f t="array" ref="N68">OarForces(170,5.2,$B$34,$B$35,$B$33,E68,F68,G68, $N$40)</f>
        <v>28398.555519261634</v>
      </c>
      <c r="O68" s="67" cm="1">
        <f t="array" ref="O68">$B$11*IF($B$24="Y",RudderForces($B$15,$B$16,$B$13,$B$14,$B$12,$B$23,E68,F68,G68,$O$40),0)</f>
        <v>-4502.7965032190259</v>
      </c>
      <c r="P68" s="67" cm="1">
        <f t="array" ref="P68">$B$11*IF($B$24="Y",RudderForces($B$15,$B$16,$B$13,$B$14,$B$12,$B$23,E68,F68,G68,$P$40),0)</f>
        <v>-1593.8114246784378</v>
      </c>
      <c r="Q68" s="67" cm="1">
        <f t="array" ref="Q68">$B$11*IF($B$24="Y",RudderForces($B$15,$B$16,$B$13,$B$14,$B$12,$B$23,E68,F68,G68,$Q$40),0)</f>
        <v>23907.171370176566</v>
      </c>
      <c r="R68" cm="1">
        <f t="array" ref="R68">ManAcceleration($B$3,$B$4,$B$5,$B$6,$B$7,$B$8,K68,E68,F68,G68,L68,M68,N68,O68,P68,Q68,$R$40)</f>
        <v>-5.5119838719955424E-3</v>
      </c>
      <c r="S68" cm="1">
        <f t="array" ref="S68">ManAcceleration($B$3,$B$4,$B$5,$B$6,$B$7,$B$8,K68,E68,F68,G68,L68,M68,N68,O68,P68,Q68,$S$40)</f>
        <v>-1.3087742965356562E-3</v>
      </c>
      <c r="T68" cm="1">
        <f t="array" ref="T68">ManAcceleration($B$3,$B$4,$B$5,$B$6,$B$7,$B$8,K68,E68,F68,G68,L68,M68,N68,O68,P68,Q68,$T$40)</f>
        <v>1.1300596934521048E-5</v>
      </c>
    </row>
    <row r="69" spans="1:20" x14ac:dyDescent="0.2">
      <c r="A69">
        <f t="shared" si="2"/>
        <v>28</v>
      </c>
      <c r="B69" s="21">
        <f t="shared" si="12"/>
        <v>54.42583868697821</v>
      </c>
      <c r="C69" s="21">
        <f t="shared" si="13"/>
        <v>15.439372600760869</v>
      </c>
      <c r="D69" s="21">
        <f t="shared" si="14"/>
        <v>1.118035538051918</v>
      </c>
      <c r="E69" s="21">
        <f t="shared" si="15"/>
        <v>1.6525735116695692</v>
      </c>
      <c r="F69" s="21">
        <f t="shared" si="16"/>
        <v>-0.41172314411844929</v>
      </c>
      <c r="G69" s="21">
        <f t="shared" si="17"/>
        <v>4.2863549437189112E-2</v>
      </c>
      <c r="H69" s="21">
        <f t="shared" si="18"/>
        <v>1.1481137960431023</v>
      </c>
      <c r="I69" s="21">
        <f t="shared" si="19"/>
        <v>1.257914889891272</v>
      </c>
      <c r="J69" s="21">
        <f t="shared" si="20"/>
        <v>4.2863549437189112E-2</v>
      </c>
      <c r="K69" s="67" cm="1">
        <f t="array" ref="K69">-Lininterp(Powering!$A$55:$A$71,Powering!$G$55:$G$71,E69/0.514)</f>
        <v>-422.33577078563576</v>
      </c>
      <c r="L69" s="67" cm="1">
        <f t="array" ref="L69">OarForces(170,5.2,$B$34,$B$35,$B$33,E69,F69,G69, $L$40)</f>
        <v>5465.3009868559284</v>
      </c>
      <c r="M69" s="67"/>
      <c r="N69" s="4" cm="1">
        <f t="array" ref="N69">OarForces(170,5.2,$B$34,$B$35,$B$33,E69,F69,G69, $N$40)</f>
        <v>28419.56513165083</v>
      </c>
      <c r="O69" s="67" cm="1">
        <f t="array" ref="O69">$B$11*IF($B$24="Y",RudderForces($B$15,$B$16,$B$13,$B$14,$B$12,$B$23,E69,F69,G69,$O$40),0)</f>
        <v>-4475.2585927131786</v>
      </c>
      <c r="P69" s="67" cm="1">
        <f t="array" ref="P69">$B$11*IF($B$24="Y",RudderForces($B$15,$B$16,$B$13,$B$14,$B$12,$B$23,E69,F69,G69,$P$40),0)</f>
        <v>-1583.7679976344043</v>
      </c>
      <c r="Q69" s="67" cm="1">
        <f t="array" ref="Q69">$B$11*IF($B$24="Y",RudderForces($B$15,$B$16,$B$13,$B$14,$B$12,$B$23,E69,F69,G69,$Q$40),0)</f>
        <v>23756.519964516065</v>
      </c>
      <c r="R69" cm="1">
        <f t="array" ref="R69">ManAcceleration($B$3,$B$4,$B$5,$B$6,$B$7,$B$8,K69,E69,F69,G69,L69,M69,N69,O69,P69,Q69,$R$40)</f>
        <v>-4.8495716985991312E-3</v>
      </c>
      <c r="S69" cm="1">
        <f t="array" ref="S69">ManAcceleration($B$3,$B$4,$B$5,$B$6,$B$7,$B$8,K69,E69,F69,G69,L69,M69,N69,O69,P69,Q69,$S$40)</f>
        <v>-1.1967017189706789E-3</v>
      </c>
      <c r="T69" cm="1">
        <f t="array" ref="T69">ManAcceleration($B$3,$B$4,$B$5,$B$6,$B$7,$B$8,K69,E69,F69,G69,L69,M69,N69,O69,P69,Q69,$T$40)</f>
        <v>1.1219340549903178E-5</v>
      </c>
    </row>
    <row r="70" spans="1:20" x14ac:dyDescent="0.2">
      <c r="A70">
        <f t="shared" si="2"/>
        <v>29</v>
      </c>
      <c r="B70" s="21">
        <f t="shared" si="12"/>
        <v>55.517950432265238</v>
      </c>
      <c r="C70" s="21">
        <f t="shared" si="13"/>
        <v>16.740444819066212</v>
      </c>
      <c r="D70" s="21">
        <f t="shared" si="14"/>
        <v>1.1609103068296571</v>
      </c>
      <c r="E70" s="21">
        <f t="shared" si="15"/>
        <v>1.64772393997097</v>
      </c>
      <c r="F70" s="21">
        <f t="shared" si="16"/>
        <v>-0.41291984583741997</v>
      </c>
      <c r="G70" s="21">
        <f t="shared" si="17"/>
        <v>4.2874768777739013E-2</v>
      </c>
      <c r="H70" s="21">
        <f t="shared" si="18"/>
        <v>1.092111745287025</v>
      </c>
      <c r="I70" s="21">
        <f t="shared" si="19"/>
        <v>1.3010722183053418</v>
      </c>
      <c r="J70" s="21">
        <f t="shared" si="20"/>
        <v>4.2874768777739013E-2</v>
      </c>
      <c r="K70" s="67" cm="1">
        <f t="array" ref="K70">-Lininterp(Powering!$A$55:$A$71,Powering!$G$55:$G$71,E70/0.514)</f>
        <v>-419.68077180511852</v>
      </c>
      <c r="L70" s="67" cm="1">
        <f t="array" ref="L70">OarForces(170,5.2,$B$34,$B$35,$B$33,E70,F70,G70, $L$40)</f>
        <v>5468.8508265231831</v>
      </c>
      <c r="M70" s="67"/>
      <c r="N70" s="4" cm="1">
        <f t="array" ref="N70">OarForces(170,5.2,$B$34,$B$35,$B$33,E70,F70,G70, $N$40)</f>
        <v>28438.024297920554</v>
      </c>
      <c r="O70" s="67" cm="1">
        <f t="array" ref="O70">$B$11*IF($B$24="Y",RudderForces($B$15,$B$16,$B$13,$B$14,$B$12,$B$23,E70,F70,G70,$O$40),0)</f>
        <v>-4451.113822754689</v>
      </c>
      <c r="P70" s="67" cm="1">
        <f t="array" ref="P70">$B$11*IF($B$24="Y",RudderForces($B$15,$B$16,$B$13,$B$14,$B$12,$B$23,E70,F70,G70,$P$40),0)</f>
        <v>-1574.9595374779785</v>
      </c>
      <c r="Q70" s="67" cm="1">
        <f t="array" ref="Q70">$B$11*IF($B$24="Y",RudderForces($B$15,$B$16,$B$13,$B$14,$B$12,$B$23,E70,F70,G70,$Q$40),0)</f>
        <v>23624.393062169678</v>
      </c>
      <c r="R70" cm="1">
        <f t="array" ref="R70">ManAcceleration($B$3,$B$4,$B$5,$B$6,$B$7,$B$8,K70,E70,F70,G70,L70,M70,N70,O70,P70,Q70,$R$40)</f>
        <v>-4.2709609749623989E-3</v>
      </c>
      <c r="S70" cm="1">
        <f t="array" ref="S70">ManAcceleration($B$3,$B$4,$B$5,$B$6,$B$7,$B$8,K70,E70,F70,G70,L70,M70,N70,O70,P70,Q70,$S$40)</f>
        <v>-1.0964941858927096E-3</v>
      </c>
      <c r="T70" cm="1">
        <f t="array" ref="T70">ManAcceleration($B$3,$B$4,$B$5,$B$6,$B$7,$B$8,K70,E70,F70,G70,L70,M70,N70,O70,P70,Q70,$T$40)</f>
        <v>1.1114827415445684E-5</v>
      </c>
    </row>
    <row r="71" spans="1:20" x14ac:dyDescent="0.2">
      <c r="A71">
        <f t="shared" si="2"/>
        <v>30</v>
      </c>
      <c r="B71" s="21">
        <f t="shared" si="12"/>
        <v>56.552596133878971</v>
      </c>
      <c r="C71" s="21">
        <f t="shared" si="13"/>
        <v>18.082776930024366</v>
      </c>
      <c r="D71" s="21">
        <f t="shared" si="14"/>
        <v>1.2037961904348116</v>
      </c>
      <c r="E71" s="21">
        <f t="shared" si="15"/>
        <v>1.6434529789960075</v>
      </c>
      <c r="F71" s="21">
        <f t="shared" si="16"/>
        <v>-0.41401634002331267</v>
      </c>
      <c r="G71" s="21">
        <f t="shared" si="17"/>
        <v>4.2885883605154461E-2</v>
      </c>
      <c r="H71" s="21">
        <f t="shared" si="18"/>
        <v>1.0346457016137336</v>
      </c>
      <c r="I71" s="21">
        <f t="shared" si="19"/>
        <v>1.3423321109581547</v>
      </c>
      <c r="J71" s="21">
        <f t="shared" si="20"/>
        <v>4.2885883605154461E-2</v>
      </c>
      <c r="K71" s="67" cm="1">
        <f t="array" ref="K71">-Lininterp(Powering!$A$55:$A$71,Powering!$G$55:$G$71,E71/0.514)</f>
        <v>-417.34254531026556</v>
      </c>
      <c r="L71" s="67" cm="1">
        <f t="array" ref="L71">OarForces(170,5.2,$B$34,$B$35,$B$33,E71,F71,G71, $L$40)</f>
        <v>5471.9723741672342</v>
      </c>
      <c r="M71" s="67"/>
      <c r="N71" s="4" cm="1">
        <f t="array" ref="N71">OarForces(170,5.2,$B$34,$B$35,$B$33,E71,F71,G71, $N$40)</f>
        <v>28454.256345669619</v>
      </c>
      <c r="O71" s="67" cm="1">
        <f t="array" ref="O71">$B$11*IF($B$24="Y",RudderForces($B$15,$B$16,$B$13,$B$14,$B$12,$B$23,E71,F71,G71,$O$40),0)</f>
        <v>-4429.9172204952438</v>
      </c>
      <c r="P71" s="67" cm="1">
        <f t="array" ref="P71">$B$11*IF($B$24="Y",RudderForces($B$15,$B$16,$B$13,$B$14,$B$12,$B$23,E71,F71,G71,$P$40),0)</f>
        <v>-1567.2238262525761</v>
      </c>
      <c r="Q71" s="67" cm="1">
        <f t="array" ref="Q71">$B$11*IF($B$24="Y",RudderForces($B$15,$B$16,$B$13,$B$14,$B$12,$B$23,E71,F71,G71,$Q$40),0)</f>
        <v>23508.357393788643</v>
      </c>
      <c r="R71" cm="1">
        <f t="array" ref="R71">ManAcceleration($B$3,$B$4,$B$5,$B$6,$B$7,$B$8,K71,E71,F71,G71,L71,M71,N71,O71,P71,Q71,$R$40)</f>
        <v>-3.7651136231388834E-3</v>
      </c>
      <c r="S71" cm="1">
        <f t="array" ref="S71">ManAcceleration($B$3,$B$4,$B$5,$B$6,$B$7,$B$8,K71,E71,F71,G71,L71,M71,N71,O71,P71,Q71,$S$40)</f>
        <v>-1.0066666548008639E-3</v>
      </c>
      <c r="T71" cm="1">
        <f t="array" ref="T71">ManAcceleration($B$3,$B$4,$B$5,$B$6,$B$7,$B$8,K71,E71,F71,G71,L71,M71,N71,O71,P71,Q71,$T$40)</f>
        <v>1.0982362596940641E-5</v>
      </c>
    </row>
    <row r="72" spans="1:20" x14ac:dyDescent="0.2">
      <c r="A72">
        <f t="shared" si="2"/>
        <v>31</v>
      </c>
      <c r="B72" s="21">
        <f t="shared" si="12"/>
        <v>57.528329711619044</v>
      </c>
      <c r="C72" s="21">
        <f t="shared" si="13"/>
        <v>19.464357321168414</v>
      </c>
      <c r="D72" s="21">
        <f t="shared" si="14"/>
        <v>1.2466930564025629</v>
      </c>
      <c r="E72" s="21">
        <f t="shared" si="15"/>
        <v>1.6396878653728686</v>
      </c>
      <c r="F72" s="21">
        <f t="shared" si="16"/>
        <v>-0.41502300667811354</v>
      </c>
      <c r="G72" s="21">
        <f t="shared" si="17"/>
        <v>4.2896865967751399E-2</v>
      </c>
      <c r="H72" s="21">
        <f t="shared" si="18"/>
        <v>0.97573357774006919</v>
      </c>
      <c r="I72" s="21">
        <f t="shared" si="19"/>
        <v>1.3815803911440478</v>
      </c>
      <c r="J72" s="21">
        <f t="shared" si="20"/>
        <v>4.2896865967751399E-2</v>
      </c>
      <c r="K72" s="67" cm="1">
        <f t="array" ref="K72">-Lininterp(Powering!$A$55:$A$71,Powering!$G$55:$G$71,E72/0.514)</f>
        <v>-415.28125547845377</v>
      </c>
      <c r="L72" s="67" cm="1">
        <f t="array" ref="L72">OarForces(170,5.2,$B$34,$B$35,$B$33,E72,F72,G72, $L$40)</f>
        <v>5474.7196481106093</v>
      </c>
      <c r="M72" s="67"/>
      <c r="N72" s="4" cm="1">
        <f t="array" ref="N72">OarForces(170,5.2,$B$34,$B$35,$B$33,E72,F72,G72, $N$40)</f>
        <v>28468.542170175169</v>
      </c>
      <c r="O72" s="67" cm="1">
        <f t="array" ref="O72">$B$11*IF($B$24="Y",RudderForces($B$15,$B$16,$B$13,$B$14,$B$12,$B$23,E72,F72,G72,$O$40),0)</f>
        <v>-4411.2857895780417</v>
      </c>
      <c r="P72" s="67" cm="1">
        <f t="array" ref="P72">$B$11*IF($B$24="Y",RudderForces($B$15,$B$16,$B$13,$B$14,$B$12,$B$23,E72,F72,G72,$P$40),0)</f>
        <v>-1560.4213431848984</v>
      </c>
      <c r="Q72" s="67" cm="1">
        <f t="array" ref="Q72">$B$11*IF($B$24="Y",RudderForces($B$15,$B$16,$B$13,$B$14,$B$12,$B$23,E72,F72,G72,$Q$40),0)</f>
        <v>23406.320147773476</v>
      </c>
      <c r="R72" cm="1">
        <f t="array" ref="R72">ManAcceleration($B$3,$B$4,$B$5,$B$6,$B$7,$B$8,K72,E72,F72,G72,L72,M72,N72,O72,P72,Q72,$R$40)</f>
        <v>-3.3225149241800965E-3</v>
      </c>
      <c r="S72" cm="1">
        <f t="array" ref="S72">ManAcceleration($B$3,$B$4,$B$5,$B$6,$B$7,$B$8,K72,E72,F72,G72,L72,M72,N72,O72,P72,Q72,$S$40)</f>
        <v>-9.2594536009005929E-4</v>
      </c>
      <c r="T72" cm="1">
        <f t="array" ref="T72">ManAcceleration($B$3,$B$4,$B$5,$B$6,$B$7,$B$8,K72,E72,F72,G72,L72,M72,N72,O72,P72,Q72,$T$40)</f>
        <v>1.0820757247538083E-5</v>
      </c>
    </row>
    <row r="73" spans="1:20" x14ac:dyDescent="0.2">
      <c r="A73">
        <f t="shared" si="2"/>
        <v>32</v>
      </c>
      <c r="B73" s="21">
        <f t="shared" si="12"/>
        <v>58.443738042101238</v>
      </c>
      <c r="C73" s="21">
        <f t="shared" si="13"/>
        <v>20.883065423398943</v>
      </c>
      <c r="D73" s="21">
        <f t="shared" si="14"/>
        <v>1.2896007431275618</v>
      </c>
      <c r="E73" s="21">
        <f t="shared" si="15"/>
        <v>1.6363653504486886</v>
      </c>
      <c r="F73" s="21">
        <f t="shared" si="16"/>
        <v>-0.41594895203820359</v>
      </c>
      <c r="G73" s="21">
        <f t="shared" si="17"/>
        <v>4.2907686724998936E-2</v>
      </c>
      <c r="H73" s="21">
        <f t="shared" si="18"/>
        <v>0.91540833048219072</v>
      </c>
      <c r="I73" s="21">
        <f t="shared" si="19"/>
        <v>1.4187081022305283</v>
      </c>
      <c r="J73" s="21">
        <f t="shared" si="20"/>
        <v>4.2907686724998936E-2</v>
      </c>
      <c r="K73" s="67" cm="1">
        <f t="array" ref="K73">-Lininterp(Powering!$A$55:$A$71,Powering!$G$55:$G$71,E73/0.514)</f>
        <v>-413.46227551801741</v>
      </c>
      <c r="L73" s="67" cm="1">
        <f t="array" ref="L73">OarForces(170,5.2,$B$34,$B$35,$B$33,E73,F73,G73, $L$40)</f>
        <v>5477.1396217680212</v>
      </c>
      <c r="M73" s="67"/>
      <c r="N73" s="4" cm="1">
        <f t="array" ref="N73">OarForces(170,5.2,$B$34,$B$35,$B$33,E73,F73,G73, $N$40)</f>
        <v>28481.126033193712</v>
      </c>
      <c r="O73" s="67" cm="1">
        <f t="array" ref="O73">$B$11*IF($B$24="Y",RudderForces($B$15,$B$16,$B$13,$B$14,$B$12,$B$23,E73,F73,G73,$O$40),0)</f>
        <v>-4394.8892073609131</v>
      </c>
      <c r="P73" s="67" cm="1">
        <f t="array" ref="P73">$B$11*IF($B$24="Y",RudderForces($B$15,$B$16,$B$13,$B$14,$B$12,$B$23,E73,F73,G73,$P$40),0)</f>
        <v>-1554.4318332234752</v>
      </c>
      <c r="Q73" s="67" cm="1">
        <f t="array" ref="Q73">$B$11*IF($B$24="Y",RudderForces($B$15,$B$16,$B$13,$B$14,$B$12,$B$23,E73,F73,G73,$Q$40),0)</f>
        <v>23316.477498352127</v>
      </c>
      <c r="R73" cm="1">
        <f t="array" ref="R73">ManAcceleration($B$3,$B$4,$B$5,$B$6,$B$7,$B$8,K73,E73,F73,G73,L73,M73,N73,O73,P73,Q73,$R$40)</f>
        <v>-2.9349492734006117E-3</v>
      </c>
      <c r="S73" cm="1">
        <f t="array" ref="S73">ManAcceleration($B$3,$B$4,$B$5,$B$6,$B$7,$B$8,K73,E73,F73,G73,L73,M73,N73,O73,P73,Q73,$S$40)</f>
        <v>-8.5323408938054195E-4</v>
      </c>
      <c r="T73" cm="1">
        <f t="array" ref="T73">ManAcceleration($B$3,$B$4,$B$5,$B$6,$B$7,$B$8,K73,E73,F73,G73,L73,M73,N73,O73,P73,Q73,$T$40)</f>
        <v>1.0631041388960859E-5</v>
      </c>
    </row>
    <row r="74" spans="1:20" x14ac:dyDescent="0.2">
      <c r="A74">
        <f t="shared" si="2"/>
        <v>33</v>
      </c>
      <c r="B74" s="21">
        <f t="shared" si="12"/>
        <v>59.297454292049991</v>
      </c>
      <c r="C74" s="21">
        <f t="shared" si="13"/>
        <v>22.336677305029603</v>
      </c>
      <c r="D74" s="21">
        <f t="shared" si="14"/>
        <v>1.3325190608939497</v>
      </c>
      <c r="E74" s="21">
        <f t="shared" si="15"/>
        <v>1.633430401175288</v>
      </c>
      <c r="F74" s="21">
        <f t="shared" si="16"/>
        <v>-0.41680218612758413</v>
      </c>
      <c r="G74" s="21">
        <f t="shared" si="17"/>
        <v>4.2918317766387895E-2</v>
      </c>
      <c r="H74" s="21">
        <f t="shared" si="18"/>
        <v>0.85371624994875528</v>
      </c>
      <c r="I74" s="21">
        <f t="shared" si="19"/>
        <v>1.4536118816306607</v>
      </c>
      <c r="J74" s="21">
        <f t="shared" si="20"/>
        <v>4.2918317766387895E-2</v>
      </c>
      <c r="K74" s="67" cm="1">
        <f t="array" ref="K74">-Lininterp(Powering!$A$55:$A$71,Powering!$G$55:$G$71,E74/0.514)</f>
        <v>-411.8554764411013</v>
      </c>
      <c r="L74" s="67" cm="1">
        <f t="array" ref="L74">OarForces(170,5.2,$B$34,$B$35,$B$33,E74,F74,G74, $L$40)</f>
        <v>5479.2731776159726</v>
      </c>
      <c r="M74" s="67"/>
      <c r="N74" s="4" cm="1">
        <f t="array" ref="N74">OarForces(170,5.2,$B$34,$B$35,$B$33,E74,F74,G74, $N$40)</f>
        <v>28492.220523603057</v>
      </c>
      <c r="O74" s="67" cm="1">
        <f t="array" ref="O74">$B$11*IF($B$24="Y",RudderForces($B$15,$B$16,$B$13,$B$14,$B$12,$B$23,E74,F74,G74,$O$40),0)</f>
        <v>-4380.4420577894934</v>
      </c>
      <c r="P74" s="67" cm="1">
        <f t="array" ref="P74">$B$11*IF($B$24="Y",RudderForces($B$15,$B$16,$B$13,$B$14,$B$12,$B$23,E74,F74,G74,$P$40),0)</f>
        <v>-1549.151447327403</v>
      </c>
      <c r="Q74" s="67" cm="1">
        <f t="array" ref="Q74">$B$11*IF($B$24="Y",RudderForces($B$15,$B$16,$B$13,$B$14,$B$12,$B$23,E74,F74,G74,$Q$40),0)</f>
        <v>23237.271709911045</v>
      </c>
      <c r="R74" cm="1">
        <f t="array" ref="R74">ManAcceleration($B$3,$B$4,$B$5,$B$6,$B$7,$B$8,K74,E74,F74,G74,L74,M74,N74,O74,P74,Q74,$R$40)</f>
        <v>-2.5953119516991343E-3</v>
      </c>
      <c r="S74" cm="1">
        <f t="array" ref="S74">ManAcceleration($B$3,$B$4,$B$5,$B$6,$B$7,$B$8,K74,E74,F74,G74,L74,M74,N74,O74,P74,Q74,$S$40)</f>
        <v>-7.8758650003739425E-4</v>
      </c>
      <c r="T74" cm="1">
        <f t="array" ref="T74">ManAcceleration($B$3,$B$4,$B$5,$B$6,$B$7,$B$8,K74,E74,F74,G74,L74,M74,N74,O74,P74,Q74,$T$40)</f>
        <v>1.0415577752795967E-5</v>
      </c>
    </row>
    <row r="75" spans="1:20" x14ac:dyDescent="0.2">
      <c r="A75">
        <f t="shared" si="2"/>
        <v>34</v>
      </c>
      <c r="B75" s="21">
        <f t="shared" si="12"/>
        <v>60.088169737167874</v>
      </c>
      <c r="C75" s="21">
        <f t="shared" si="13"/>
        <v>23.822871569349758</v>
      </c>
      <c r="D75" s="21">
        <f t="shared" si="14"/>
        <v>1.3754477942380903</v>
      </c>
      <c r="E75" s="21">
        <f t="shared" si="15"/>
        <v>1.630835089223589</v>
      </c>
      <c r="F75" s="21">
        <f t="shared" si="16"/>
        <v>-0.41758977262762154</v>
      </c>
      <c r="G75" s="21">
        <f t="shared" si="17"/>
        <v>4.2928733344140692E-2</v>
      </c>
      <c r="H75" s="21">
        <f t="shared" si="18"/>
        <v>0.79071544511788305</v>
      </c>
      <c r="I75" s="21">
        <f t="shared" si="19"/>
        <v>1.4861942643201556</v>
      </c>
      <c r="J75" s="21">
        <f t="shared" si="20"/>
        <v>4.2928733344140692E-2</v>
      </c>
      <c r="K75" s="67" cm="1">
        <f t="array" ref="K75">-Lininterp(Powering!$A$55:$A$71,Powering!$G$55:$G$71,E75/0.514)</f>
        <v>-410.43461888622164</v>
      </c>
      <c r="L75" s="67" cm="1">
        <f t="array" ref="L75">OarForces(170,5.2,$B$34,$B$35,$B$33,E75,F75,G75, $L$40)</f>
        <v>5481.1559251171911</v>
      </c>
      <c r="M75" s="67"/>
      <c r="N75" s="4" cm="1">
        <f t="array" ref="N75">OarForces(170,5.2,$B$34,$B$35,$B$33,E75,F75,G75, $N$40)</f>
        <v>28502.010810609394</v>
      </c>
      <c r="O75" s="67" cm="1">
        <f t="array" ref="O75">$B$11*IF($B$24="Y",RudderForces($B$15,$B$16,$B$13,$B$14,$B$12,$B$23,E75,F75,G75,$O$40),0)</f>
        <v>-4367.6973173748247</v>
      </c>
      <c r="P75" s="67" cm="1">
        <f t="array" ref="P75">$B$11*IF($B$24="Y",RudderForces($B$15,$B$16,$B$13,$B$14,$B$12,$B$23,E75,F75,G75,$P$40),0)</f>
        <v>-1544.4903482052098</v>
      </c>
      <c r="Q75" s="67" cm="1">
        <f t="array" ref="Q75">$B$11*IF($B$24="Y",RudderForces($B$15,$B$16,$B$13,$B$14,$B$12,$B$23,E75,F75,G75,$Q$40),0)</f>
        <v>23167.355223078146</v>
      </c>
      <c r="R75" cm="1">
        <f t="array" ref="R75">ManAcceleration($B$3,$B$4,$B$5,$B$6,$B$7,$B$8,K75,E75,F75,G75,L75,M75,N75,O75,P75,Q75,$R$40)</f>
        <v>-2.2974504900024851E-3</v>
      </c>
      <c r="S75" cm="1">
        <f t="array" ref="S75">ManAcceleration($B$3,$B$4,$B$5,$B$6,$B$7,$B$8,K75,E75,F75,G75,L75,M75,N75,O75,P75,Q75,$S$40)</f>
        <v>-7.2818326658928621E-4</v>
      </c>
      <c r="T75" cm="1">
        <f t="array" ref="T75">ManAcceleration($B$3,$B$4,$B$5,$B$6,$B$7,$B$8,K75,E75,F75,G75,L75,M75,N75,O75,P75,Q75,$T$40)</f>
        <v>1.017745795686202E-5</v>
      </c>
    </row>
    <row r="76" spans="1:20" x14ac:dyDescent="0.2">
      <c r="A76">
        <f t="shared" si="2"/>
        <v>35</v>
      </c>
      <c r="B76" s="21">
        <f t="shared" si="12"/>
        <v>60.814644234551807</v>
      </c>
      <c r="C76" s="21">
        <f t="shared" si="13"/>
        <v>25.339235495868138</v>
      </c>
      <c r="D76" s="21">
        <f t="shared" si="14"/>
        <v>1.4183867050401879</v>
      </c>
      <c r="E76" s="21">
        <f t="shared" si="15"/>
        <v>1.6285376387335866</v>
      </c>
      <c r="F76" s="21">
        <f t="shared" si="16"/>
        <v>-0.41831795589421084</v>
      </c>
      <c r="G76" s="21">
        <f t="shared" si="17"/>
        <v>4.2938910802097552E-2</v>
      </c>
      <c r="H76" s="21">
        <f t="shared" si="18"/>
        <v>0.72647449738393211</v>
      </c>
      <c r="I76" s="21">
        <f t="shared" si="19"/>
        <v>1.5163639265183804</v>
      </c>
      <c r="J76" s="21">
        <f t="shared" si="20"/>
        <v>4.2938910802097552E-2</v>
      </c>
      <c r="K76" s="67" cm="1">
        <f t="array" ref="K76">-Lininterp(Powering!$A$55:$A$71,Powering!$G$55:$G$71,E76/0.514)</f>
        <v>-409.17683178916587</v>
      </c>
      <c r="L76" s="67" cm="1">
        <f t="array" ref="L76">OarForces(170,5.2,$B$34,$B$35,$B$33,E76,F76,G76, $L$40)</f>
        <v>5482.8189034377747</v>
      </c>
      <c r="M76" s="67"/>
      <c r="N76" s="4" cm="1">
        <f t="array" ref="N76">OarForces(170,5.2,$B$34,$B$35,$B$33,E76,F76,G76, $N$40)</f>
        <v>28510.658297876431</v>
      </c>
      <c r="O76" s="67" cm="1">
        <f t="array" ref="O76">$B$11*IF($B$24="Y",RudderForces($B$15,$B$16,$B$13,$B$14,$B$12,$B$23,E76,F76,G76,$O$40),0)</f>
        <v>-4356.4408695680777</v>
      </c>
      <c r="P76" s="67" cm="1">
        <f t="array" ref="P76">$B$11*IF($B$24="Y",RudderForces($B$15,$B$16,$B$13,$B$14,$B$12,$B$23,E76,F76,G76,$P$40),0)</f>
        <v>-1540.3706971932743</v>
      </c>
      <c r="Q76" s="67" cm="1">
        <f t="array" ref="Q76">$B$11*IF($B$24="Y",RudderForces($B$15,$B$16,$B$13,$B$14,$B$12,$B$23,E76,F76,G76,$Q$40),0)</f>
        <v>23105.560457899115</v>
      </c>
      <c r="R76" cm="1">
        <f t="array" ref="R76">ManAcceleration($B$3,$B$4,$B$5,$B$6,$B$7,$B$8,K76,E76,F76,G76,L76,M76,N76,O76,P76,Q76,$R$40)</f>
        <v>-2.0360304799791145E-3</v>
      </c>
      <c r="S76" cm="1">
        <f t="array" ref="S76">ManAcceleration($B$3,$B$4,$B$5,$B$6,$B$7,$B$8,K76,E76,F76,G76,L76,M76,N76,O76,P76,Q76,$S$40)</f>
        <v>-6.7431311673994492E-4</v>
      </c>
      <c r="T76" cm="1">
        <f t="array" ref="T76">ManAcceleration($B$3,$B$4,$B$5,$B$6,$B$7,$B$8,K76,E76,F76,G76,L76,M76,N76,O76,P76,Q76,$T$40)</f>
        <v>9.9200970905689642E-6</v>
      </c>
    </row>
    <row r="77" spans="1:20" x14ac:dyDescent="0.2">
      <c r="A77">
        <f t="shared" si="2"/>
        <v>36</v>
      </c>
      <c r="B77" s="21">
        <f t="shared" si="12"/>
        <v>61.475715492854704</v>
      </c>
      <c r="C77" s="21">
        <f t="shared" si="13"/>
        <v>26.883271374527808</v>
      </c>
      <c r="D77" s="21">
        <f t="shared" si="14"/>
        <v>1.461335535939376</v>
      </c>
      <c r="E77" s="21">
        <f t="shared" si="15"/>
        <v>1.6265016082536075</v>
      </c>
      <c r="F77" s="21">
        <f t="shared" si="16"/>
        <v>-0.41899226901095077</v>
      </c>
      <c r="G77" s="21">
        <f t="shared" si="17"/>
        <v>4.294883089918812E-2</v>
      </c>
      <c r="H77" s="21">
        <f t="shared" si="18"/>
        <v>0.66107125830289715</v>
      </c>
      <c r="I77" s="21">
        <f t="shared" si="19"/>
        <v>1.5440358786596706</v>
      </c>
      <c r="J77" s="21">
        <f t="shared" si="20"/>
        <v>4.294883089918812E-2</v>
      </c>
      <c r="K77" s="67" cm="1">
        <f t="array" ref="K77">-Lininterp(Powering!$A$55:$A$71,Powering!$G$55:$G$71,E77/0.514)</f>
        <v>-408.06216451860922</v>
      </c>
      <c r="L77" s="67" cm="1">
        <f t="array" ref="L77">OarForces(170,5.2,$B$34,$B$35,$B$33,E77,F77,G77, $L$40)</f>
        <v>5484.2891863049854</v>
      </c>
      <c r="M77" s="67"/>
      <c r="N77" s="4" cm="1">
        <f t="array" ref="N77">OarForces(170,5.2,$B$34,$B$35,$B$33,E77,F77,G77, $N$40)</f>
        <v>28518.303768785925</v>
      </c>
      <c r="O77" s="67" cm="1">
        <f t="array" ref="O77">$B$11*IF($B$24="Y",RudderForces($B$15,$B$16,$B$13,$B$14,$B$12,$B$23,E77,F77,G77,$O$40),0)</f>
        <v>-4346.4868676816623</v>
      </c>
      <c r="P77" s="67" cm="1">
        <f t="array" ref="P77">$B$11*IF($B$24="Y",RudderForces($B$15,$B$16,$B$13,$B$14,$B$12,$B$23,E77,F77,G77,$P$40),0)</f>
        <v>-1536.724954966885</v>
      </c>
      <c r="Q77" s="67" cm="1">
        <f t="array" ref="Q77">$B$11*IF($B$24="Y",RudderForces($B$15,$B$16,$B$13,$B$14,$B$12,$B$23,E77,F77,G77,$Q$40),0)</f>
        <v>23050.874324503275</v>
      </c>
      <c r="R77" cm="1">
        <f t="array" ref="R77">ManAcceleration($B$3,$B$4,$B$5,$B$6,$B$7,$B$8,K77,E77,F77,G77,L77,M77,N77,O77,P77,Q77,$R$40)</f>
        <v>-1.8064216809162968E-3</v>
      </c>
      <c r="S77" cm="1">
        <f t="array" ref="S77">ManAcceleration($B$3,$B$4,$B$5,$B$6,$B$7,$B$8,K77,E77,F77,G77,L77,M77,N77,O77,P77,Q77,$S$40)</f>
        <v>-6.253570168146689E-4</v>
      </c>
      <c r="T77" cm="1">
        <f t="array" ref="T77">ManAcceleration($B$3,$B$4,$B$5,$B$6,$B$7,$B$8,K77,E77,F77,G77,L77,M77,N77,O77,P77,Q77,$T$40)</f>
        <v>9.6469672870684112E-6</v>
      </c>
    </row>
    <row r="78" spans="1:20" x14ac:dyDescent="0.2">
      <c r="A78">
        <f t="shared" si="2"/>
        <v>37</v>
      </c>
      <c r="B78" s="21">
        <f t="shared" si="12"/>
        <v>62.070307264378201</v>
      </c>
      <c r="C78" s="21">
        <f t="shared" si="13"/>
        <v>28.452402989970629</v>
      </c>
      <c r="D78" s="21">
        <f t="shared" si="14"/>
        <v>1.5042940138058511</v>
      </c>
      <c r="E78" s="21">
        <f t="shared" si="15"/>
        <v>1.6246951865726911</v>
      </c>
      <c r="F78" s="21">
        <f t="shared" si="16"/>
        <v>-0.41961762602776542</v>
      </c>
      <c r="G78" s="21">
        <f t="shared" si="17"/>
        <v>4.2958477866475185E-2</v>
      </c>
      <c r="H78" s="21">
        <f t="shared" si="18"/>
        <v>0.59459177152349463</v>
      </c>
      <c r="I78" s="21">
        <f t="shared" si="19"/>
        <v>1.5691316154428225</v>
      </c>
      <c r="J78" s="21">
        <f t="shared" si="20"/>
        <v>4.2958477866475185E-2</v>
      </c>
      <c r="K78" s="67" cm="1">
        <f t="array" ref="K78">-Lininterp(Powering!$A$55:$A$71,Powering!$G$55:$G$71,E78/0.514)</f>
        <v>-407.07320136489346</v>
      </c>
      <c r="L78" s="67" cm="1">
        <f t="array" ref="L78">OarForces(170,5.2,$B$34,$B$35,$B$33,E78,F78,G78, $L$40)</f>
        <v>5485.590403507691</v>
      </c>
      <c r="M78" s="67"/>
      <c r="N78" s="4" cm="1">
        <f t="array" ref="N78">OarForces(170,5.2,$B$34,$B$35,$B$33,E78,F78,G78, $N$40)</f>
        <v>28525.070098239994</v>
      </c>
      <c r="O78" s="67" cm="1">
        <f t="array" ref="O78">$B$11*IF($B$24="Y",RudderForces($B$15,$B$16,$B$13,$B$14,$B$12,$B$23,E78,F78,G78,$O$40),0)</f>
        <v>-4337.6738015183828</v>
      </c>
      <c r="P78" s="67" cm="1">
        <f t="array" ref="P78">$B$11*IF($B$24="Y",RudderForces($B$15,$B$16,$B$13,$B$14,$B$12,$B$23,E78,F78,G78,$P$40),0)</f>
        <v>-1533.4944420121485</v>
      </c>
      <c r="Q78" s="67" cm="1">
        <f t="array" ref="Q78">$B$11*IF($B$24="Y",RudderForces($B$15,$B$16,$B$13,$B$14,$B$12,$B$23,E78,F78,G78,$Q$40),0)</f>
        <v>23002.416630182226</v>
      </c>
      <c r="R78" cm="1">
        <f t="array" ref="R78">ManAcceleration($B$3,$B$4,$B$5,$B$6,$B$7,$B$8,K78,E78,F78,G78,L78,M78,N78,O78,P78,Q78,$R$40)</f>
        <v>-1.6046010562906388E-3</v>
      </c>
      <c r="S78" cm="1">
        <f t="array" ref="S78">ManAcceleration($B$3,$B$4,$B$5,$B$6,$B$7,$B$8,K78,E78,F78,G78,L78,M78,N78,O78,P78,Q78,$S$40)</f>
        <v>-5.8077492306739091E-4</v>
      </c>
      <c r="T78" cm="1">
        <f t="array" ref="T78">ManAcceleration($B$3,$B$4,$B$5,$B$6,$B$7,$B$8,K78,E78,F78,G78,L78,M78,N78,O78,P78,Q78,$T$40)</f>
        <v>9.3614281764410725E-6</v>
      </c>
    </row>
    <row r="79" spans="1:20" x14ac:dyDescent="0.2">
      <c r="A79">
        <f t="shared" si="2"/>
        <v>38</v>
      </c>
      <c r="B79" s="21">
        <f t="shared" si="12"/>
        <v>62.597436566339518</v>
      </c>
      <c r="C79" s="21">
        <f t="shared" si="13"/>
        <v>30.043982219530811</v>
      </c>
      <c r="D79" s="21">
        <f t="shared" si="14"/>
        <v>1.5472618531005027</v>
      </c>
      <c r="E79" s="21">
        <f t="shared" si="15"/>
        <v>1.6230905855164004</v>
      </c>
      <c r="F79" s="21">
        <f t="shared" si="16"/>
        <v>-0.42019840095083283</v>
      </c>
      <c r="G79" s="21">
        <f t="shared" si="17"/>
        <v>4.2967839294651623E-2</v>
      </c>
      <c r="H79" s="21">
        <f t="shared" si="18"/>
        <v>0.52712930196131669</v>
      </c>
      <c r="I79" s="21">
        <f t="shared" si="19"/>
        <v>1.5915792295601823</v>
      </c>
      <c r="J79" s="21">
        <f t="shared" si="20"/>
        <v>4.2967839294651623E-2</v>
      </c>
      <c r="K79" s="67" cm="1">
        <f t="array" ref="K79">-Lininterp(Powering!$A$55:$A$71,Powering!$G$55:$G$71,E79/0.514)</f>
        <v>-406.19472911345349</v>
      </c>
      <c r="L79" s="67" cm="1">
        <f t="array" ref="L79">OarForces(170,5.2,$B$34,$B$35,$B$33,E79,F79,G79, $L$40)</f>
        <v>5486.7431912094844</v>
      </c>
      <c r="M79" s="67"/>
      <c r="N79" s="4" cm="1">
        <f t="array" ref="N79">OarForces(170,5.2,$B$34,$B$35,$B$33,E79,F79,G79, $N$40)</f>
        <v>28531.064594289321</v>
      </c>
      <c r="O79" s="67" cm="1">
        <f t="array" ref="O79">$B$11*IF($B$24="Y",RudderForces($B$15,$B$16,$B$13,$B$14,$B$12,$B$23,E79,F79,G79,$O$40),0)</f>
        <v>-4329.86115037127</v>
      </c>
      <c r="P79" s="67" cm="1">
        <f t="array" ref="P79">$B$11*IF($B$24="Y",RudderForces($B$15,$B$16,$B$13,$B$14,$B$12,$B$23,E79,F79,G79,$P$40),0)</f>
        <v>-1530.6281151553267</v>
      </c>
      <c r="Q79" s="67" cm="1">
        <f t="array" ref="Q79">$B$11*IF($B$24="Y",RudderForces($B$15,$B$16,$B$13,$B$14,$B$12,$B$23,E79,F79,G79,$Q$40),0)</f>
        <v>22959.4217273299</v>
      </c>
      <c r="R79" cm="1">
        <f t="array" ref="R79">ManAcceleration($B$3,$B$4,$B$5,$B$6,$B$7,$B$8,K79,E79,F79,G79,L79,M79,N79,O79,P79,Q79,$R$40)</f>
        <v>-1.4270699935603544E-3</v>
      </c>
      <c r="S79" cm="1">
        <f t="array" ref="S79">ManAcceleration($B$3,$B$4,$B$5,$B$6,$B$7,$B$8,K79,E79,F79,G79,L79,M79,N79,O79,P79,Q79,$S$40)</f>
        <v>-5.4009463519156815E-4</v>
      </c>
      <c r="T79" cm="1">
        <f t="array" ref="T79">ManAcceleration($B$3,$B$4,$B$5,$B$6,$B$7,$B$8,K79,E79,F79,G79,L79,M79,N79,O79,P79,Q79,$T$40)</f>
        <v>9.0666243873756136E-6</v>
      </c>
    </row>
    <row r="80" spans="1:20" x14ac:dyDescent="0.2">
      <c r="A80">
        <f t="shared" si="2"/>
        <v>39</v>
      </c>
      <c r="B80" s="21">
        <f t="shared" si="12"/>
        <v>63.05622002414372</v>
      </c>
      <c r="C80" s="21">
        <f t="shared" si="13"/>
        <v>31.655295714196299</v>
      </c>
      <c r="D80" s="21">
        <f t="shared" si="14"/>
        <v>1.5902387590195417</v>
      </c>
      <c r="E80" s="21">
        <f t="shared" si="15"/>
        <v>1.62166351552284</v>
      </c>
      <c r="F80" s="21">
        <f t="shared" si="16"/>
        <v>-0.42073849558602439</v>
      </c>
      <c r="G80" s="21">
        <f t="shared" si="17"/>
        <v>4.2976905919039E-2</v>
      </c>
      <c r="H80" s="21">
        <f t="shared" si="18"/>
        <v>0.45878345780420232</v>
      </c>
      <c r="I80" s="21">
        <f t="shared" si="19"/>
        <v>1.6113134946654879</v>
      </c>
      <c r="J80" s="21">
        <f t="shared" si="20"/>
        <v>4.2976905919039E-2</v>
      </c>
      <c r="K80" s="67" cm="1">
        <f t="array" ref="K80">-Lininterp(Powering!$A$55:$A$71,Powering!$G$55:$G$71,E80/0.514)</f>
        <v>-405.41344993799061</v>
      </c>
      <c r="L80" s="67" cm="1">
        <f t="array" ref="L80">OarForces(170,5.2,$B$34,$B$35,$B$33,E80,F80,G80, $L$40)</f>
        <v>5487.7655813245547</v>
      </c>
      <c r="M80" s="67"/>
      <c r="N80" s="4" cm="1">
        <f t="array" ref="N80">OarForces(170,5.2,$B$34,$B$35,$B$33,E80,F80,G80, $N$40)</f>
        <v>28536.381022887686</v>
      </c>
      <c r="O80" s="67" cm="1">
        <f t="array" ref="O80">$B$11*IF($B$24="Y",RudderForces($B$15,$B$16,$B$13,$B$14,$B$12,$B$23,E80,F80,G80,$O$40),0)</f>
        <v>-4322.9265267915735</v>
      </c>
      <c r="P80" s="67" cm="1">
        <f t="array" ref="P80">$B$11*IF($B$24="Y",RudderForces($B$15,$B$16,$B$13,$B$14,$B$12,$B$23,E80,F80,G80,$P$40),0)</f>
        <v>-1528.0815246198158</v>
      </c>
      <c r="Q80" s="67" cm="1">
        <f t="array" ref="Q80">$B$11*IF($B$24="Y",RudderForces($B$15,$B$16,$B$13,$B$14,$B$12,$B$23,E80,F80,G80,$Q$40),0)</f>
        <v>22921.222869297239</v>
      </c>
      <c r="R80" cm="1">
        <f t="array" ref="R80">ManAcceleration($B$3,$B$4,$B$5,$B$6,$B$7,$B$8,K80,E80,F80,G80,L80,M80,N80,O80,P80,Q80,$R$40)</f>
        <v>-1.2707834542765803E-3</v>
      </c>
      <c r="S80" cm="1">
        <f t="array" ref="S80">ManAcceleration($B$3,$B$4,$B$5,$B$6,$B$7,$B$8,K80,E80,F80,G80,L80,M80,N80,O80,P80,Q80,$S$40)</f>
        <v>-5.0290238138370137E-4</v>
      </c>
      <c r="T80" cm="1">
        <f t="array" ref="T80">ManAcceleration($B$3,$B$4,$B$5,$B$6,$B$7,$B$8,K80,E80,F80,G80,L80,M80,N80,O80,P80,Q80,$T$40)</f>
        <v>8.7654289828019279E-6</v>
      </c>
    </row>
    <row r="81" spans="1:20" x14ac:dyDescent="0.2">
      <c r="A81">
        <f t="shared" si="2"/>
        <v>40</v>
      </c>
      <c r="B81" s="21">
        <f t="shared" si="12"/>
        <v>63.445879417184429</v>
      </c>
      <c r="C81" s="21">
        <f t="shared" si="13"/>
        <v>33.283571636427325</v>
      </c>
      <c r="D81" s="21">
        <f t="shared" si="14"/>
        <v>1.6332244303675636</v>
      </c>
      <c r="E81" s="21">
        <f t="shared" si="15"/>
        <v>1.6203927320685634</v>
      </c>
      <c r="F81" s="21">
        <f t="shared" si="16"/>
        <v>-0.42124139796740806</v>
      </c>
      <c r="G81" s="21">
        <f t="shared" si="17"/>
        <v>4.2985671348021802E-2</v>
      </c>
      <c r="H81" s="21">
        <f t="shared" si="18"/>
        <v>0.38965939304070651</v>
      </c>
      <c r="I81" s="21">
        <f t="shared" si="19"/>
        <v>1.628275922231029</v>
      </c>
      <c r="J81" s="21">
        <f t="shared" si="20"/>
        <v>4.2985671348021802E-2</v>
      </c>
      <c r="K81" s="67" cm="1">
        <f t="array" ref="K81">-Lininterp(Powering!$A$55:$A$71,Powering!$G$55:$G$71,E81/0.514)</f>
        <v>-404.71773308189444</v>
      </c>
      <c r="L81" s="67" cm="1">
        <f t="array" ref="L81">OarForces(170,5.2,$B$34,$B$35,$B$33,E81,F81,G81, $L$40)</f>
        <v>5488.6733386185588</v>
      </c>
      <c r="M81" s="67"/>
      <c r="N81" s="4" cm="1">
        <f t="array" ref="N81">OarForces(170,5.2,$B$34,$B$35,$B$33,E81,F81,G81, $N$40)</f>
        <v>28541.101360816505</v>
      </c>
      <c r="O81" s="67" cm="1">
        <f t="array" ref="O81">$B$11*IF($B$24="Y",RudderForces($B$15,$B$16,$B$13,$B$14,$B$12,$B$23,E81,F81,G81,$O$40),0)</f>
        <v>-4316.7632328035315</v>
      </c>
      <c r="P81" s="67" cm="1">
        <f t="array" ref="P81">$B$11*IF($B$24="Y",RudderForces($B$15,$B$16,$B$13,$B$14,$B$12,$B$23,E81,F81,G81,$P$40),0)</f>
        <v>-1525.8159225641652</v>
      </c>
      <c r="Q81" s="67" cm="1">
        <f t="array" ref="Q81">$B$11*IF($B$24="Y",RudderForces($B$15,$B$16,$B$13,$B$14,$B$12,$B$23,E81,F81,G81,$Q$40),0)</f>
        <v>22887.238838462479</v>
      </c>
      <c r="R81" cm="1">
        <f t="array" ref="R81">ManAcceleration($B$3,$B$4,$B$5,$B$6,$B$7,$B$8,K81,E81,F81,G81,L81,M81,N81,O81,P81,Q81,$R$40)</f>
        <v>-1.1330891968824887E-3</v>
      </c>
      <c r="S81" cm="1">
        <f t="array" ref="S81">ManAcceleration($B$3,$B$4,$B$5,$B$6,$B$7,$B$8,K81,E81,F81,G81,L81,M81,N81,O81,P81,Q81,$S$40)</f>
        <v>-4.6883483688253571E-4</v>
      </c>
      <c r="T81" cm="1">
        <f t="array" ref="T81">ManAcceleration($B$3,$B$4,$B$5,$B$6,$B$7,$B$8,K81,E81,F81,G81,L81,M81,N81,O81,P81,Q81,$T$40)</f>
        <v>8.4604179174147167E-6</v>
      </c>
    </row>
    <row r="82" spans="1:20" x14ac:dyDescent="0.2">
      <c r="A82">
        <f t="shared" si="2"/>
        <v>41</v>
      </c>
      <c r="B82" s="21">
        <f t="shared" si="12"/>
        <v>63.765746497150701</v>
      </c>
      <c r="C82" s="21">
        <f t="shared" si="13"/>
        <v>34.925986432585297</v>
      </c>
      <c r="D82" s="21">
        <f t="shared" si="14"/>
        <v>1.6762185621335028</v>
      </c>
      <c r="E82" s="21">
        <f t="shared" si="15"/>
        <v>1.6192596428716808</v>
      </c>
      <c r="F82" s="21">
        <f t="shared" si="16"/>
        <v>-0.4217102328042906</v>
      </c>
      <c r="G82" s="21">
        <f t="shared" si="17"/>
        <v>4.299413176593922E-2</v>
      </c>
      <c r="H82" s="21">
        <f t="shared" si="18"/>
        <v>0.319867079966273</v>
      </c>
      <c r="I82" s="21">
        <f t="shared" si="19"/>
        <v>1.6424147961579689</v>
      </c>
      <c r="J82" s="21">
        <f t="shared" si="20"/>
        <v>4.299413176593922E-2</v>
      </c>
      <c r="K82" s="67" cm="1">
        <f t="array" ref="K82">-Lininterp(Powering!$A$55:$A$71,Powering!$G$55:$G$71,E82/0.514)</f>
        <v>-404.09739981340658</v>
      </c>
      <c r="L82" s="67" cm="1">
        <f t="array" ref="L82">OarForces(170,5.2,$B$34,$B$35,$B$33,E82,F82,G82, $L$40)</f>
        <v>5489.4802528778609</v>
      </c>
      <c r="M82" s="67"/>
      <c r="N82" s="4" cm="1">
        <f t="array" ref="N82">OarForces(170,5.2,$B$34,$B$35,$B$33,E82,F82,G82, $N$40)</f>
        <v>28545.297314964879</v>
      </c>
      <c r="O82" s="67" cm="1">
        <f t="array" ref="O82">$B$11*IF($B$24="Y",RudderForces($B$15,$B$16,$B$13,$B$14,$B$12,$B$23,E82,F82,G82,$O$40),0)</f>
        <v>-4311.2781640664052</v>
      </c>
      <c r="P82" s="67" cm="1">
        <f t="array" ref="P82">$B$11*IF($B$24="Y",RudderForces($B$15,$B$16,$B$13,$B$14,$B$12,$B$23,E82,F82,G82,$P$40),0)</f>
        <v>-1523.7974992278203</v>
      </c>
      <c r="Q82" s="67" cm="1">
        <f t="array" ref="Q82">$B$11*IF($B$24="Y",RudderForces($B$15,$B$16,$B$13,$B$14,$B$12,$B$23,E82,F82,G82,$Q$40),0)</f>
        <v>22856.962488417303</v>
      </c>
      <c r="R82" cm="1">
        <f t="array" ref="R82">ManAcceleration($B$3,$B$4,$B$5,$B$6,$B$7,$B$8,K82,E82,F82,G82,L82,M82,N82,O82,P82,Q82,$R$40)</f>
        <v>-1.0116755329734925E-3</v>
      </c>
      <c r="S82" cm="1">
        <f t="array" ref="S82">ManAcceleration($B$3,$B$4,$B$5,$B$6,$B$7,$B$8,K82,E82,F82,G82,L82,M82,N82,O82,P82,Q82,$S$40)</f>
        <v>-4.3757233488269677E-4</v>
      </c>
      <c r="T82" cm="1">
        <f t="array" ref="T82">ManAcceleration($B$3,$B$4,$B$5,$B$6,$B$7,$B$8,K82,E82,F82,G82,L82,M82,N82,O82,P82,Q82,$T$40)</f>
        <v>8.1538650217682903E-6</v>
      </c>
    </row>
    <row r="83" spans="1:20" x14ac:dyDescent="0.2">
      <c r="A83">
        <f t="shared" si="2"/>
        <v>42</v>
      </c>
      <c r="B83" s="21">
        <f t="shared" si="12"/>
        <v>64.015267139760255</v>
      </c>
      <c r="C83" s="21">
        <f t="shared" si="13"/>
        <v>36.57967162091208</v>
      </c>
      <c r="D83" s="21">
        <f t="shared" si="14"/>
        <v>1.7192208477644639</v>
      </c>
      <c r="E83" s="21">
        <f t="shared" si="15"/>
        <v>1.6182479673387073</v>
      </c>
      <c r="F83" s="21">
        <f t="shared" si="16"/>
        <v>-0.42214780513917327</v>
      </c>
      <c r="G83" s="21">
        <f t="shared" si="17"/>
        <v>4.3002285630960986E-2</v>
      </c>
      <c r="H83" s="21">
        <f t="shared" si="18"/>
        <v>0.24952064260955645</v>
      </c>
      <c r="I83" s="21">
        <f t="shared" si="19"/>
        <v>1.6536851883267847</v>
      </c>
      <c r="J83" s="21">
        <f t="shared" si="20"/>
        <v>4.3002285630960986E-2</v>
      </c>
      <c r="K83" s="67" cm="1">
        <f t="array" ref="K83">-Lininterp(Powering!$A$55:$A$71,Powering!$G$55:$G$71,E83/0.514)</f>
        <v>-403.54353698270864</v>
      </c>
      <c r="L83" s="67" cm="1">
        <f t="array" ref="L83">OarForces(170,5.2,$B$34,$B$35,$B$33,E83,F83,G83, $L$40)</f>
        <v>5490.19839239053</v>
      </c>
      <c r="M83" s="67"/>
      <c r="N83" s="4" cm="1">
        <f t="array" ref="N83">OarForces(170,5.2,$B$34,$B$35,$B$33,E83,F83,G83, $N$40)</f>
        <v>28549.031640430756</v>
      </c>
      <c r="O83" s="67" cm="1">
        <f t="array" ref="O83">$B$11*IF($B$24="Y",RudderForces($B$15,$B$16,$B$13,$B$14,$B$12,$B$23,E83,F83,G83,$O$40),0)</f>
        <v>-4306.390008602868</v>
      </c>
      <c r="P83" s="67" cm="1">
        <f t="array" ref="P83">$B$11*IF($B$24="Y",RudderForces($B$15,$B$16,$B$13,$B$14,$B$12,$B$23,E83,F83,G83,$P$40),0)</f>
        <v>-1521.9967269636004</v>
      </c>
      <c r="Q83" s="67" cm="1">
        <f t="array" ref="Q83">$B$11*IF($B$24="Y",RudderForces($B$15,$B$16,$B$13,$B$14,$B$12,$B$23,E83,F83,G83,$Q$40),0)</f>
        <v>22829.950904454006</v>
      </c>
      <c r="R83" cm="1">
        <f t="array" ref="R83">ManAcceleration($B$3,$B$4,$B$5,$B$6,$B$7,$B$8,K83,E83,F83,G83,L83,M83,N83,O83,P83,Q83,$R$40)</f>
        <v>-9.0452633571911994E-4</v>
      </c>
      <c r="S83" cm="1">
        <f t="array" ref="S83">ManAcceleration($B$3,$B$4,$B$5,$B$6,$B$7,$B$8,K83,E83,F83,G83,L83,M83,N83,O83,P83,Q83,$S$40)</f>
        <v>-4.0883307371486602E-4</v>
      </c>
      <c r="T83" cm="1">
        <f t="array" ref="T83">ManAcceleration($B$3,$B$4,$B$5,$B$6,$B$7,$B$8,K83,E83,F83,G83,L83,M83,N83,O83,P83,Q83,$T$40)</f>
        <v>7.8477501634260366E-6</v>
      </c>
    </row>
    <row r="84" spans="1:20" x14ac:dyDescent="0.2">
      <c r="A84">
        <f t="shared" si="2"/>
        <v>43</v>
      </c>
      <c r="B84" s="21">
        <f t="shared" si="12"/>
        <v>64.194004883045764</v>
      </c>
      <c r="C84" s="21">
        <f t="shared" si="13"/>
        <v>38.241720578608081</v>
      </c>
      <c r="D84" s="21">
        <f t="shared" si="14"/>
        <v>1.7622309811455883</v>
      </c>
      <c r="E84" s="21">
        <f t="shared" si="15"/>
        <v>1.6173434410029883</v>
      </c>
      <c r="F84" s="21">
        <f t="shared" si="16"/>
        <v>-0.42255663821288814</v>
      </c>
      <c r="G84" s="21">
        <f t="shared" si="17"/>
        <v>4.3010133381124409E-2</v>
      </c>
      <c r="H84" s="21">
        <f t="shared" si="18"/>
        <v>0.17873774328550923</v>
      </c>
      <c r="I84" s="21">
        <f t="shared" si="19"/>
        <v>1.6620489576960025</v>
      </c>
      <c r="J84" s="21">
        <f t="shared" si="20"/>
        <v>4.3010133381124409E-2</v>
      </c>
      <c r="K84" s="67" cm="1">
        <f t="array" ref="K84">-Lininterp(Powering!$A$55:$A$71,Powering!$G$55:$G$71,E84/0.514)</f>
        <v>-403.04833521058544</v>
      </c>
      <c r="L84" s="67" cm="1">
        <f t="array" ref="L84">OarForces(170,5.2,$B$34,$B$35,$B$33,E84,F84,G84, $L$40)</f>
        <v>5490.8383240614839</v>
      </c>
      <c r="M84" s="67"/>
      <c r="N84" s="4" cm="1">
        <f t="array" ref="N84">OarForces(170,5.2,$B$34,$B$35,$B$33,E84,F84,G84, $N$40)</f>
        <v>28552.359285119717</v>
      </c>
      <c r="O84" s="67" cm="1">
        <f t="array" ref="O84">$B$11*IF($B$24="Y",RudderForces($B$15,$B$16,$B$13,$B$14,$B$12,$B$23,E84,F84,G84,$O$40),0)</f>
        <v>-4302.0276957073065</v>
      </c>
      <c r="P84" s="67" cm="1">
        <f t="array" ref="P84">$B$11*IF($B$24="Y",RudderForces($B$15,$B$16,$B$13,$B$14,$B$12,$B$23,E84,F84,G84,$P$40),0)</f>
        <v>-1520.3877957877</v>
      </c>
      <c r="Q84" s="67" cm="1">
        <f t="array" ref="Q84">$B$11*IF($B$24="Y",RudderForces($B$15,$B$16,$B$13,$B$14,$B$12,$B$23,E84,F84,G84,$Q$40),0)</f>
        <v>22805.8169368155</v>
      </c>
      <c r="R84" cm="1">
        <f t="array" ref="R84">ManAcceleration($B$3,$B$4,$B$5,$B$6,$B$7,$B$8,K84,E84,F84,G84,L84,M84,N84,O84,P84,Q84,$R$40)</f>
        <v>-8.0988222922589504E-4</v>
      </c>
      <c r="S84" cm="1">
        <f t="array" ref="S84">ManAcceleration($B$3,$B$4,$B$5,$B$6,$B$7,$B$8,K84,E84,F84,G84,L84,M84,N84,O84,P84,Q84,$S$40)</f>
        <v>-3.8236815992350972E-4</v>
      </c>
      <c r="T84" cm="1">
        <f t="array" ref="T84">ManAcceleration($B$3,$B$4,$B$5,$B$6,$B$7,$B$8,K84,E84,F84,G84,L84,M84,N84,O84,P84,Q84,$T$40)</f>
        <v>7.5437754745935984E-6</v>
      </c>
    </row>
    <row r="85" spans="1:20" x14ac:dyDescent="0.2">
      <c r="A85">
        <f t="shared" si="2"/>
        <v>44</v>
      </c>
      <c r="B85" s="21">
        <f t="shared" si="12"/>
        <v>64.301643898608091</v>
      </c>
      <c r="C85" s="21">
        <f t="shared" si="13"/>
        <v>39.909195313673699</v>
      </c>
      <c r="D85" s="21">
        <f t="shared" si="14"/>
        <v>1.8052486583021874</v>
      </c>
      <c r="E85" s="21">
        <f t="shared" si="15"/>
        <v>1.6165335587737624</v>
      </c>
      <c r="F85" s="21">
        <f t="shared" si="16"/>
        <v>-0.42293900637281162</v>
      </c>
      <c r="G85" s="21">
        <f t="shared" si="17"/>
        <v>4.3017677156599002E-2</v>
      </c>
      <c r="H85" s="21">
        <f t="shared" si="18"/>
        <v>0.10763901556232636</v>
      </c>
      <c r="I85" s="21">
        <f t="shared" si="19"/>
        <v>1.6674747350656201</v>
      </c>
      <c r="J85" s="21">
        <f t="shared" si="20"/>
        <v>4.3017677156599002E-2</v>
      </c>
      <c r="K85" s="67" cm="1">
        <f t="array" ref="K85">-Lininterp(Powering!$A$55:$A$71,Powering!$G$55:$G$71,E85/0.514)</f>
        <v>-402.60494832477957</v>
      </c>
      <c r="L85" s="67" cm="1">
        <f t="array" ref="L85">OarForces(170,5.2,$B$34,$B$35,$B$33,E85,F85,G85, $L$40)</f>
        <v>5491.4093047101705</v>
      </c>
      <c r="M85" s="67"/>
      <c r="N85" s="4" cm="1">
        <f t="array" ref="N85">OarForces(170,5.2,$B$34,$B$35,$B$33,E85,F85,G85, $N$40)</f>
        <v>28555.328384492888</v>
      </c>
      <c r="O85" s="67" cm="1">
        <f t="array" ref="O85">$B$11*IF($B$24="Y",RudderForces($B$15,$B$16,$B$13,$B$14,$B$12,$B$23,E85,F85,G85,$O$40),0)</f>
        <v>-4298.1290579636179</v>
      </c>
      <c r="P85" s="67" cm="1">
        <f t="array" ref="P85">$B$11*IF($B$24="Y",RudderForces($B$15,$B$16,$B$13,$B$14,$B$12,$B$23,E85,F85,G85,$P$40),0)</f>
        <v>-1518.9481267987267</v>
      </c>
      <c r="Q85" s="67" cm="1">
        <f t="array" ref="Q85">$B$11*IF($B$24="Y",RudderForces($B$15,$B$16,$B$13,$B$14,$B$12,$B$23,E85,F85,G85,$Q$40),0)</f>
        <v>22784.221901980898</v>
      </c>
      <c r="R85" cm="1">
        <f t="array" ref="R85">ManAcceleration($B$3,$B$4,$B$5,$B$6,$B$7,$B$8,K85,E85,F85,G85,L85,M85,N85,O85,P85,Q85,$R$40)</f>
        <v>-7.2620705962903455E-4</v>
      </c>
      <c r="S85" cm="1">
        <f t="array" ref="S85">ManAcceleration($B$3,$B$4,$B$5,$B$6,$B$7,$B$8,K85,E85,F85,G85,L85,M85,N85,O85,P85,Q85,$S$40)</f>
        <v>-3.5795735542314524E-4</v>
      </c>
      <c r="T85" cm="1">
        <f t="array" ref="T85">ManAcceleration($B$3,$B$4,$B$5,$B$6,$B$7,$B$8,K85,E85,F85,G85,L85,M85,N85,O85,P85,Q85,$T$40)</f>
        <v>7.2433861272759965E-6</v>
      </c>
    </row>
    <row r="86" spans="1:20" x14ac:dyDescent="0.2">
      <c r="A86">
        <f t="shared" si="2"/>
        <v>45</v>
      </c>
      <c r="B86" s="21">
        <f t="shared" si="12"/>
        <v>64.337991436465657</v>
      </c>
      <c r="C86" s="21">
        <f t="shared" si="13"/>
        <v>41.579133208880187</v>
      </c>
      <c r="D86" s="21">
        <f t="shared" si="14"/>
        <v>1.8482735788449136</v>
      </c>
      <c r="E86" s="21">
        <f t="shared" si="15"/>
        <v>1.6158073517141334</v>
      </c>
      <c r="F86" s="21">
        <f t="shared" si="16"/>
        <v>-0.42329696372823478</v>
      </c>
      <c r="G86" s="21">
        <f t="shared" si="17"/>
        <v>4.3024920542726275E-2</v>
      </c>
      <c r="H86" s="21">
        <f t="shared" si="18"/>
        <v>3.634753785756184E-2</v>
      </c>
      <c r="I86" s="21">
        <f t="shared" si="19"/>
        <v>1.6699378952064883</v>
      </c>
      <c r="J86" s="21">
        <f t="shared" si="20"/>
        <v>4.3024920542726275E-2</v>
      </c>
      <c r="K86" s="67" cm="1">
        <f t="array" ref="K86">-Lininterp(Powering!$A$55:$A$71,Powering!$G$55:$G$71,E86/0.514)</f>
        <v>-402.20737115244572</v>
      </c>
      <c r="L86" s="67" cm="1">
        <f t="array" ref="L86">OarForces(170,5.2,$B$34,$B$35,$B$33,E86,F86,G86, $L$40)</f>
        <v>5491.9194474465294</v>
      </c>
      <c r="M86" s="67"/>
      <c r="N86" s="4" cm="1">
        <f t="array" ref="N86">OarForces(170,5.2,$B$34,$B$35,$B$33,E86,F86,G86, $N$40)</f>
        <v>28557.981126721952</v>
      </c>
      <c r="O86" s="67" cm="1">
        <f t="array" ref="O86">$B$11*IF($B$24="Y",RudderForces($B$15,$B$16,$B$13,$B$14,$B$12,$B$23,E86,F86,G86,$O$40),0)</f>
        <v>-4294.6396752839828</v>
      </c>
      <c r="P86" s="67" cm="1">
        <f t="array" ref="P86">$B$11*IF($B$24="Y",RudderForces($B$15,$B$16,$B$13,$B$14,$B$12,$B$23,E86,F86,G86,$P$40),0)</f>
        <v>-1517.6579520374751</v>
      </c>
      <c r="Q86" s="67" cm="1">
        <f t="array" ref="Q86">$B$11*IF($B$24="Y",RudderForces($B$15,$B$16,$B$13,$B$14,$B$12,$B$23,E86,F86,G86,$Q$40),0)</f>
        <v>22764.869280562125</v>
      </c>
      <c r="R86" cm="1">
        <f t="array" ref="R86">ManAcceleration($B$3,$B$4,$B$5,$B$6,$B$7,$B$8,K86,E86,F86,G86,L86,M86,N86,O86,P86,Q86,$R$40)</f>
        <v>-6.5215889023777565E-4</v>
      </c>
      <c r="S86" cm="1">
        <f t="array" ref="S86">ManAcceleration($B$3,$B$4,$B$5,$B$6,$B$7,$B$8,K86,E86,F86,G86,L86,M86,N86,O86,P86,Q86,$S$40)</f>
        <v>-3.3540541984965552E-4</v>
      </c>
      <c r="T86" cm="1">
        <f t="array" ref="T86">ManAcceleration($B$3,$B$4,$B$5,$B$6,$B$7,$B$8,K86,E86,F86,G86,L86,M86,N86,O86,P86,Q86,$T$40)</f>
        <v>6.9477932653695268E-6</v>
      </c>
    </row>
    <row r="87" spans="1:20" x14ac:dyDescent="0.2">
      <c r="A87">
        <f t="shared" si="2"/>
        <v>46</v>
      </c>
      <c r="B87" s="21">
        <f t="shared" si="12"/>
        <v>64.302979779145318</v>
      </c>
      <c r="C87" s="21">
        <f t="shared" si="13"/>
        <v>43.248553726589158</v>
      </c>
      <c r="D87" s="21">
        <f t="shared" si="14"/>
        <v>1.8913054471809052</v>
      </c>
      <c r="E87" s="21">
        <f t="shared" si="15"/>
        <v>1.6151551928238956</v>
      </c>
      <c r="F87" s="21">
        <f t="shared" si="16"/>
        <v>-0.42363236914808444</v>
      </c>
      <c r="G87" s="21">
        <f t="shared" si="17"/>
        <v>4.3031868335991645E-2</v>
      </c>
      <c r="H87" s="21">
        <f t="shared" si="18"/>
        <v>-3.5011657320334344E-2</v>
      </c>
      <c r="I87" s="21">
        <f t="shared" si="19"/>
        <v>1.6694205177089738</v>
      </c>
      <c r="J87" s="21">
        <f t="shared" si="20"/>
        <v>4.3031868335991645E-2</v>
      </c>
      <c r="K87" s="67" cm="1">
        <f t="array" ref="K87">-Lininterp(Powering!$A$55:$A$71,Powering!$G$55:$G$71,E87/0.514)</f>
        <v>-401.85033319191479</v>
      </c>
      <c r="L87" s="67" cm="1">
        <f t="array" ref="L87">OarForces(170,5.2,$B$34,$B$35,$B$33,E87,F87,G87, $L$40)</f>
        <v>5492.3758664688066</v>
      </c>
      <c r="M87" s="67"/>
      <c r="N87" s="4" cm="1">
        <f t="array" ref="N87">OarForces(170,5.2,$B$34,$B$35,$B$33,E87,F87,G87, $N$40)</f>
        <v>28560.354505637795</v>
      </c>
      <c r="O87" s="67" cm="1">
        <f t="array" ref="O87">$B$11*IF($B$24="Y",RudderForces($B$15,$B$16,$B$13,$B$14,$B$12,$B$23,E87,F87,G87,$O$40),0)</f>
        <v>-4291.5118747962933</v>
      </c>
      <c r="P87" s="67" cm="1">
        <f t="array" ref="P87">$B$11*IF($B$24="Y",RudderForces($B$15,$B$16,$B$13,$B$14,$B$12,$B$23,E87,F87,G87,$P$40),0)</f>
        <v>-1516.4999511803501</v>
      </c>
      <c r="Q87" s="67" cm="1">
        <f t="array" ref="Q87">$B$11*IF($B$24="Y",RudderForces($B$15,$B$16,$B$13,$B$14,$B$12,$B$23,E87,F87,G87,$Q$40),0)</f>
        <v>22747.499267705251</v>
      </c>
      <c r="R87" cm="1">
        <f t="array" ref="R87">ManAcceleration($B$3,$B$4,$B$5,$B$6,$B$7,$B$8,K87,E87,F87,G87,L87,M87,N87,O87,P87,Q87,$R$40)</f>
        <v>-5.8656488009202078E-4</v>
      </c>
      <c r="S87" cm="1">
        <f t="array" ref="S87">ManAcceleration($B$3,$B$4,$B$5,$B$6,$B$7,$B$8,K87,E87,F87,G87,L87,M87,N87,O87,P87,Q87,$S$40)</f>
        <v>-3.1453895774884394E-4</v>
      </c>
      <c r="T87" cm="1">
        <f t="array" ref="T87">ManAcceleration($B$3,$B$4,$B$5,$B$6,$B$7,$B$8,K87,E87,F87,G87,L87,M87,N87,O87,P87,Q87,$T$40)</f>
        <v>6.6579975004070276E-6</v>
      </c>
    </row>
    <row r="88" spans="1:20" x14ac:dyDescent="0.2">
      <c r="A88">
        <f t="shared" si="2"/>
        <v>47</v>
      </c>
      <c r="B88" s="21">
        <f t="shared" si="12"/>
        <v>64.196667736370102</v>
      </c>
      <c r="C88" s="21">
        <f t="shared" si="13"/>
        <v>44.914465064204038</v>
      </c>
      <c r="D88" s="21">
        <f t="shared" si="14"/>
        <v>1.9343439735143972</v>
      </c>
      <c r="E88" s="21">
        <f t="shared" si="15"/>
        <v>1.6145686279438036</v>
      </c>
      <c r="F88" s="21">
        <f t="shared" si="16"/>
        <v>-0.4239469081058333</v>
      </c>
      <c r="G88" s="21">
        <f t="shared" si="17"/>
        <v>4.3038526333492054E-2</v>
      </c>
      <c r="H88" s="21">
        <f t="shared" si="18"/>
        <v>-0.10631204277521983</v>
      </c>
      <c r="I88" s="21">
        <f t="shared" si="19"/>
        <v>1.665911337614878</v>
      </c>
      <c r="J88" s="21">
        <f t="shared" si="20"/>
        <v>4.3038526333492054E-2</v>
      </c>
      <c r="K88" s="67" cm="1">
        <f t="array" ref="K88">-Lininterp(Powering!$A$55:$A$71,Powering!$G$55:$G$71,E88/0.514)</f>
        <v>-401.52920603771662</v>
      </c>
      <c r="L88" s="67" cm="1">
        <f t="array" ref="L88">OarForces(170,5.2,$B$34,$B$35,$B$33,E88,F88,G88, $L$40)</f>
        <v>5492.7848031582807</v>
      </c>
      <c r="M88" s="67"/>
      <c r="N88" s="4" cm="1">
        <f t="array" ref="N88">OarForces(170,5.2,$B$34,$B$35,$B$33,E88,F88,G88, $N$40)</f>
        <v>28562.480976423059</v>
      </c>
      <c r="O88" s="67" cm="1">
        <f t="array" ref="O88">$B$11*IF($B$24="Y",RudderForces($B$15,$B$16,$B$13,$B$14,$B$12,$B$23,E88,F88,G88,$O$40),0)</f>
        <v>-4288.7038644678541</v>
      </c>
      <c r="P88" s="67" cm="1">
        <f t="array" ref="P88">$B$11*IF($B$24="Y",RudderForces($B$15,$B$16,$B$13,$B$14,$B$12,$B$23,E88,F88,G88,$P$40),0)</f>
        <v>-1515.4589369605681</v>
      </c>
      <c r="Q88" s="67" cm="1">
        <f t="array" ref="Q88">$B$11*IF($B$24="Y",RudderForces($B$15,$B$16,$B$13,$B$14,$B$12,$B$23,E88,F88,G88,$Q$40),0)</f>
        <v>22731.884054408521</v>
      </c>
      <c r="R88" cm="1">
        <f t="array" ref="R88">ManAcceleration($B$3,$B$4,$B$5,$B$6,$B$7,$B$8,K88,E88,F88,G88,L88,M88,N88,O88,P88,Q88,$R$40)</f>
        <v>-5.2839950249651026E-4</v>
      </c>
      <c r="S88" cm="1">
        <f t="array" ref="S88">ManAcceleration($B$3,$B$4,$B$5,$B$6,$B$7,$B$8,K88,E88,F88,G88,L88,M88,N88,O88,P88,Q88,$S$40)</f>
        <v>-2.9520369528707332E-4</v>
      </c>
      <c r="T88" cm="1">
        <f t="array" ref="T88">ManAcceleration($B$3,$B$4,$B$5,$B$6,$B$7,$B$8,K88,E88,F88,G88,L88,M88,N88,O88,P88,Q88,$T$40)</f>
        <v>6.3748119381469478E-6</v>
      </c>
    </row>
    <row r="89" spans="1:20" x14ac:dyDescent="0.2">
      <c r="A89">
        <f t="shared" si="2"/>
        <v>48</v>
      </c>
      <c r="B89" s="21">
        <f t="shared" si="12"/>
        <v>64.019241708011165</v>
      </c>
      <c r="C89" s="21">
        <f t="shared" si="13"/>
        <v>46.573870750862099</v>
      </c>
      <c r="D89" s="21">
        <f t="shared" si="14"/>
        <v>1.9773888746598274</v>
      </c>
      <c r="E89" s="21">
        <f t="shared" si="15"/>
        <v>1.6140402284413071</v>
      </c>
      <c r="F89" s="21">
        <f t="shared" si="16"/>
        <v>-0.42424211180112037</v>
      </c>
      <c r="G89" s="21">
        <f t="shared" si="17"/>
        <v>4.3044901145430199E-2</v>
      </c>
      <c r="H89" s="21">
        <f t="shared" si="18"/>
        <v>-0.17742602835893062</v>
      </c>
      <c r="I89" s="21">
        <f t="shared" si="19"/>
        <v>1.6594056866580631</v>
      </c>
      <c r="J89" s="21">
        <f t="shared" si="20"/>
        <v>4.3044901145430199E-2</v>
      </c>
      <c r="K89" s="67" cm="1">
        <f t="array" ref="K89">-Lininterp(Powering!$A$55:$A$71,Powering!$G$55:$G$71,E89/0.514)</f>
        <v>-401.23992273031871</v>
      </c>
      <c r="L89" s="67" cm="1">
        <f t="array" ref="L89">OarForces(170,5.2,$B$34,$B$35,$B$33,E89,F89,G89, $L$40)</f>
        <v>5493.1517359473164</v>
      </c>
      <c r="M89" s="67"/>
      <c r="N89" s="4" cm="1">
        <f t="array" ref="N89">OarForces(170,5.2,$B$34,$B$35,$B$33,E89,F89,G89, $N$40)</f>
        <v>28564.389026926045</v>
      </c>
      <c r="O89" s="67" cm="1">
        <f t="array" ref="O89">$B$11*IF($B$24="Y",RudderForces($B$15,$B$16,$B$13,$B$14,$B$12,$B$23,E89,F89,G89,$O$40),0)</f>
        <v>-4286.1789817212648</v>
      </c>
      <c r="P89" s="67" cm="1">
        <f t="array" ref="P89">$B$11*IF($B$24="Y",RudderForces($B$15,$B$16,$B$13,$B$14,$B$12,$B$23,E89,F89,G89,$P$40),0)</f>
        <v>-1514.5215824547229</v>
      </c>
      <c r="Q89" s="67" cm="1">
        <f t="array" ref="Q89">$B$11*IF($B$24="Y",RudderForces($B$15,$B$16,$B$13,$B$14,$B$12,$B$23,E89,F89,G89,$Q$40),0)</f>
        <v>22717.823736820843</v>
      </c>
      <c r="R89" cm="1">
        <f t="array" ref="R89">ManAcceleration($B$3,$B$4,$B$5,$B$6,$B$7,$B$8,K89,E89,F89,G89,L89,M89,N89,O89,P89,Q89,$R$40)</f>
        <v>-4.767656411890002E-4</v>
      </c>
      <c r="S89" cm="1">
        <f t="array" ref="S89">ManAcceleration($B$3,$B$4,$B$5,$B$6,$B$7,$B$8,K89,E89,F89,G89,L89,M89,N89,O89,P89,Q89,$S$40)</f>
        <v>-2.7726212344862048E-4</v>
      </c>
      <c r="T89" cm="1">
        <f t="array" ref="T89">ManAcceleration($B$3,$B$4,$B$5,$B$6,$B$7,$B$8,K89,E89,F89,G89,L89,M89,N89,O89,P89,Q89,$T$40)</f>
        <v>6.0988840945415787E-6</v>
      </c>
    </row>
    <row r="90" spans="1:20" x14ac:dyDescent="0.2">
      <c r="A90">
        <f t="shared" si="2"/>
        <v>49</v>
      </c>
      <c r="B90" s="21">
        <f t="shared" si="12"/>
        <v>63.771016339808426</v>
      </c>
      <c r="C90" s="21">
        <f t="shared" si="13"/>
        <v>48.223776176606684</v>
      </c>
      <c r="D90" s="21">
        <f t="shared" si="14"/>
        <v>2.0204398746893522</v>
      </c>
      <c r="E90" s="21">
        <f t="shared" si="15"/>
        <v>1.6135634628001181</v>
      </c>
      <c r="F90" s="21">
        <f t="shared" si="16"/>
        <v>-0.42451937392456901</v>
      </c>
      <c r="G90" s="21">
        <f t="shared" si="17"/>
        <v>4.3051000029524743E-2</v>
      </c>
      <c r="H90" s="21">
        <f t="shared" si="18"/>
        <v>-0.24822536820274088</v>
      </c>
      <c r="I90" s="21">
        <f t="shared" si="19"/>
        <v>1.649905425744588</v>
      </c>
      <c r="J90" s="21">
        <f t="shared" si="20"/>
        <v>4.3051000029524743E-2</v>
      </c>
      <c r="K90" s="67" cm="1">
        <f t="array" ref="K90">-Lininterp(Powering!$A$55:$A$71,Powering!$G$55:$G$71,E90/0.514)</f>
        <v>-400.97890745516196</v>
      </c>
      <c r="L90" s="67" cm="1">
        <f t="array" ref="L90">OarForces(170,5.2,$B$34,$B$35,$B$33,E90,F90,G90, $L$40)</f>
        <v>5493.4814760970594</v>
      </c>
      <c r="M90" s="67"/>
      <c r="N90" s="4" cm="1">
        <f t="array" ref="N90">OarForces(170,5.2,$B$34,$B$35,$B$33,E90,F90,G90, $N$40)</f>
        <v>28566.103675704711</v>
      </c>
      <c r="O90" s="67" cm="1">
        <f t="array" ref="O90">$B$11*IF($B$24="Y",RudderForces($B$15,$B$16,$B$13,$B$14,$B$12,$B$23,E90,F90,G90,$O$40),0)</f>
        <v>-4283.9050411052904</v>
      </c>
      <c r="P90" s="67" cm="1">
        <f t="array" ref="P90">$B$11*IF($B$24="Y",RudderForces($B$15,$B$16,$B$13,$B$14,$B$12,$B$23,E90,F90,G90,$P$40),0)</f>
        <v>-1513.676184406648</v>
      </c>
      <c r="Q90" s="67" cm="1">
        <f t="array" ref="Q90">$B$11*IF($B$24="Y",RudderForces($B$15,$B$16,$B$13,$B$14,$B$12,$B$23,E90,F90,G90,$Q$40),0)</f>
        <v>22705.142766099718</v>
      </c>
      <c r="R90" cm="1">
        <f t="array" ref="R90">ManAcceleration($B$3,$B$4,$B$5,$B$6,$B$7,$B$8,K90,E90,F90,G90,L90,M90,N90,O90,P90,Q90,$R$40)</f>
        <v>-4.3087816972188237E-4</v>
      </c>
      <c r="S90" cm="1">
        <f t="array" ref="S90">ManAcceleration($B$3,$B$4,$B$5,$B$6,$B$7,$B$8,K90,E90,F90,G90,L90,M90,N90,O90,P90,Q90,$S$40)</f>
        <v>-2.6059145475501437E-4</v>
      </c>
      <c r="T90" cm="1">
        <f t="array" ref="T90">ManAcceleration($B$3,$B$4,$B$5,$B$6,$B$7,$B$8,K90,E90,F90,G90,L90,M90,N90,O90,P90,Q90,$T$40)</f>
        <v>5.8307163302309542E-6</v>
      </c>
    </row>
    <row r="91" spans="1:20" x14ac:dyDescent="0.2">
      <c r="A91">
        <f t="shared" si="2"/>
        <v>50</v>
      </c>
      <c r="B91" s="21">
        <f t="shared" si="12"/>
        <v>63.452434793657744</v>
      </c>
      <c r="C91" s="21">
        <f t="shared" si="13"/>
        <v>49.86119504575295</v>
      </c>
      <c r="D91" s="21">
        <f t="shared" si="14"/>
        <v>2.0634967054352069</v>
      </c>
      <c r="E91" s="21">
        <f t="shared" si="15"/>
        <v>1.6131325846303961</v>
      </c>
      <c r="F91" s="21">
        <f t="shared" si="16"/>
        <v>-0.424779965379324</v>
      </c>
      <c r="G91" s="21">
        <f t="shared" si="17"/>
        <v>4.3056830745854972E-2</v>
      </c>
      <c r="H91" s="21">
        <f t="shared" si="18"/>
        <v>-0.31858154615068446</v>
      </c>
      <c r="I91" s="21">
        <f t="shared" si="19"/>
        <v>1.6374188691462672</v>
      </c>
      <c r="J91" s="21">
        <f t="shared" si="20"/>
        <v>4.3056830745854972E-2</v>
      </c>
      <c r="K91" s="67" cm="1">
        <f t="array" ref="K91">-Lininterp(Powering!$A$55:$A$71,Powering!$G$55:$G$71,E91/0.514)</f>
        <v>-400.74301423150473</v>
      </c>
      <c r="L91" s="67" cm="1">
        <f t="array" ref="L91">OarForces(170,5.2,$B$34,$B$35,$B$33,E91,F91,G91, $L$40)</f>
        <v>5493.7782512303211</v>
      </c>
      <c r="M91" s="67"/>
      <c r="N91" s="4" cm="1">
        <f t="array" ref="N91">OarForces(170,5.2,$B$34,$B$35,$B$33,E91,F91,G91, $N$40)</f>
        <v>28567.646906397669</v>
      </c>
      <c r="O91" s="67" cm="1">
        <f t="array" ref="O91">$B$11*IF($B$24="Y",RudderForces($B$15,$B$16,$B$13,$B$14,$B$12,$B$23,E91,F91,G91,$O$40),0)</f>
        <v>-4281.8537674322451</v>
      </c>
      <c r="P91" s="67" cm="1">
        <f t="array" ref="P91">$B$11*IF($B$24="Y",RudderForces($B$15,$B$16,$B$13,$B$14,$B$12,$B$23,E91,F91,G91,$P$40),0)</f>
        <v>-1512.9124576248519</v>
      </c>
      <c r="Q91" s="67" cm="1">
        <f t="array" ref="Q91">$B$11*IF($B$24="Y",RudderForces($B$15,$B$16,$B$13,$B$14,$B$12,$B$23,E91,F91,G91,$Q$40),0)</f>
        <v>22693.686864372779</v>
      </c>
      <c r="R91" cm="1">
        <f t="array" ref="R91">ManAcceleration($B$3,$B$4,$B$5,$B$6,$B$7,$B$8,K91,E91,F91,G91,L91,M91,N91,O91,P91,Q91,$R$40)</f>
        <v>-3.9004967674562471E-4</v>
      </c>
      <c r="S91" cm="1">
        <f t="array" ref="S91">ManAcceleration($B$3,$B$4,$B$5,$B$6,$B$7,$B$8,K91,E91,F91,G91,L91,M91,N91,O91,P91,Q91,$S$40)</f>
        <v>-2.4508184884460861E-4</v>
      </c>
      <c r="T91" cm="1">
        <f t="array" ref="T91">ManAcceleration($B$3,$B$4,$B$5,$B$6,$B$7,$B$8,K91,E91,F91,G91,L91,M91,N91,O91,P91,Q91,$T$40)</f>
        <v>5.5706846177787785E-6</v>
      </c>
    </row>
    <row r="92" spans="1:20" x14ac:dyDescent="0.2">
      <c r="A92">
        <f t="shared" si="2"/>
        <v>51</v>
      </c>
      <c r="B92" s="21">
        <f t="shared" si="12"/>
        <v>63.064068651956049</v>
      </c>
      <c r="C92" s="21">
        <f t="shared" si="13"/>
        <v>51.483155746509837</v>
      </c>
      <c r="D92" s="21">
        <f t="shared" si="14"/>
        <v>2.1065591068656797</v>
      </c>
      <c r="E92" s="21">
        <f t="shared" si="15"/>
        <v>1.6127425349536504</v>
      </c>
      <c r="F92" s="21">
        <f t="shared" si="16"/>
        <v>-0.42502504722816858</v>
      </c>
      <c r="G92" s="21">
        <f t="shared" si="17"/>
        <v>4.3062401430472748E-2</v>
      </c>
      <c r="H92" s="21">
        <f t="shared" si="18"/>
        <v>-0.38836614170169415</v>
      </c>
      <c r="I92" s="21">
        <f t="shared" si="19"/>
        <v>1.6219607007568873</v>
      </c>
      <c r="J92" s="21">
        <f t="shared" si="20"/>
        <v>4.3062401430472748E-2</v>
      </c>
      <c r="K92" s="67" cm="1">
        <f t="array" ref="K92">-Lininterp(Powering!$A$55:$A$71,Powering!$G$55:$G$71,E92/0.514)</f>
        <v>-400.52947341625918</v>
      </c>
      <c r="L92" s="67" cm="1">
        <f t="array" ref="L92">OarForces(170,5.2,$B$34,$B$35,$B$33,E92,F92,G92, $L$40)</f>
        <v>5494.0457782159629</v>
      </c>
      <c r="M92" s="67"/>
      <c r="N92" s="4" cm="1">
        <f t="array" ref="N92">OarForces(170,5.2,$B$34,$B$35,$B$33,E92,F92,G92, $N$40)</f>
        <v>28569.038046723006</v>
      </c>
      <c r="O92" s="67" cm="1">
        <f t="array" ref="O92">$B$11*IF($B$24="Y",RudderForces($B$15,$B$16,$B$13,$B$14,$B$12,$B$23,E92,F92,G92,$O$40),0)</f>
        <v>-4280.0003027664916</v>
      </c>
      <c r="P92" s="67" cm="1">
        <f t="array" ref="P92">$B$11*IF($B$24="Y",RudderForces($B$15,$B$16,$B$13,$B$14,$B$12,$B$23,E92,F92,G92,$P$40),0)</f>
        <v>-1512.2213562146831</v>
      </c>
      <c r="Q92" s="67" cm="1">
        <f t="array" ref="Q92">$B$11*IF($B$24="Y",RudderForces($B$15,$B$16,$B$13,$B$14,$B$12,$B$23,E92,F92,G92,$Q$40),0)</f>
        <v>22683.320343220246</v>
      </c>
      <c r="R92" cm="1">
        <f t="array" ref="R92">ManAcceleration($B$3,$B$4,$B$5,$B$6,$B$7,$B$8,K92,E92,F92,G92,L92,M92,N92,O92,P92,Q92,$R$40)</f>
        <v>-3.5367804807181396E-4</v>
      </c>
      <c r="S92" cm="1">
        <f t="array" ref="S92">ManAcceleration($B$3,$B$4,$B$5,$B$6,$B$7,$B$8,K92,E92,F92,G92,L92,M92,N92,O92,P92,Q92,$S$40)</f>
        <v>-2.3063486912277954E-4</v>
      </c>
      <c r="T92" cm="1">
        <f t="array" ref="T92">ManAcceleration($B$3,$B$4,$B$5,$B$6,$B$7,$B$8,K92,E92,F92,G92,L92,M92,N92,O92,P92,Q92,$T$40)</f>
        <v>5.3190555797456977E-6</v>
      </c>
    </row>
    <row r="93" spans="1:20" x14ac:dyDescent="0.2">
      <c r="A93">
        <f t="shared" si="2"/>
        <v>52</v>
      </c>
      <c r="B93" s="21">
        <f t="shared" si="12"/>
        <v>62.606617473537064</v>
      </c>
      <c r="C93" s="21">
        <f t="shared" si="13"/>
        <v>53.086707629172942</v>
      </c>
      <c r="D93" s="21">
        <f t="shared" si="14"/>
        <v>2.1496268273517321</v>
      </c>
      <c r="E93" s="21">
        <f t="shared" si="15"/>
        <v>1.6123888569055786</v>
      </c>
      <c r="F93" s="21">
        <f t="shared" si="16"/>
        <v>-0.42525568209729137</v>
      </c>
      <c r="G93" s="21">
        <f t="shared" si="17"/>
        <v>4.3067720486052494E-2</v>
      </c>
      <c r="H93" s="21">
        <f t="shared" si="18"/>
        <v>-0.45745117841898775</v>
      </c>
      <c r="I93" s="21">
        <f t="shared" si="19"/>
        <v>1.6035518826631057</v>
      </c>
      <c r="J93" s="21">
        <f t="shared" si="20"/>
        <v>4.3067720486052494E-2</v>
      </c>
      <c r="K93" s="67" cm="1">
        <f t="array" ref="K93">-Lininterp(Powering!$A$55:$A$71,Powering!$G$55:$G$71,E93/0.514)</f>
        <v>-400.33584500628371</v>
      </c>
      <c r="L93" s="67" cm="1">
        <f t="array" ref="L93">OarForces(170,5.2,$B$34,$B$35,$B$33,E93,F93,G93, $L$40)</f>
        <v>5494.287326787151</v>
      </c>
      <c r="M93" s="67"/>
      <c r="N93" s="4" cm="1">
        <f t="array" ref="N93">OarForces(170,5.2,$B$34,$B$35,$B$33,E93,F93,G93, $N$40)</f>
        <v>28570.294099293187</v>
      </c>
      <c r="O93" s="67" cm="1">
        <f t="array" ref="O93">$B$11*IF($B$24="Y",RudderForces($B$15,$B$16,$B$13,$B$14,$B$12,$B$23,E93,F93,G93,$O$40),0)</f>
        <v>-4278.3227773120962</v>
      </c>
      <c r="P93" s="67" cm="1">
        <f t="array" ref="P93">$B$11*IF($B$24="Y",RudderForces($B$15,$B$16,$B$13,$B$14,$B$12,$B$23,E93,F93,G93,$P$40),0)</f>
        <v>-1511.5949180168</v>
      </c>
      <c r="Q93" s="67" cm="1">
        <f t="array" ref="Q93">$B$11*IF($B$24="Y",RudderForces($B$15,$B$16,$B$13,$B$14,$B$12,$B$23,E93,F93,G93,$Q$40),0)</f>
        <v>22673.923770252</v>
      </c>
      <c r="R93" cm="1">
        <f t="array" ref="R93">ManAcceleration($B$3,$B$4,$B$5,$B$6,$B$7,$B$8,K93,E93,F93,G93,L93,M93,N93,O93,P93,Q93,$R$40)</f>
        <v>-3.2123565718882903E-4</v>
      </c>
      <c r="S93" cm="1">
        <f t="array" ref="S93">ManAcceleration($B$3,$B$4,$B$5,$B$6,$B$7,$B$8,K93,E93,F93,G93,L93,M93,N93,O93,P93,Q93,$S$40)</f>
        <v>-2.1716213841034581E-4</v>
      </c>
      <c r="T93" cm="1">
        <f t="array" ref="T93">ManAcceleration($B$3,$B$4,$B$5,$B$6,$B$7,$B$8,K93,E93,F93,G93,L93,M93,N93,O93,P93,Q93,$T$40)</f>
        <v>5.0760018171394922E-6</v>
      </c>
    </row>
    <row r="94" spans="1:20" x14ac:dyDescent="0.2">
      <c r="A94">
        <f t="shared" si="2"/>
        <v>53</v>
      </c>
      <c r="B94" s="21">
        <f t="shared" si="12"/>
        <v>62.080908017076318</v>
      </c>
      <c r="C94" s="21">
        <f t="shared" si="13"/>
        <v>54.668927185380994</v>
      </c>
      <c r="D94" s="21">
        <f t="shared" si="14"/>
        <v>2.1926996238396015</v>
      </c>
      <c r="E94" s="21">
        <f t="shared" si="15"/>
        <v>1.6120676212483898</v>
      </c>
      <c r="F94" s="21">
        <f t="shared" si="16"/>
        <v>-0.4254728442357017</v>
      </c>
      <c r="G94" s="21">
        <f t="shared" si="17"/>
        <v>4.307279648786963E-2</v>
      </c>
      <c r="H94" s="21">
        <f t="shared" si="18"/>
        <v>-0.52570945646074607</v>
      </c>
      <c r="I94" s="21">
        <f t="shared" si="19"/>
        <v>1.5822195562080523</v>
      </c>
      <c r="J94" s="21">
        <f t="shared" si="20"/>
        <v>4.307279648786963E-2</v>
      </c>
      <c r="K94" s="67" cm="1">
        <f t="array" ref="K94">-Lininterp(Powering!$A$55:$A$71,Powering!$G$55:$G$71,E94/0.514)</f>
        <v>-400.15997785855421</v>
      </c>
      <c r="L94" s="67" cm="1">
        <f t="array" ref="L94">OarForces(170,5.2,$B$34,$B$35,$B$33,E94,F94,G94, $L$40)</f>
        <v>5494.5057750917713</v>
      </c>
      <c r="M94" s="67"/>
      <c r="N94" s="4" cm="1">
        <f t="array" ref="N94">OarForces(170,5.2,$B$34,$B$35,$B$33,E94,F94,G94, $N$40)</f>
        <v>28571.430030477211</v>
      </c>
      <c r="O94" s="67" cm="1">
        <f t="array" ref="O94">$B$11*IF($B$24="Y",RudderForces($B$15,$B$16,$B$13,$B$14,$B$12,$B$23,E94,F94,G94,$O$40),0)</f>
        <v>-4276.8019356549466</v>
      </c>
      <c r="P94" s="67" cm="1">
        <f t="array" ref="P94">$B$11*IF($B$24="Y",RudderForces($B$15,$B$16,$B$13,$B$14,$B$12,$B$23,E94,F94,G94,$P$40),0)</f>
        <v>-1511.0261291391735</v>
      </c>
      <c r="Q94" s="67" cm="1">
        <f t="array" ref="Q94">$B$11*IF($B$24="Y",RudderForces($B$15,$B$16,$B$13,$B$14,$B$12,$B$23,E94,F94,G94,$Q$40),0)</f>
        <v>22665.391937087603</v>
      </c>
      <c r="R94" cm="1">
        <f t="array" ref="R94">ManAcceleration($B$3,$B$4,$B$5,$B$6,$B$7,$B$8,K94,E94,F94,G94,L94,M94,N94,O94,P94,Q94,$R$40)</f>
        <v>-2.9225995054662964E-4</v>
      </c>
      <c r="S94" cm="1">
        <f t="array" ref="S94">ManAcceleration($B$3,$B$4,$B$5,$B$6,$B$7,$B$8,K94,E94,F94,G94,L94,M94,N94,O94,P94,Q94,$S$40)</f>
        <v>-2.0458416628957817E-4</v>
      </c>
      <c r="T94" cm="1">
        <f t="array" ref="T94">ManAcceleration($B$3,$B$4,$B$5,$B$6,$B$7,$B$8,K94,E94,F94,G94,L94,M94,N94,O94,P94,Q94,$T$40)</f>
        <v>4.8416155987701795E-6</v>
      </c>
    </row>
    <row r="95" spans="1:20" x14ac:dyDescent="0.2">
      <c r="A95">
        <f t="shared" si="2"/>
        <v>54</v>
      </c>
      <c r="B95" s="21">
        <f t="shared" si="12"/>
        <v>61.487893146455846</v>
      </c>
      <c r="C95" s="21">
        <f t="shared" si="13"/>
        <v>56.22692412105215</v>
      </c>
      <c r="D95" s="21">
        <f t="shared" si="14"/>
        <v>2.23577726194307</v>
      </c>
      <c r="E95" s="21">
        <f t="shared" si="15"/>
        <v>1.6117753612978432</v>
      </c>
      <c r="F95" s="21">
        <f t="shared" si="16"/>
        <v>-0.4256774284019913</v>
      </c>
      <c r="G95" s="21">
        <f t="shared" si="17"/>
        <v>4.3077638103468402E-2</v>
      </c>
      <c r="H95" s="21">
        <f t="shared" si="18"/>
        <v>-0.59301487062047431</v>
      </c>
      <c r="I95" s="21">
        <f t="shared" si="19"/>
        <v>1.5579969356711543</v>
      </c>
      <c r="J95" s="21">
        <f t="shared" si="20"/>
        <v>4.3077638103468402E-2</v>
      </c>
      <c r="K95" s="67" cm="1">
        <f t="array" ref="K95">-Lininterp(Powering!$A$55:$A$71,Powering!$G$55:$G$71,E95/0.514)</f>
        <v>-399.99997406461682</v>
      </c>
      <c r="L95" s="67" cm="1">
        <f t="array" ref="L95">OarForces(170,5.2,$B$34,$B$35,$B$33,E95,F95,G95, $L$40)</f>
        <v>5494.7036582147039</v>
      </c>
      <c r="M95" s="67"/>
      <c r="N95" s="4" cm="1">
        <f t="array" ref="N95">OarForces(170,5.2,$B$34,$B$35,$B$33,E95,F95,G95, $N$40)</f>
        <v>28572.459022716463</v>
      </c>
      <c r="O95" s="67" cm="1">
        <f t="array" ref="O95">$B$11*IF($B$24="Y",RudderForces($B$15,$B$16,$B$13,$B$14,$B$12,$B$23,E95,F95,G95,$O$40),0)</f>
        <v>-4275.4208110088603</v>
      </c>
      <c r="P95" s="67" cm="1">
        <f t="array" ref="P95">$B$11*IF($B$24="Y",RudderForces($B$15,$B$16,$B$13,$B$14,$B$12,$B$23,E95,F95,G95,$P$40),0)</f>
        <v>-1510.5088059069917</v>
      </c>
      <c r="Q95" s="67" cm="1">
        <f t="array" ref="Q95">$B$11*IF($B$24="Y",RudderForces($B$15,$B$16,$B$13,$B$14,$B$12,$B$23,E95,F95,G95,$Q$40),0)</f>
        <v>22657.632088604874</v>
      </c>
      <c r="R95" cm="1">
        <f t="array" ref="R95">ManAcceleration($B$3,$B$4,$B$5,$B$6,$B$7,$B$8,K95,E95,F95,G95,L95,M95,N95,O95,P95,Q95,$R$40)</f>
        <v>-2.6634524342975359E-4</v>
      </c>
      <c r="S95" cm="1">
        <f t="array" ref="S95">ManAcceleration($B$3,$B$4,$B$5,$B$6,$B$7,$B$8,K95,E95,F95,G95,L95,M95,N95,O95,P95,Q95,$S$40)</f>
        <v>-1.9282932484904485E-4</v>
      </c>
      <c r="T95" cm="1">
        <f t="array" ref="T95">ManAcceleration($B$3,$B$4,$B$5,$B$6,$B$7,$B$8,K95,E95,F95,G95,L95,M95,N95,O95,P95,Q95,$T$40)</f>
        <v>4.6159210124574077E-6</v>
      </c>
    </row>
    <row r="96" spans="1:20" x14ac:dyDescent="0.2">
      <c r="A96">
        <f t="shared" si="2"/>
        <v>55</v>
      </c>
      <c r="B96" s="21">
        <f t="shared" si="12"/>
        <v>60.828650431422091</v>
      </c>
      <c r="C96" s="21">
        <f t="shared" si="13"/>
        <v>57.757847315701675</v>
      </c>
      <c r="D96" s="21">
        <f t="shared" si="14"/>
        <v>2.2788595159675511</v>
      </c>
      <c r="E96" s="21">
        <f t="shared" si="15"/>
        <v>1.6115090160544134</v>
      </c>
      <c r="F96" s="21">
        <f t="shared" si="16"/>
        <v>-0.42587025772684034</v>
      </c>
      <c r="G96" s="21">
        <f t="shared" si="17"/>
        <v>4.3082254024480862E-2</v>
      </c>
      <c r="H96" s="21">
        <f t="shared" si="18"/>
        <v>-0.65924271503375276</v>
      </c>
      <c r="I96" s="21">
        <f t="shared" si="19"/>
        <v>1.5309231946495274</v>
      </c>
      <c r="J96" s="21">
        <f t="shared" si="20"/>
        <v>4.3082254024480862E-2</v>
      </c>
      <c r="K96" s="67" cm="1">
        <f t="array" ref="K96">-Lininterp(Powering!$A$55:$A$71,Powering!$G$55:$G$71,E96/0.514)</f>
        <v>-399.85415781656013</v>
      </c>
      <c r="L96" s="67" cm="1">
        <f t="array" ref="L96">OarForces(170,5.2,$B$34,$B$35,$B$33,E96,F96,G96, $L$40)</f>
        <v>5494.8832105748215</v>
      </c>
      <c r="M96" s="67"/>
      <c r="N96" s="4" cm="1">
        <f t="array" ref="N96">OarForces(170,5.2,$B$34,$B$35,$B$33,E96,F96,G96, $N$40)</f>
        <v>28573.392694989074</v>
      </c>
      <c r="O96" s="67" cm="1">
        <f t="array" ref="O96">$B$11*IF($B$24="Y",RudderForces($B$15,$B$16,$B$13,$B$14,$B$12,$B$23,E96,F96,G96,$O$40),0)</f>
        <v>-4274.1644411316411</v>
      </c>
      <c r="P96" s="67" cm="1">
        <f t="array" ref="P96">$B$11*IF($B$24="Y",RudderForces($B$15,$B$16,$B$13,$B$14,$B$12,$B$23,E96,F96,G96,$P$40),0)</f>
        <v>-1510.0374919263875</v>
      </c>
      <c r="Q96" s="67" cm="1">
        <f t="array" ref="Q96">$B$11*IF($B$24="Y",RudderForces($B$15,$B$16,$B$13,$B$14,$B$12,$B$23,E96,F96,G96,$Q$40),0)</f>
        <v>22650.562378895811</v>
      </c>
      <c r="R96" cm="1">
        <f t="array" ref="R96">ManAcceleration($B$3,$B$4,$B$5,$B$6,$B$7,$B$8,K96,E96,F96,G96,L96,M96,N96,O96,P96,Q96,$R$40)</f>
        <v>-2.4313556742517494E-4</v>
      </c>
      <c r="S96" cm="1">
        <f t="array" ref="S96">ManAcceleration($B$3,$B$4,$B$5,$B$6,$B$7,$B$8,K96,E96,F96,G96,L96,M96,N96,O96,P96,Q96,$S$40)</f>
        <v>-1.8183295289381194E-4</v>
      </c>
      <c r="T96" cm="1">
        <f t="array" ref="T96">ManAcceleration($B$3,$B$4,$B$5,$B$6,$B$7,$B$8,K96,E96,F96,G96,L96,M96,N96,O96,P96,Q96,$T$40)</f>
        <v>4.3988846949889458E-6</v>
      </c>
    </row>
    <row r="97" spans="1:20" x14ac:dyDescent="0.2">
      <c r="A97">
        <f t="shared" si="2"/>
        <v>56</v>
      </c>
      <c r="B97" s="21">
        <f t="shared" si="12"/>
        <v>60.104380455915717</v>
      </c>
      <c r="C97" s="21">
        <f t="shared" si="13"/>
        <v>59.258890660903297</v>
      </c>
      <c r="D97" s="21">
        <f t="shared" si="14"/>
        <v>2.3219461688767269</v>
      </c>
      <c r="E97" s="21">
        <f t="shared" si="15"/>
        <v>1.6112658804869882</v>
      </c>
      <c r="F97" s="21">
        <f t="shared" si="16"/>
        <v>-0.42605209067973415</v>
      </c>
      <c r="G97" s="21">
        <f t="shared" si="17"/>
        <v>4.3086652909175849E-2</v>
      </c>
      <c r="H97" s="21">
        <f t="shared" si="18"/>
        <v>-0.72426997550637284</v>
      </c>
      <c r="I97" s="21">
        <f t="shared" si="19"/>
        <v>1.5010433452016234</v>
      </c>
      <c r="J97" s="21">
        <f t="shared" si="20"/>
        <v>4.3086652909175849E-2</v>
      </c>
      <c r="K97" s="67" cm="1">
        <f t="array" ref="K97">-Lininterp(Powering!$A$55:$A$71,Powering!$G$55:$G$71,E97/0.514)</f>
        <v>-399.72104818879075</v>
      </c>
      <c r="L97" s="67" cm="1">
        <f t="array" ref="L97">OarForces(170,5.2,$B$34,$B$35,$B$33,E97,F97,G97, $L$40)</f>
        <v>5495.0464029813102</v>
      </c>
      <c r="M97" s="67"/>
      <c r="N97" s="4" cm="1">
        <f t="array" ref="N97">OarForces(170,5.2,$B$34,$B$35,$B$33,E97,F97,G97, $N$40)</f>
        <v>28574.241295502812</v>
      </c>
      <c r="O97" s="67" cm="1">
        <f t="array" ref="O97">$B$11*IF($B$24="Y",RudderForces($B$15,$B$16,$B$13,$B$14,$B$12,$B$23,E97,F97,G97,$O$40),0)</f>
        <v>-4273.0196204442927</v>
      </c>
      <c r="P97" s="67" cm="1">
        <f t="array" ref="P97">$B$11*IF($B$24="Y",RudderForces($B$15,$B$16,$B$13,$B$14,$B$12,$B$23,E97,F97,G97,$P$40),0)</f>
        <v>-1509.6073682747208</v>
      </c>
      <c r="Q97" s="67" cm="1">
        <f t="array" ref="Q97">$B$11*IF($B$24="Y",RudderForces($B$15,$B$16,$B$13,$B$14,$B$12,$B$23,E97,F97,G97,$Q$40),0)</f>
        <v>22644.110524120813</v>
      </c>
      <c r="R97" cm="1">
        <f t="array" ref="R97">ManAcceleration($B$3,$B$4,$B$5,$B$6,$B$7,$B$8,K97,E97,F97,G97,L97,M97,N97,O97,P97,Q97,$R$40)</f>
        <v>-2.2231843204865238E-4</v>
      </c>
      <c r="S97" cm="1">
        <f t="array" ref="S97">ManAcceleration($B$3,$B$4,$B$5,$B$6,$B$7,$B$8,K97,E97,F97,G97,L97,M97,N97,O97,P97,Q97,$S$40)</f>
        <v>-1.7153657152970647E-4</v>
      </c>
      <c r="T97" cm="1">
        <f t="array" ref="T97">ManAcceleration($B$3,$B$4,$B$5,$B$6,$B$7,$B$8,K97,E97,F97,G97,L97,M97,N97,O97,P97,Q97,$T$40)</f>
        <v>4.190425264039586E-6</v>
      </c>
    </row>
    <row r="98" spans="1:20" x14ac:dyDescent="0.2">
      <c r="A98">
        <f t="shared" si="2"/>
        <v>57</v>
      </c>
      <c r="B98" s="21">
        <f t="shared" si="12"/>
        <v>59.316404845672174</v>
      </c>
      <c r="C98" s="21">
        <f t="shared" si="13"/>
        <v>60.72729877070357</v>
      </c>
      <c r="D98" s="21">
        <f t="shared" si="14"/>
        <v>2.3650370122111668</v>
      </c>
      <c r="E98" s="21">
        <f t="shared" si="15"/>
        <v>1.6110435620549395</v>
      </c>
      <c r="F98" s="21">
        <f t="shared" si="16"/>
        <v>-0.42622362725126384</v>
      </c>
      <c r="G98" s="21">
        <f t="shared" si="17"/>
        <v>4.3090843334439889E-2</v>
      </c>
      <c r="H98" s="21">
        <f t="shared" si="18"/>
        <v>-0.78797561024354534</v>
      </c>
      <c r="I98" s="21">
        <f t="shared" si="19"/>
        <v>1.4684081098002708</v>
      </c>
      <c r="J98" s="21">
        <f t="shared" si="20"/>
        <v>4.3090843334439889E-2</v>
      </c>
      <c r="K98" s="67" cm="1">
        <f t="array" ref="K98">-Lininterp(Powering!$A$55:$A$71,Powering!$G$55:$G$71,E98/0.514)</f>
        <v>-399.59933533513617</v>
      </c>
      <c r="L98" s="67" cm="1">
        <f t="array" ref="L98">OarForces(170,5.2,$B$34,$B$35,$B$33,E98,F98,G98, $L$40)</f>
        <v>5495.1949750316207</v>
      </c>
      <c r="M98" s="67"/>
      <c r="N98" s="4" cm="1">
        <f t="array" ref="N98">OarForces(170,5.2,$B$34,$B$35,$B$33,E98,F98,G98, $N$40)</f>
        <v>28575.013870164428</v>
      </c>
      <c r="O98" s="67" cm="1">
        <f t="array" ref="O98">$B$11*IF($B$24="Y",RudderForces($B$15,$B$16,$B$13,$B$14,$B$12,$B$23,E98,F98,G98,$O$40),0)</f>
        <v>-4271.9746836286013</v>
      </c>
      <c r="P98" s="67" cm="1">
        <f t="array" ref="P98">$B$11*IF($B$24="Y",RudderForces($B$15,$B$16,$B$13,$B$14,$B$12,$B$23,E98,F98,G98,$P$40),0)</f>
        <v>-1509.2141751008278</v>
      </c>
      <c r="Q98" s="67" cm="1">
        <f t="array" ref="Q98">$B$11*IF($B$24="Y",RudderForces($B$15,$B$16,$B$13,$B$14,$B$12,$B$23,E98,F98,G98,$Q$40),0)</f>
        <v>22638.212626512417</v>
      </c>
      <c r="R98" cm="1">
        <f t="array" ref="R98">ManAcceleration($B$3,$B$4,$B$5,$B$6,$B$7,$B$8,K98,E98,F98,G98,L98,M98,N98,O98,P98,Q98,$R$40)</f>
        <v>-2.0361938158162187E-4</v>
      </c>
      <c r="S98" cm="1">
        <f t="array" ref="S98">ManAcceleration($B$3,$B$4,$B$5,$B$6,$B$7,$B$8,K98,E98,F98,G98,L98,M98,N98,O98,P98,Q98,$S$40)</f>
        <v>-1.618871964360171E-4</v>
      </c>
      <c r="T98" cm="1">
        <f t="array" ref="T98">ManAcceleration($B$3,$B$4,$B$5,$B$6,$B$7,$B$8,K98,E98,F98,G98,L98,M98,N98,O98,P98,Q98,$T$40)</f>
        <v>3.9904215751630826E-6</v>
      </c>
    </row>
    <row r="99" spans="1:20" x14ac:dyDescent="0.2">
      <c r="A99">
        <f t="shared" si="2"/>
        <v>58</v>
      </c>
      <c r="B99" s="21">
        <f t="shared" si="12"/>
        <v>58.466164026064298</v>
      </c>
      <c r="C99" s="21">
        <f t="shared" si="13"/>
        <v>62.160372556841345</v>
      </c>
      <c r="D99" s="21">
        <f t="shared" si="14"/>
        <v>2.4081318459671817</v>
      </c>
      <c r="E99" s="21">
        <f t="shared" si="15"/>
        <v>1.6108399426733579</v>
      </c>
      <c r="F99" s="21">
        <f t="shared" si="16"/>
        <v>-0.42638551444769984</v>
      </c>
      <c r="G99" s="21">
        <f t="shared" si="17"/>
        <v>4.3094833756015055E-2</v>
      </c>
      <c r="H99" s="21">
        <f t="shared" si="18"/>
        <v>-0.85024081960787656</v>
      </c>
      <c r="I99" s="21">
        <f t="shared" si="19"/>
        <v>1.4330737861377771</v>
      </c>
      <c r="J99" s="21">
        <f t="shared" si="20"/>
        <v>4.3094833756015055E-2</v>
      </c>
      <c r="K99" s="67" cm="1">
        <f t="array" ref="K99">-Lininterp(Powering!$A$55:$A$71,Powering!$G$55:$G$71,E99/0.514)</f>
        <v>-399.48785966592004</v>
      </c>
      <c r="L99" s="67" cm="1">
        <f t="array" ref="L99">OarForces(170,5.2,$B$34,$B$35,$B$33,E99,F99,G99, $L$40)</f>
        <v>5495.3304634447468</v>
      </c>
      <c r="M99" s="67"/>
      <c r="N99" s="4" cm="1">
        <f t="array" ref="N99">OarForces(170,5.2,$B$34,$B$35,$B$33,E99,F99,G99, $N$40)</f>
        <v>28575.718409912683</v>
      </c>
      <c r="O99" s="67" cm="1">
        <f t="array" ref="O99">$B$11*IF($B$24="Y",RudderForces($B$15,$B$16,$B$13,$B$14,$B$12,$B$23,E99,F99,G99,$O$40),0)</f>
        <v>-4271.0193166143199</v>
      </c>
      <c r="P99" s="67" cm="1">
        <f t="array" ref="P99">$B$11*IF($B$24="Y",RudderForces($B$15,$B$16,$B$13,$B$14,$B$12,$B$23,E99,F99,G99,$P$40),0)</f>
        <v>-1508.8541431505519</v>
      </c>
      <c r="Q99" s="67" cm="1">
        <f t="array" ref="Q99">$B$11*IF($B$24="Y",RudderForces($B$15,$B$16,$B$13,$B$14,$B$12,$B$23,E99,F99,G99,$Q$40),0)</f>
        <v>22632.812147258279</v>
      </c>
      <c r="R99" cm="1">
        <f t="array" ref="R99">ManAcceleration($B$3,$B$4,$B$5,$B$6,$B$7,$B$8,K99,E99,F99,G99,L99,M99,N99,O99,P99,Q99,$R$40)</f>
        <v>-1.8679724405867731E-4</v>
      </c>
      <c r="S99" cm="1">
        <f t="array" ref="S99">ManAcceleration($B$3,$B$4,$B$5,$B$6,$B$7,$B$8,K99,E99,F99,G99,L99,M99,N99,O99,P99,Q99,$S$40)</f>
        <v>-1.5283673418559272E-4</v>
      </c>
      <c r="T99" cm="1">
        <f t="array" ref="T99">ManAcceleration($B$3,$B$4,$B$5,$B$6,$B$7,$B$8,K99,E99,F99,G99,L99,M99,N99,O99,P99,Q99,$T$40)</f>
        <v>3.7987199228954898E-6</v>
      </c>
    </row>
    <row r="100" spans="1:20" x14ac:dyDescent="0.2">
      <c r="A100">
        <f t="shared" si="2"/>
        <v>59</v>
      </c>
      <c r="B100" s="21">
        <f t="shared" si="12"/>
        <v>57.555214720661851</v>
      </c>
      <c r="C100" s="21">
        <f t="shared" si="13"/>
        <v>63.555474661669898</v>
      </c>
      <c r="D100" s="21">
        <f t="shared" si="14"/>
        <v>2.4512304784431196</v>
      </c>
      <c r="E100" s="21">
        <f t="shared" si="15"/>
        <v>1.6106531454292994</v>
      </c>
      <c r="F100" s="21">
        <f t="shared" si="16"/>
        <v>-0.42653835118188543</v>
      </c>
      <c r="G100" s="21">
        <f t="shared" si="17"/>
        <v>4.3098632475937954E-2</v>
      </c>
      <c r="H100" s="21">
        <f t="shared" si="18"/>
        <v>-0.9109493054024449</v>
      </c>
      <c r="I100" s="21">
        <f t="shared" si="19"/>
        <v>1.3951021048285535</v>
      </c>
      <c r="J100" s="21">
        <f t="shared" si="20"/>
        <v>4.3098632475937954E-2</v>
      </c>
      <c r="K100" s="67" cm="1">
        <f t="array" ref="K100">-Lininterp(Powering!$A$55:$A$71,Powering!$G$55:$G$71,E100/0.514)</f>
        <v>-399.38559362607947</v>
      </c>
      <c r="L100" s="67" cm="1">
        <f t="array" ref="L100">OarForces(170,5.2,$B$34,$B$35,$B$33,E100,F100,G100, $L$40)</f>
        <v>5495.454226846723</v>
      </c>
      <c r="M100" s="67"/>
      <c r="N100" s="4" cm="1">
        <f t="array" ref="N100">OarForces(170,5.2,$B$34,$B$35,$B$33,E100,F100,G100, $N$40)</f>
        <v>28576.36197960296</v>
      </c>
      <c r="O100" s="67" cm="1">
        <f t="array" ref="O100">$B$11*IF($B$24="Y",RudderForces($B$15,$B$16,$B$13,$B$14,$B$12,$B$23,E100,F100,G100,$O$40),0)</f>
        <v>-4270.1443914137108</v>
      </c>
      <c r="P100" s="67" cm="1">
        <f t="array" ref="P100">$B$11*IF($B$24="Y",RudderForces($B$15,$B$16,$B$13,$B$14,$B$12,$B$23,E100,F100,G100,$P$40),0)</f>
        <v>-1508.5239339318919</v>
      </c>
      <c r="Q100" s="67" cm="1">
        <f t="array" ref="Q100">$B$11*IF($B$24="Y",RudderForces($B$15,$B$16,$B$13,$B$14,$B$12,$B$23,E100,F100,G100,$Q$40),0)</f>
        <v>22627.859008978379</v>
      </c>
      <c r="R100" cm="1">
        <f t="array" ref="R100">ManAcceleration($B$3,$B$4,$B$5,$B$6,$B$7,$B$8,K100,E100,F100,G100,L100,M100,N100,O100,P100,Q100,$R$40)</f>
        <v>-1.7163998302522319E-4</v>
      </c>
      <c r="S100" cm="1">
        <f t="array" ref="S100">ManAcceleration($B$3,$B$4,$B$5,$B$6,$B$7,$B$8,K100,E100,F100,G100,L100,M100,N100,O100,P100,Q100,$S$40)</f>
        <v>-1.4434145171106193E-4</v>
      </c>
      <c r="T100" cm="1">
        <f t="array" ref="T100">ManAcceleration($B$3,$B$4,$B$5,$B$6,$B$7,$B$8,K100,E100,F100,G100,L100,M100,N100,O100,P100,Q100,$T$40)</f>
        <v>3.6151402982459739E-6</v>
      </c>
    </row>
    <row r="101" spans="1:20" x14ac:dyDescent="0.2">
      <c r="A101">
        <f t="shared" si="2"/>
        <v>60</v>
      </c>
      <c r="B101" s="21">
        <f t="shared" si="12"/>
        <v>56.585227200599654</v>
      </c>
      <c r="C101" s="21">
        <f t="shared" si="13"/>
        <v>64.910034741733213</v>
      </c>
      <c r="D101" s="21">
        <f t="shared" si="14"/>
        <v>2.4943327260593557</v>
      </c>
      <c r="E101" s="21">
        <f t="shared" si="15"/>
        <v>1.6104815054462742</v>
      </c>
      <c r="F101" s="21">
        <f t="shared" si="16"/>
        <v>-0.42668269263359648</v>
      </c>
      <c r="G101" s="21">
        <f t="shared" si="17"/>
        <v>4.3102247616236197E-2</v>
      </c>
      <c r="H101" s="21">
        <f t="shared" si="18"/>
        <v>-0.96998752006219502</v>
      </c>
      <c r="I101" s="21">
        <f t="shared" si="19"/>
        <v>1.3545600800633195</v>
      </c>
      <c r="J101" s="21">
        <f t="shared" si="20"/>
        <v>4.3102247616236197E-2</v>
      </c>
      <c r="K101" s="67" cm="1">
        <f t="array" ref="K101">-Lininterp(Powering!$A$55:$A$71,Powering!$G$55:$G$71,E101/0.514)</f>
        <v>-399.29162574432206</v>
      </c>
      <c r="L101" s="67" cm="1">
        <f t="array" ref="L101">OarForces(170,5.2,$B$34,$B$35,$B$33,E101,F101,G101, $L$40)</f>
        <v>5495.5674674585634</v>
      </c>
      <c r="M101" s="67"/>
      <c r="N101" s="4" cm="1">
        <f t="array" ref="N101">OarForces(170,5.2,$B$34,$B$35,$B$33,E101,F101,G101, $N$40)</f>
        <v>28576.950830784532</v>
      </c>
      <c r="O101" s="67" cm="1">
        <f t="array" ref="O101">$B$11*IF($B$24="Y",RudderForces($B$15,$B$16,$B$13,$B$14,$B$12,$B$23,E101,F101,G101,$O$40),0)</f>
        <v>-4269.3418217312783</v>
      </c>
      <c r="P101" s="67" cm="1">
        <f t="array" ref="P101">$B$11*IF($B$24="Y",RudderForces($B$15,$B$16,$B$13,$B$14,$B$12,$B$23,E101,F101,G101,$P$40),0)</f>
        <v>-1508.2205874052868</v>
      </c>
      <c r="Q101" s="67" cm="1">
        <f t="array" ref="Q101">$B$11*IF($B$24="Y",RudderForces($B$15,$B$16,$B$13,$B$14,$B$12,$B$23,E101,F101,G101,$Q$40),0)</f>
        <v>22623.308811079303</v>
      </c>
      <c r="R101" cm="1">
        <f t="array" ref="R101">ManAcceleration($B$3,$B$4,$B$5,$B$6,$B$7,$B$8,K101,E101,F101,G101,L101,M101,N101,O101,P101,Q101,$R$40)</f>
        <v>-1.5796107447538222E-4</v>
      </c>
      <c r="S101" cm="1">
        <f t="array" ref="S101">ManAcceleration($B$3,$B$4,$B$5,$B$6,$B$7,$B$8,K101,E101,F101,G101,L101,M101,N101,O101,P101,Q101,$S$40)</f>
        <v>-1.3636150950280932E-4</v>
      </c>
      <c r="T101" cm="1">
        <f t="array" ref="T101">ManAcceleration($B$3,$B$4,$B$5,$B$6,$B$7,$B$8,K101,E101,F101,G101,L101,M101,N101,O101,P101,Q101,$T$40)</f>
        <v>3.4394818070294768E-6</v>
      </c>
    </row>
    <row r="102" spans="1:20" x14ac:dyDescent="0.2">
      <c r="A102">
        <f t="shared" si="2"/>
        <v>61</v>
      </c>
      <c r="B102" s="21">
        <f t="shared" si="12"/>
        <v>55.5579822945598</v>
      </c>
      <c r="C102" s="21">
        <f t="shared" si="13"/>
        <v>66.221554595015249</v>
      </c>
      <c r="D102" s="21">
        <f t="shared" si="14"/>
        <v>2.5374384131573988</v>
      </c>
      <c r="E102" s="21">
        <f t="shared" si="15"/>
        <v>1.6103235443717989</v>
      </c>
      <c r="F102" s="21">
        <f t="shared" si="16"/>
        <v>-0.42681905414309929</v>
      </c>
      <c r="G102" s="21">
        <f t="shared" si="17"/>
        <v>4.310568709804323E-2</v>
      </c>
      <c r="H102" s="21">
        <f t="shared" si="18"/>
        <v>-1.0272449060398576</v>
      </c>
      <c r="I102" s="21">
        <f t="shared" si="19"/>
        <v>1.3115198532820338</v>
      </c>
      <c r="J102" s="21">
        <f t="shared" si="20"/>
        <v>4.310568709804323E-2</v>
      </c>
      <c r="K102" s="67" cm="1">
        <f t="array" ref="K102">-Lininterp(Powering!$A$55:$A$71,Powering!$G$55:$G$71,E102/0.514)</f>
        <v>-399.2051466658059</v>
      </c>
      <c r="L102" s="67" cm="1">
        <f t="array" ref="L102">OarForces(170,5.2,$B$34,$B$35,$B$33,E102,F102,G102, $L$40)</f>
        <v>5495.6712500789881</v>
      </c>
      <c r="M102" s="67"/>
      <c r="N102" s="4" cm="1">
        <f t="array" ref="N102">OarForces(170,5.2,$B$34,$B$35,$B$33,E102,F102,G102, $N$40)</f>
        <v>28577.490500410739</v>
      </c>
      <c r="O102" s="67" cm="1">
        <f t="array" ref="O102">$B$11*IF($B$24="Y",RudderForces($B$15,$B$16,$B$13,$B$14,$B$12,$B$23,E102,F102,G102,$O$40),0)</f>
        <v>-4268.6044366821607</v>
      </c>
      <c r="P102" s="67" cm="1">
        <f t="array" ref="P102">$B$11*IF($B$24="Y",RudderForces($B$15,$B$16,$B$13,$B$14,$B$12,$B$23,E102,F102,G102,$P$40),0)</f>
        <v>-1507.9414762319839</v>
      </c>
      <c r="Q102" s="67" cm="1">
        <f t="array" ref="Q102">$B$11*IF($B$24="Y",RudderForces($B$15,$B$16,$B$13,$B$14,$B$12,$B$23,E102,F102,G102,$Q$40),0)</f>
        <v>22619.122143479759</v>
      </c>
      <c r="R102" cm="1">
        <f t="array" ref="R102">ManAcceleration($B$3,$B$4,$B$5,$B$6,$B$7,$B$8,K102,E102,F102,G102,L102,M102,N102,O102,P102,Q102,$R$40)</f>
        <v>-1.4559634157033544E-4</v>
      </c>
      <c r="S102" cm="1">
        <f t="array" ref="S102">ManAcceleration($B$3,$B$4,$B$5,$B$6,$B$7,$B$8,K102,E102,F102,G102,L102,M102,N102,O102,P102,Q102,$S$40)</f>
        <v>-1.2886055039507114E-4</v>
      </c>
      <c r="T102" cm="1">
        <f t="array" ref="T102">ManAcceleration($B$3,$B$4,$B$5,$B$6,$B$7,$B$8,K102,E102,F102,G102,L102,M102,N102,O102,P102,Q102,$T$40)</f>
        <v>3.2715273447436306E-6</v>
      </c>
    </row>
    <row r="103" spans="1:20" x14ac:dyDescent="0.2">
      <c r="A103">
        <f t="shared" si="2"/>
        <v>62</v>
      </c>
      <c r="B103" s="21">
        <f t="shared" si="12"/>
        <v>54.475368168969894</v>
      </c>
      <c r="C103" s="21">
        <f t="shared" si="13"/>
        <v>67.487613124964469</v>
      </c>
      <c r="D103" s="21">
        <f t="shared" si="14"/>
        <v>2.5805473717827869</v>
      </c>
      <c r="E103" s="21">
        <f t="shared" si="15"/>
        <v>1.6101779480302285</v>
      </c>
      <c r="F103" s="21">
        <f t="shared" si="16"/>
        <v>-0.42694791469349436</v>
      </c>
      <c r="G103" s="21">
        <f t="shared" si="17"/>
        <v>4.3108958625387973E-2</v>
      </c>
      <c r="H103" s="21">
        <f t="shared" si="18"/>
        <v>-1.0826141255899053</v>
      </c>
      <c r="I103" s="21">
        <f t="shared" si="19"/>
        <v>1.2660585299492142</v>
      </c>
      <c r="J103" s="21">
        <f t="shared" si="20"/>
        <v>4.3108958625387973E-2</v>
      </c>
      <c r="K103" s="67" cm="1">
        <f t="array" ref="K103">-Lininterp(Powering!$A$55:$A$71,Powering!$G$55:$G$71,E103/0.514)</f>
        <v>-399.12543691771651</v>
      </c>
      <c r="L103" s="67" cm="1">
        <f t="array" ref="L103">OarForces(170,5.2,$B$34,$B$35,$B$33,E103,F103,G103, $L$40)</f>
        <v>5495.7665187039684</v>
      </c>
      <c r="M103" s="67"/>
      <c r="N103" s="4" cm="1">
        <f t="array" ref="N103">OarForces(170,5.2,$B$34,$B$35,$B$33,E103,F103,G103, $N$40)</f>
        <v>28577.985897260638</v>
      </c>
      <c r="O103" s="67" cm="1">
        <f t="array" ref="O103">$B$11*IF($B$24="Y",RudderForces($B$15,$B$16,$B$13,$B$14,$B$12,$B$23,E103,F103,G103,$O$40),0)</f>
        <v>-4267.9258703024161</v>
      </c>
      <c r="P103" s="67" cm="1">
        <f t="array" ref="P103">$B$11*IF($B$24="Y",RudderForces($B$15,$B$16,$B$13,$B$14,$B$12,$B$23,E103,F103,G103,$P$40),0)</f>
        <v>-1507.6842657406789</v>
      </c>
      <c r="Q103" s="67" cm="1">
        <f t="array" ref="Q103">$B$11*IF($B$24="Y",RudderForces($B$15,$B$16,$B$13,$B$14,$B$12,$B$23,E103,F103,G103,$Q$40),0)</f>
        <v>22615.263986110185</v>
      </c>
      <c r="R103" cm="1">
        <f t="array" ref="R103">ManAcceleration($B$3,$B$4,$B$5,$B$6,$B$7,$B$8,K103,E103,F103,G103,L103,M103,N103,O103,P103,Q103,$R$40)</f>
        <v>-1.3440118853867076E-4</v>
      </c>
      <c r="S103" cm="1">
        <f t="array" ref="S103">ManAcceleration($B$3,$B$4,$B$5,$B$6,$B$7,$B$8,K103,E103,F103,G103,L103,M103,N103,O103,P103,Q103,$S$40)</f>
        <v>-1.2180533688801488E-4</v>
      </c>
      <c r="T103" cm="1">
        <f t="array" ref="T103">ManAcceleration($B$3,$B$4,$B$5,$B$6,$B$7,$B$8,K103,E103,F103,G103,L103,M103,N103,O103,P103,Q103,$T$40)</f>
        <v>3.1110476151471042E-6</v>
      </c>
    </row>
    <row r="104" spans="1:20" x14ac:dyDescent="0.2">
      <c r="A104">
        <f t="shared" si="2"/>
        <v>63</v>
      </c>
      <c r="B104" s="21">
        <f t="shared" si="12"/>
        <v>53.339376887885926</v>
      </c>
      <c r="C104" s="21">
        <f t="shared" si="13"/>
        <v>68.705871134498821</v>
      </c>
      <c r="D104" s="21">
        <f t="shared" si="14"/>
        <v>2.6236594414557901</v>
      </c>
      <c r="E104" s="21">
        <f t="shared" si="15"/>
        <v>1.6100435468416898</v>
      </c>
      <c r="F104" s="21">
        <f t="shared" si="16"/>
        <v>-0.42706972003038235</v>
      </c>
      <c r="G104" s="21">
        <f t="shared" si="17"/>
        <v>4.3112069673003121E-2</v>
      </c>
      <c r="H104" s="21">
        <f t="shared" si="18"/>
        <v>-1.1359912810839667</v>
      </c>
      <c r="I104" s="21">
        <f t="shared" si="19"/>
        <v>1.218258009534354</v>
      </c>
      <c r="J104" s="21">
        <f t="shared" si="20"/>
        <v>4.3112069673003121E-2</v>
      </c>
      <c r="K104" s="67" cm="1">
        <f t="array" ref="K104">-Lininterp(Powering!$A$55:$A$71,Powering!$G$55:$G$71,E104/0.514)</f>
        <v>-399.0518561892053</v>
      </c>
      <c r="L104" s="67" cm="1">
        <f t="array" ref="L104">OarForces(170,5.2,$B$34,$B$35,$B$33,E104,F104,G104, $L$40)</f>
        <v>5495.8541110813785</v>
      </c>
      <c r="M104" s="67"/>
      <c r="N104" s="4" cm="1">
        <f t="array" ref="N104">OarForces(170,5.2,$B$34,$B$35,$B$33,E104,F104,G104, $N$40)</f>
        <v>28578.44137762317</v>
      </c>
      <c r="O104" s="67" cm="1">
        <f t="array" ref="O104">$B$11*IF($B$24="Y",RudderForces($B$15,$B$16,$B$13,$B$14,$B$12,$B$23,E104,F104,G104,$O$40),0)</f>
        <v>-4267.3004648371452</v>
      </c>
      <c r="P104" s="67" cm="1">
        <f t="array" ref="P104">$B$11*IF($B$24="Y",RudderForces($B$15,$B$16,$B$13,$B$14,$B$12,$B$23,E104,F104,G104,$P$40),0)</f>
        <v>-1507.4468788825272</v>
      </c>
      <c r="Q104" s="67" cm="1">
        <f t="array" ref="Q104">$B$11*IF($B$24="Y",RudderForces($B$15,$B$16,$B$13,$B$14,$B$12,$B$23,E104,F104,G104,$Q$40),0)</f>
        <v>22611.703183237907</v>
      </c>
      <c r="R104" cm="1">
        <f t="array" ref="R104">ManAcceleration($B$3,$B$4,$B$5,$B$6,$B$7,$B$8,K104,E104,F104,G104,L104,M104,N104,O104,P104,Q104,$R$40)</f>
        <v>-1.2424818278702502E-4</v>
      </c>
      <c r="S104" cm="1">
        <f t="array" ref="S104">ManAcceleration($B$3,$B$4,$B$5,$B$6,$B$7,$B$8,K104,E104,F104,G104,L104,M104,N104,O104,P104,Q104,$S$40)</f>
        <v>-1.1516543088978659E-4</v>
      </c>
      <c r="T104" cm="1">
        <f t="array" ref="T104">ManAcceleration($B$3,$B$4,$B$5,$B$6,$B$7,$B$8,K104,E104,F104,G104,L104,M104,N104,O104,P104,Q104,$T$40)</f>
        <v>2.9578045710767391E-6</v>
      </c>
    </row>
    <row r="105" spans="1:20" x14ac:dyDescent="0.2">
      <c r="A105">
        <f t="shared" si="2"/>
        <v>64</v>
      </c>
      <c r="B105" s="21">
        <f t="shared" si="12"/>
        <v>52.152100761953726</v>
      </c>
      <c r="C105" s="21">
        <f t="shared" si="13"/>
        <v>69.874075943319752</v>
      </c>
      <c r="D105" s="21">
        <f t="shared" si="14"/>
        <v>2.6667744689333643</v>
      </c>
      <c r="E105" s="21">
        <f t="shared" si="15"/>
        <v>1.6099192986589028</v>
      </c>
      <c r="F105" s="21">
        <f t="shared" si="16"/>
        <v>-0.42718488546127215</v>
      </c>
      <c r="G105" s="21">
        <f t="shared" si="17"/>
        <v>4.3115027477574196E-2</v>
      </c>
      <c r="H105" s="21">
        <f t="shared" si="18"/>
        <v>-1.1872761259322004</v>
      </c>
      <c r="I105" s="21">
        <f t="shared" si="19"/>
        <v>1.168204808820936</v>
      </c>
      <c r="J105" s="21">
        <f t="shared" si="20"/>
        <v>4.3115027477574196E-2</v>
      </c>
      <c r="K105" s="67" cm="1">
        <f t="array" ref="K105">-Lininterp(Powering!$A$55:$A$71,Powering!$G$55:$G$71,E105/0.514)</f>
        <v>-398.98383393504918</v>
      </c>
      <c r="L105" s="67" cm="1">
        <f t="array" ref="L105">OarForces(170,5.2,$B$34,$B$35,$B$33,E105,F105,G105, $L$40)</f>
        <v>5495.9347714609685</v>
      </c>
      <c r="M105" s="67"/>
      <c r="N105" s="4" cm="1">
        <f t="array" ref="N105">OarForces(170,5.2,$B$34,$B$35,$B$33,E105,F105,G105, $N$40)</f>
        <v>28578.860811597038</v>
      </c>
      <c r="O105" s="67" cm="1">
        <f t="array" ref="O105">$B$11*IF($B$24="Y",RudderForces($B$15,$B$16,$B$13,$B$14,$B$12,$B$23,E105,F105,G105,$O$40),0)</f>
        <v>-4266.7231860541851</v>
      </c>
      <c r="P105" s="67" cm="1">
        <f t="array" ref="P105">$B$11*IF($B$24="Y",RudderForces($B$15,$B$16,$B$13,$B$14,$B$12,$B$23,E105,F105,G105,$P$40),0)</f>
        <v>-1507.2274655396998</v>
      </c>
      <c r="Q105" s="67" cm="1">
        <f t="array" ref="Q105">$B$11*IF($B$24="Y",RudderForces($B$15,$B$16,$B$13,$B$14,$B$12,$B$23,E105,F105,G105,$Q$40),0)</f>
        <v>22608.411983095495</v>
      </c>
      <c r="R105" cm="1">
        <f t="array" ref="R105">ManAcceleration($B$3,$B$4,$B$5,$B$6,$B$7,$B$8,K105,E105,F105,G105,L105,M105,N105,O105,P105,Q105,$R$40)</f>
        <v>-1.1502494085432352E-4</v>
      </c>
      <c r="S105" cm="1">
        <f t="array" ref="S105">ManAcceleration($B$3,$B$4,$B$5,$B$6,$B$7,$B$8,K105,E105,F105,G105,L105,M105,N105,O105,P105,Q105,$S$40)</f>
        <v>-1.0891291056938185E-4</v>
      </c>
      <c r="T105" cm="1">
        <f t="array" ref="T105">ManAcceleration($B$3,$B$4,$B$5,$B$6,$B$7,$B$8,K105,E105,F105,G105,L105,M105,N105,O105,P105,Q105,$T$40)</f>
        <v>2.8115543481271374E-6</v>
      </c>
    </row>
    <row r="106" spans="1:20" x14ac:dyDescent="0.2">
      <c r="A106">
        <f t="shared" si="2"/>
        <v>65</v>
      </c>
      <c r="B106" s="21">
        <f t="shared" si="12"/>
        <v>50.915728495817604</v>
      </c>
      <c r="C106" s="21">
        <f t="shared" si="13"/>
        <v>70.990065822009228</v>
      </c>
      <c r="D106" s="21">
        <f t="shared" si="14"/>
        <v>2.7098923079652866</v>
      </c>
      <c r="E106" s="21">
        <f t="shared" si="15"/>
        <v>1.6098042737180485</v>
      </c>
      <c r="F106" s="21">
        <f t="shared" si="16"/>
        <v>-0.4272937983718415</v>
      </c>
      <c r="G106" s="21">
        <f t="shared" si="17"/>
        <v>4.3117839031922324E-2</v>
      </c>
      <c r="H106" s="21">
        <f t="shared" si="18"/>
        <v>-1.2363722661361205</v>
      </c>
      <c r="I106" s="21">
        <f t="shared" si="19"/>
        <v>1.1159898786894817</v>
      </c>
      <c r="J106" s="21">
        <f t="shared" si="20"/>
        <v>4.3117839031922324E-2</v>
      </c>
      <c r="K106" s="67" cm="1">
        <f t="array" ref="K106">-Lininterp(Powering!$A$55:$A$71,Powering!$G$55:$G$71,E106/0.514)</f>
        <v>-398.92086113669035</v>
      </c>
      <c r="L106" s="67" cm="1">
        <f t="array" ref="L106">OarForces(170,5.2,$B$34,$B$35,$B$33,E106,F106,G106, $L$40)</f>
        <v>5496.009161766734</v>
      </c>
      <c r="M106" s="67"/>
      <c r="N106" s="4" cm="1">
        <f t="array" ref="N106">OarForces(170,5.2,$B$34,$B$35,$B$33,E106,F106,G106, $N$40)</f>
        <v>28579.247641187019</v>
      </c>
      <c r="O106" s="67" cm="1">
        <f t="array" ref="O106">$B$11*IF($B$24="Y",RudderForces($B$15,$B$16,$B$13,$B$14,$B$12,$B$23,E106,F106,G106,$O$40),0)</f>
        <v>-4266.1895490581237</v>
      </c>
      <c r="P106" s="67" cm="1">
        <f t="array" ref="P106">$B$11*IF($B$24="Y",RudderForces($B$15,$B$16,$B$13,$B$14,$B$12,$B$23,E106,F106,G106,$P$40),0)</f>
        <v>-1507.0243756350283</v>
      </c>
      <c r="Q106" s="67" cm="1">
        <f t="array" ref="Q106">$B$11*IF($B$24="Y",RudderForces($B$15,$B$16,$B$13,$B$14,$B$12,$B$23,E106,F106,G106,$Q$40),0)</f>
        <v>22605.365634525424</v>
      </c>
      <c r="R106" cm="1">
        <f t="array" ref="R106">ManAcceleration($B$3,$B$4,$B$5,$B$6,$B$7,$B$8,K106,E106,F106,G106,L106,M106,N106,O106,P106,Q106,$R$40)</f>
        <v>-1.0663227957495255E-4</v>
      </c>
      <c r="S106" cm="1">
        <f t="array" ref="S106">ManAcceleration($B$3,$B$4,$B$5,$B$6,$B$7,$B$8,K106,E106,F106,G106,L106,M106,N106,O106,P106,Q106,$S$40)</f>
        <v>-1.0302211970615901E-4</v>
      </c>
      <c r="T106" cm="1">
        <f t="array" ref="T106">ManAcceleration($B$3,$B$4,$B$5,$B$6,$B$7,$B$8,K106,E106,F106,G106,L106,M106,N106,O106,P106,Q106,$T$40)</f>
        <v>2.6720497541346899E-6</v>
      </c>
    </row>
    <row r="107" spans="1:20" x14ac:dyDescent="0.2">
      <c r="A107">
        <f t="shared" si="2"/>
        <v>66</v>
      </c>
      <c r="B107" s="21">
        <f t="shared" si="12"/>
        <v>49.63254114335956</v>
      </c>
      <c r="C107" s="21">
        <f t="shared" si="13"/>
        <v>72.05177423655185</v>
      </c>
      <c r="D107" s="21">
        <f t="shared" si="14"/>
        <v>2.7530128190469632</v>
      </c>
      <c r="E107" s="21">
        <f t="shared" si="15"/>
        <v>1.6096976414384736</v>
      </c>
      <c r="F107" s="21">
        <f t="shared" si="16"/>
        <v>-0.42739682049154765</v>
      </c>
      <c r="G107" s="21">
        <f t="shared" si="17"/>
        <v>4.3120511081676458E-2</v>
      </c>
      <c r="H107" s="21">
        <f t="shared" si="18"/>
        <v>-1.2831873524580406</v>
      </c>
      <c r="I107" s="21">
        <f t="shared" si="19"/>
        <v>1.0617084145426152</v>
      </c>
      <c r="J107" s="21">
        <f t="shared" si="20"/>
        <v>4.3120511081676458E-2</v>
      </c>
      <c r="K107" s="67" cm="1">
        <f t="array" ref="K107">-Lininterp(Powering!$A$55:$A$71,Powering!$G$55:$G$71,E107/0.514)</f>
        <v>-398.86248307545998</v>
      </c>
      <c r="L107" s="67" cm="1">
        <f t="array" ref="L107">OarForces(170,5.2,$B$34,$B$35,$B$33,E107,F107,G107, $L$40)</f>
        <v>5496.0778713898708</v>
      </c>
      <c r="M107" s="67"/>
      <c r="N107" s="4" cm="1">
        <f t="array" ref="N107">OarForces(170,5.2,$B$34,$B$35,$B$33,E107,F107,G107, $N$40)</f>
        <v>28579.604931227328</v>
      </c>
      <c r="O107" s="67" cm="1">
        <f t="array" ref="O107">$B$11*IF($B$24="Y",RudderForces($B$15,$B$16,$B$13,$B$14,$B$12,$B$23,E107,F107,G107,$O$40),0)</f>
        <v>-4265.695553276084</v>
      </c>
      <c r="P107" s="67" cm="1">
        <f t="array" ref="P107">$B$11*IF($B$24="Y",RudderForces($B$15,$B$16,$B$13,$B$14,$B$12,$B$23,E107,F107,G107,$P$40),0)</f>
        <v>-1506.8361355616796</v>
      </c>
      <c r="Q107" s="67" cm="1">
        <f t="array" ref="Q107">$B$11*IF($B$24="Y",RudderForces($B$15,$B$16,$B$13,$B$14,$B$12,$B$23,E107,F107,G107,$Q$40),0)</f>
        <v>22602.542033425194</v>
      </c>
      <c r="R107" cm="1">
        <f t="array" ref="R107">ManAcceleration($B$3,$B$4,$B$5,$B$6,$B$7,$B$8,K107,E107,F107,G107,L107,M107,N107,O107,P107,Q107,$R$40)</f>
        <v>-9.8982598790727121E-5</v>
      </c>
      <c r="S107" cm="1">
        <f t="array" ref="S107">ManAcceleration($B$3,$B$4,$B$5,$B$6,$B$7,$B$8,K107,E107,F107,G107,L107,M107,N107,O107,P107,Q107,$S$40)</f>
        <v>-9.7469445522484191E-5</v>
      </c>
      <c r="T107" cm="1">
        <f t="array" ref="T107">ManAcceleration($B$3,$B$4,$B$5,$B$6,$B$7,$B$8,K107,E107,F107,G107,L107,M107,N107,O107,P107,Q107,$T$40)</f>
        <v>2.539042370653211E-6</v>
      </c>
    </row>
    <row r="108" spans="1:20" x14ac:dyDescent="0.2">
      <c r="A108">
        <f t="shared" si="2"/>
        <v>67</v>
      </c>
      <c r="B108" s="21">
        <f t="shared" si="12"/>
        <v>48.304907880199835</v>
      </c>
      <c r="C108" s="21">
        <f t="shared" si="13"/>
        <v>73.057233897114699</v>
      </c>
      <c r="D108" s="21">
        <f t="shared" si="14"/>
        <v>2.7961358691710103</v>
      </c>
      <c r="E108" s="21">
        <f t="shared" si="15"/>
        <v>1.6095986588396829</v>
      </c>
      <c r="F108" s="21">
        <f t="shared" si="16"/>
        <v>-0.42749428993707012</v>
      </c>
      <c r="G108" s="21">
        <f t="shared" si="17"/>
        <v>4.3123050124047109E-2</v>
      </c>
      <c r="H108" s="21">
        <f t="shared" si="18"/>
        <v>-1.3276332631597239</v>
      </c>
      <c r="I108" s="21">
        <f t="shared" si="19"/>
        <v>1.0054596605628539</v>
      </c>
      <c r="J108" s="21">
        <f t="shared" si="20"/>
        <v>4.3123050124047109E-2</v>
      </c>
      <c r="K108" s="67" cm="1">
        <f t="array" ref="K108">-Lininterp(Powering!$A$55:$A$71,Powering!$G$55:$G$71,E108/0.514)</f>
        <v>-398.80829299121945</v>
      </c>
      <c r="L108" s="67" cm="1">
        <f t="array" ref="L108">OarForces(170,5.2,$B$34,$B$35,$B$33,E108,F108,G108, $L$40)</f>
        <v>5496.1414257754041</v>
      </c>
      <c r="M108" s="67"/>
      <c r="N108" s="4" cm="1">
        <f t="array" ref="N108">OarForces(170,5.2,$B$34,$B$35,$B$33,E108,F108,G108, $N$40)</f>
        <v>28579.935414032101</v>
      </c>
      <c r="O108" s="67" cm="1">
        <f t="array" ref="O108">$B$11*IF($B$24="Y",RudderForces($B$15,$B$16,$B$13,$B$14,$B$12,$B$23,E108,F108,G108,$O$40),0)</f>
        <v>-4265.2376254576484</v>
      </c>
      <c r="P108" s="67" cm="1">
        <f t="array" ref="P108">$B$11*IF($B$24="Y",RudderForces($B$15,$B$16,$B$13,$B$14,$B$12,$B$23,E108,F108,G108,$P$40),0)</f>
        <v>-1506.6614275137199</v>
      </c>
      <c r="Q108" s="67" cm="1">
        <f t="array" ref="Q108">$B$11*IF($B$24="Y",RudderForces($B$15,$B$16,$B$13,$B$14,$B$12,$B$23,E108,F108,G108,$Q$40),0)</f>
        <v>22599.9214127058</v>
      </c>
      <c r="R108" cm="1">
        <f t="array" ref="R108">ManAcceleration($B$3,$B$4,$B$5,$B$6,$B$7,$B$8,K108,E108,F108,G108,L108,M108,N108,O108,P108,Q108,$R$40)</f>
        <v>-9.1998466272696962E-5</v>
      </c>
      <c r="S108" cm="1">
        <f t="array" ref="S108">ManAcceleration($B$3,$B$4,$B$5,$B$6,$B$7,$B$8,K108,E108,F108,G108,L108,M108,N108,O108,P108,Q108,$S$40)</f>
        <v>-9.2233121504127678E-5</v>
      </c>
      <c r="T108" cm="1">
        <f t="array" ref="T108">ManAcceleration($B$3,$B$4,$B$5,$B$6,$B$7,$B$8,K108,E108,F108,G108,L108,M108,N108,O108,P108,Q108,$T$40)</f>
        <v>2.4122843160807422E-6</v>
      </c>
    </row>
    <row r="109" spans="1:20" x14ac:dyDescent="0.2">
      <c r="A109">
        <f t="shared" si="2"/>
        <v>68</v>
      </c>
      <c r="B109" s="21">
        <f t="shared" si="12"/>
        <v>46.935281602962803</v>
      </c>
      <c r="C109" s="21">
        <f t="shared" si="13"/>
        <v>74.00458060513111</v>
      </c>
      <c r="D109" s="21">
        <f t="shared" si="14"/>
        <v>2.8392613315793733</v>
      </c>
      <c r="E109" s="21">
        <f t="shared" si="15"/>
        <v>1.6095066603734103</v>
      </c>
      <c r="F109" s="21">
        <f t="shared" si="16"/>
        <v>-0.42758652305857425</v>
      </c>
      <c r="G109" s="21">
        <f t="shared" si="17"/>
        <v>4.3125462408363187E-2</v>
      </c>
      <c r="H109" s="21">
        <f t="shared" si="18"/>
        <v>-1.3696262772370316</v>
      </c>
      <c r="I109" s="21">
        <f t="shared" si="19"/>
        <v>0.94734670801640419</v>
      </c>
      <c r="J109" s="21">
        <f t="shared" si="20"/>
        <v>4.3125462408363187E-2</v>
      </c>
      <c r="K109" s="67" cm="1">
        <f t="array" ref="K109">-Lininterp(Powering!$A$55:$A$71,Powering!$G$55:$G$71,E109/0.514)</f>
        <v>-398.75792651571533</v>
      </c>
      <c r="L109" s="67" cm="1">
        <f t="array" ref="L109">OarForces(170,5.2,$B$34,$B$35,$B$33,E109,F109,G109, $L$40)</f>
        <v>5496.2002939535614</v>
      </c>
      <c r="M109" s="67"/>
      <c r="N109" s="4" cm="1">
        <f t="array" ref="N109">OarForces(170,5.2,$B$34,$B$35,$B$33,E109,F109,G109, $N$40)</f>
        <v>28580.241528558519</v>
      </c>
      <c r="O109" s="67" cm="1">
        <f t="array" ref="O109">$B$11*IF($B$24="Y",RudderForces($B$15,$B$16,$B$13,$B$14,$B$12,$B$23,E109,F109,G109,$O$40),0)</f>
        <v>-4264.8125696797397</v>
      </c>
      <c r="P109" s="67" cm="1">
        <f t="array" ref="P109">$B$11*IF($B$24="Y",RudderForces($B$15,$B$16,$B$13,$B$14,$B$12,$B$23,E109,F109,G109,$P$40),0)</f>
        <v>-1506.4990713522766</v>
      </c>
      <c r="Q109" s="67" cm="1">
        <f t="array" ref="Q109">$B$11*IF($B$24="Y",RudderForces($B$15,$B$16,$B$13,$B$14,$B$12,$B$23,E109,F109,G109,$Q$40),0)</f>
        <v>22597.486070284147</v>
      </c>
      <c r="R109" cm="1">
        <f t="array" ref="R109">ManAcceleration($B$3,$B$4,$B$5,$B$6,$B$7,$B$8,K109,E109,F109,G109,L109,M109,N109,O109,P109,Q109,$R$40)</f>
        <v>-8.5611379276090763E-5</v>
      </c>
      <c r="S109" cm="1">
        <f t="array" ref="S109">ManAcceleration($B$3,$B$4,$B$5,$B$6,$B$7,$B$8,K109,E109,F109,G109,L109,M109,N109,O109,P109,Q109,$S$40)</f>
        <v>-8.7293052162865369E-5</v>
      </c>
      <c r="T109" cm="1">
        <f t="array" ref="T109">ManAcceleration($B$3,$B$4,$B$5,$B$6,$B$7,$B$8,K109,E109,F109,G109,L109,M109,N109,O109,P109,Q109,$T$40)</f>
        <v>2.2915297145421477E-6</v>
      </c>
    </row>
    <row r="110" spans="1:20" x14ac:dyDescent="0.2">
      <c r="A110">
        <f t="shared" si="2"/>
        <v>69</v>
      </c>
      <c r="B110" s="21">
        <f t="shared" si="12"/>
        <v>45.526194364905223</v>
      </c>
      <c r="C110" s="21">
        <f t="shared" si="13"/>
        <v>74.892056892969478</v>
      </c>
      <c r="D110" s="21">
        <f t="shared" si="14"/>
        <v>2.8823890855174512</v>
      </c>
      <c r="E110" s="21">
        <f t="shared" si="15"/>
        <v>1.6094210489941343</v>
      </c>
      <c r="F110" s="21">
        <f t="shared" si="16"/>
        <v>-0.42767381611073713</v>
      </c>
      <c r="G110" s="21">
        <f t="shared" si="17"/>
        <v>4.3127753938077731E-2</v>
      </c>
      <c r="H110" s="21">
        <f t="shared" si="18"/>
        <v>-1.4090872380575776</v>
      </c>
      <c r="I110" s="21">
        <f t="shared" si="19"/>
        <v>0.88747628783836707</v>
      </c>
      <c r="J110" s="21">
        <f t="shared" si="20"/>
        <v>4.3127753938077731E-2</v>
      </c>
      <c r="K110" s="67" cm="1">
        <f t="array" ref="K110">-Lininterp(Powering!$A$55:$A$71,Powering!$G$55:$G$71,E110/0.514)</f>
        <v>-398.71105678394815</v>
      </c>
      <c r="L110" s="67" cm="1">
        <f t="array" ref="L110">OarForces(170,5.2,$B$34,$B$35,$B$33,E110,F110,G110, $L$40)</f>
        <v>5496.2548951479384</v>
      </c>
      <c r="M110" s="67"/>
      <c r="N110" s="4" cm="1">
        <f t="array" ref="N110">OarForces(170,5.2,$B$34,$B$35,$B$33,E110,F110,G110, $N$40)</f>
        <v>28580.525454769282</v>
      </c>
      <c r="O110" s="67" cm="1">
        <f t="array" ref="O110">$B$11*IF($B$24="Y",RudderForces($B$15,$B$16,$B$13,$B$14,$B$12,$B$23,E110,F110,G110,$O$40),0)</f>
        <v>-4264.4175234762097</v>
      </c>
      <c r="P110" s="67" cm="1">
        <f t="array" ref="P110">$B$11*IF($B$24="Y",RudderForces($B$15,$B$16,$B$13,$B$14,$B$12,$B$23,E110,F110,G110,$P$40),0)</f>
        <v>-1506.3480086887416</v>
      </c>
      <c r="Q110" s="67" cm="1">
        <f t="array" ref="Q110">$B$11*IF($B$24="Y",RudderForces($B$15,$B$16,$B$13,$B$14,$B$12,$B$23,E110,F110,G110,$Q$40),0)</f>
        <v>22595.220130331123</v>
      </c>
      <c r="R110" cm="1">
        <f t="array" ref="R110">ManAcceleration($B$3,$B$4,$B$5,$B$6,$B$7,$B$8,K110,E110,F110,G110,L110,M110,N110,O110,P110,Q110,$R$40)</f>
        <v>-7.9760680415125429E-5</v>
      </c>
      <c r="S110" cm="1">
        <f t="array" ref="S110">ManAcceleration($B$3,$B$4,$B$5,$B$6,$B$7,$B$8,K110,E110,F110,G110,L110,M110,N110,O110,P110,Q110,$S$40)</f>
        <v>-8.2630657084925154E-5</v>
      </c>
      <c r="T110" cm="1">
        <f t="array" ref="T110">ManAcceleration($B$3,$B$4,$B$5,$B$6,$B$7,$B$8,K110,E110,F110,G110,L110,M110,N110,O110,P110,Q110,$T$40)</f>
        <v>2.1765359093710991E-6</v>
      </c>
    </row>
    <row r="111" spans="1:20" x14ac:dyDescent="0.2">
      <c r="A111">
        <f t="shared" si="2"/>
        <v>70</v>
      </c>
      <c r="B111" s="21">
        <f t="shared" si="12"/>
        <v>44.080252657611332</v>
      </c>
      <c r="C111" s="21">
        <f t="shared" si="13"/>
        <v>75.718015450725687</v>
      </c>
      <c r="D111" s="21">
        <f t="shared" si="14"/>
        <v>2.9255190159914384</v>
      </c>
      <c r="E111" s="21">
        <f t="shared" si="15"/>
        <v>1.6093412883137193</v>
      </c>
      <c r="F111" s="21">
        <f t="shared" si="16"/>
        <v>-0.42775644676782204</v>
      </c>
      <c r="G111" s="21">
        <f t="shared" si="17"/>
        <v>4.3129930473987103E-2</v>
      </c>
      <c r="H111" s="21">
        <f t="shared" si="18"/>
        <v>-1.4459417072938887</v>
      </c>
      <c r="I111" s="21">
        <f t="shared" si="19"/>
        <v>0.82595855775621618</v>
      </c>
      <c r="J111" s="21">
        <f t="shared" si="20"/>
        <v>4.3129930473987103E-2</v>
      </c>
      <c r="K111" s="67" cm="1">
        <f t="array" ref="K111">-Lininterp(Powering!$A$55:$A$71,Powering!$G$55:$G$71,E111/0.514)</f>
        <v>-398.66739013906727</v>
      </c>
      <c r="L111" s="67" cm="1">
        <f t="array" ref="L111">OarForces(170,5.2,$B$34,$B$35,$B$33,E111,F111,G111, $L$40)</f>
        <v>5496.3056045757457</v>
      </c>
      <c r="M111" s="67"/>
      <c r="N111" s="4" cm="1">
        <f t="array" ref="N111">OarForces(170,5.2,$B$34,$B$35,$B$33,E111,F111,G111, $N$40)</f>
        <v>28580.789143793878</v>
      </c>
      <c r="O111" s="67" cm="1">
        <f t="array" ref="O111">$B$11*IF($B$24="Y",RudderForces($B$15,$B$16,$B$13,$B$14,$B$12,$B$23,E111,F111,G111,$O$40),0)</f>
        <v>-4264.0499193243186</v>
      </c>
      <c r="P111" s="67" cm="1">
        <f t="array" ref="P111">$B$11*IF($B$24="Y",RudderForces($B$15,$B$16,$B$13,$B$14,$B$12,$B$23,E111,F111,G111,$P$40),0)</f>
        <v>-1506.2072889071173</v>
      </c>
      <c r="Q111" s="67" cm="1">
        <f t="array" ref="Q111">$B$11*IF($B$24="Y",RudderForces($B$15,$B$16,$B$13,$B$14,$B$12,$B$23,E111,F111,G111,$Q$40),0)</f>
        <v>22593.109333606761</v>
      </c>
      <c r="R111" cm="1">
        <f t="array" ref="R111">ManAcceleration($B$3,$B$4,$B$5,$B$6,$B$7,$B$8,K111,E111,F111,G111,L111,M111,N111,O111,P111,Q111,$R$40)</f>
        <v>-7.4392608396383323E-5</v>
      </c>
      <c r="S111" cm="1">
        <f t="array" ref="S111">ManAcceleration($B$3,$B$4,$B$5,$B$6,$B$7,$B$8,K111,E111,F111,G111,L111,M111,N111,O111,P111,Q111,$S$40)</f>
        <v>-7.8228731945911715E-5</v>
      </c>
      <c r="T111" cm="1">
        <f t="array" ref="T111">ManAcceleration($B$3,$B$4,$B$5,$B$6,$B$7,$B$8,K111,E111,F111,G111,L111,M111,N111,O111,P111,Q111,$T$40)</f>
        <v>2.0670644553852458E-6</v>
      </c>
    </row>
    <row r="112" spans="1:20" x14ac:dyDescent="0.2">
      <c r="A112">
        <f t="shared" si="2"/>
        <v>71</v>
      </c>
      <c r="B112" s="21">
        <f t="shared" si="12"/>
        <v>42.60013254857661</v>
      </c>
      <c r="C112" s="21">
        <f t="shared" si="13"/>
        <v>76.480922334954741</v>
      </c>
      <c r="D112" s="21">
        <f t="shared" si="14"/>
        <v>2.9686510135298807</v>
      </c>
      <c r="E112" s="21">
        <f t="shared" si="15"/>
        <v>1.6092668957053229</v>
      </c>
      <c r="F112" s="21">
        <f t="shared" si="16"/>
        <v>-0.42783467549976795</v>
      </c>
      <c r="G112" s="21">
        <f t="shared" si="17"/>
        <v>4.313199753844249E-2</v>
      </c>
      <c r="H112" s="21">
        <f t="shared" si="18"/>
        <v>-1.4801201090347249</v>
      </c>
      <c r="I112" s="21">
        <f t="shared" si="19"/>
        <v>0.76290688422904696</v>
      </c>
      <c r="J112" s="21">
        <f t="shared" si="20"/>
        <v>4.313199753844249E-2</v>
      </c>
      <c r="K112" s="67" cm="1">
        <f t="array" ref="K112">-Lininterp(Powering!$A$55:$A$71,Powering!$G$55:$G$71,E112/0.514)</f>
        <v>-398.62666235696076</v>
      </c>
      <c r="L112" s="67" cm="1">
        <f t="array" ref="L112">OarForces(170,5.2,$B$34,$B$35,$B$33,E112,F112,G112, $L$40)</f>
        <v>5496.3527585409247</v>
      </c>
      <c r="M112" s="67"/>
      <c r="N112" s="4" cm="1">
        <f t="array" ref="N112">OarForces(170,5.2,$B$34,$B$35,$B$33,E112,F112,G112, $N$40)</f>
        <v>28581.034344412808</v>
      </c>
      <c r="O112" s="67" cm="1">
        <f t="array" ref="O112">$B$11*IF($B$24="Y",RudderForces($B$15,$B$16,$B$13,$B$14,$B$12,$B$23,E112,F112,G112,$O$40),0)</f>
        <v>-4263.7074508178193</v>
      </c>
      <c r="P112" s="67" cm="1">
        <f t="array" ref="P112">$B$11*IF($B$24="Y",RudderForces($B$15,$B$16,$B$13,$B$14,$B$12,$B$23,E112,F112,G112,$P$40),0)</f>
        <v>-1506.076056883009</v>
      </c>
      <c r="Q112" s="67" cm="1">
        <f t="array" ref="Q112">$B$11*IF($B$24="Y",RudderForces($B$15,$B$16,$B$13,$B$14,$B$12,$B$23,E112,F112,G112,$Q$40),0)</f>
        <v>22591.140853245135</v>
      </c>
      <c r="R112" cm="1">
        <f t="array" ref="R112">ManAcceleration($B$3,$B$4,$B$5,$B$6,$B$7,$B$8,K112,E112,F112,G112,L112,M112,N112,O112,P112,Q112,$R$40)</f>
        <v>-6.9459466622361885E-5</v>
      </c>
      <c r="S112" cm="1">
        <f t="array" ref="S112">ManAcceleration($B$3,$B$4,$B$5,$B$6,$B$7,$B$8,K112,E112,F112,G112,L112,M112,N112,O112,P112,Q112,$S$40)</f>
        <v>-7.4071324466769915E-5</v>
      </c>
      <c r="T112" cm="1">
        <f t="array" ref="T112">ManAcceleration($B$3,$B$4,$B$5,$B$6,$B$7,$B$8,K112,E112,F112,G112,L112,M112,N112,O112,P112,Q112,$T$40)</f>
        <v>1.962881920112045E-6</v>
      </c>
    </row>
    <row r="113" spans="1:20" x14ac:dyDescent="0.2">
      <c r="A113">
        <f t="shared" si="2"/>
        <v>72</v>
      </c>
      <c r="B113" s="21">
        <f t="shared" si="12"/>
        <v>41.088574684625158</v>
      </c>
      <c r="C113" s="21">
        <f t="shared" si="13"/>
        <v>77.179359954454455</v>
      </c>
      <c r="D113" s="21">
        <f t="shared" si="14"/>
        <v>3.0117849739502431</v>
      </c>
      <c r="E113" s="21">
        <f t="shared" si="15"/>
        <v>1.6091974362387005</v>
      </c>
      <c r="F113" s="21">
        <f t="shared" si="16"/>
        <v>-0.42790874682423474</v>
      </c>
      <c r="G113" s="21">
        <f t="shared" si="17"/>
        <v>4.3133960420362605E-2</v>
      </c>
      <c r="H113" s="21">
        <f t="shared" si="18"/>
        <v>-1.51155786395145</v>
      </c>
      <c r="I113" s="21">
        <f t="shared" si="19"/>
        <v>0.69843761949971106</v>
      </c>
      <c r="J113" s="21">
        <f t="shared" si="20"/>
        <v>4.3133960420362605E-2</v>
      </c>
      <c r="K113" s="67" cm="1">
        <f t="array" ref="K113">-Lininterp(Powering!$A$55:$A$71,Powering!$G$55:$G$71,E113/0.514)</f>
        <v>-398.58863532601225</v>
      </c>
      <c r="L113" s="67" cm="1">
        <f t="array" ref="L113">OarForces(170,5.2,$B$34,$B$35,$B$33,E113,F113,G113, $L$40)</f>
        <v>5496.3966589081883</v>
      </c>
      <c r="M113" s="67"/>
      <c r="N113" s="4" cm="1">
        <f t="array" ref="N113">OarForces(170,5.2,$B$34,$B$35,$B$33,E113,F113,G113, $N$40)</f>
        <v>28581.262626322579</v>
      </c>
      <c r="O113" s="67" cm="1">
        <f t="array" ref="O113">$B$11*IF($B$24="Y",RudderForces($B$15,$B$16,$B$13,$B$14,$B$12,$B$23,E113,F113,G113,$O$40),0)</f>
        <v>-4263.3880429415694</v>
      </c>
      <c r="P113" s="67" cm="1">
        <f t="array" ref="P113">$B$11*IF($B$24="Y",RudderForces($B$15,$B$16,$B$13,$B$14,$B$12,$B$23,E113,F113,G113,$P$40),0)</f>
        <v>-1505.9535421875776</v>
      </c>
      <c r="Q113" s="67" cm="1">
        <f t="array" ref="Q113">$B$11*IF($B$24="Y",RudderForces($B$15,$B$16,$B$13,$B$14,$B$12,$B$23,E113,F113,G113,$Q$40),0)</f>
        <v>22589.303132813664</v>
      </c>
      <c r="R113" cm="1">
        <f t="array" ref="R113">ManAcceleration($B$3,$B$4,$B$5,$B$6,$B$7,$B$8,K113,E113,F113,G113,L113,M113,N113,O113,P113,Q113,$R$40)</f>
        <v>-6.4918894838970911E-5</v>
      </c>
      <c r="S113" cm="1">
        <f t="array" ref="S113">ManAcceleration($B$3,$B$4,$B$5,$B$6,$B$7,$B$8,K113,E113,F113,G113,L113,M113,N113,O113,P113,Q113,$S$40)</f>
        <v>-7.0143623539852966E-5</v>
      </c>
      <c r="T113" cm="1">
        <f t="array" ref="T113">ManAcceleration($B$3,$B$4,$B$5,$B$6,$B$7,$B$8,K113,E113,F113,G113,L113,M113,N113,O113,P113,Q113,$T$40)</f>
        <v>1.8637605203838419E-6</v>
      </c>
    </row>
    <row r="114" spans="1:20" x14ac:dyDescent="0.2">
      <c r="A114">
        <f t="shared" si="2"/>
        <v>73</v>
      </c>
      <c r="B114" s="21">
        <f t="shared" si="12"/>
        <v>39.548379171230984</v>
      </c>
      <c r="C114" s="21">
        <f t="shared" si="13"/>
        <v>77.812029828529987</v>
      </c>
      <c r="D114" s="21">
        <f t="shared" si="14"/>
        <v>3.0549207981311262</v>
      </c>
      <c r="E114" s="21">
        <f t="shared" si="15"/>
        <v>1.6091325173438615</v>
      </c>
      <c r="F114" s="21">
        <f t="shared" si="16"/>
        <v>-0.4279788904477746</v>
      </c>
      <c r="G114" s="21">
        <f t="shared" si="17"/>
        <v>4.3135824180882985E-2</v>
      </c>
      <c r="H114" s="21">
        <f t="shared" si="18"/>
        <v>-1.5401955133941745</v>
      </c>
      <c r="I114" s="21">
        <f t="shared" si="19"/>
        <v>0.63266987407553721</v>
      </c>
      <c r="J114" s="21">
        <f t="shared" si="20"/>
        <v>4.3135824180882985E-2</v>
      </c>
      <c r="K114" s="67" cm="1">
        <f t="array" ref="K114">-Lininterp(Powering!$A$55:$A$71,Powering!$G$55:$G$71,E114/0.514)</f>
        <v>-398.55309412560825</v>
      </c>
      <c r="L114" s="67" cm="1">
        <f t="array" ref="L114">OarForces(170,5.2,$B$34,$B$35,$B$33,E114,F114,G114, $L$40)</f>
        <v>5496.4375770349689</v>
      </c>
      <c r="M114" s="67"/>
      <c r="N114" s="4" cm="1">
        <f t="array" ref="N114">OarForces(170,5.2,$B$34,$B$35,$B$33,E114,F114,G114, $N$40)</f>
        <v>28581.475400581839</v>
      </c>
      <c r="O114" s="67" cm="1">
        <f t="array" ref="O114">$B$11*IF($B$24="Y",RudderForces($B$15,$B$16,$B$13,$B$14,$B$12,$B$23,E114,F114,G114,$O$40),0)</f>
        <v>-4263.0898259367232</v>
      </c>
      <c r="P114" s="67" cm="1">
        <f t="array" ref="P114">$B$11*IF($B$24="Y",RudderForces($B$15,$B$16,$B$13,$B$14,$B$12,$B$23,E114,F114,G114,$P$40),0)</f>
        <v>-1505.8390495915912</v>
      </c>
      <c r="Q114" s="67" cm="1">
        <f t="array" ref="Q114">$B$11*IF($B$24="Y",RudderForces($B$15,$B$16,$B$13,$B$14,$B$12,$B$23,E114,F114,G114,$Q$40),0)</f>
        <v>22587.585743873868</v>
      </c>
      <c r="R114" cm="1">
        <f t="array" ref="R114">ManAcceleration($B$3,$B$4,$B$5,$B$6,$B$7,$B$8,K114,E114,F114,G114,L114,M114,N114,O114,P114,Q114,$R$40)</f>
        <v>-6.0733230881634818E-5</v>
      </c>
      <c r="S114" cm="1">
        <f t="array" ref="S114">ManAcceleration($B$3,$B$4,$B$5,$B$6,$B$7,$B$8,K114,E114,F114,G114,L114,M114,N114,O114,P114,Q114,$S$40)</f>
        <v>-6.6431859975539837E-5</v>
      </c>
      <c r="T114" cm="1">
        <f t="array" ref="T114">ManAcceleration($B$3,$B$4,$B$5,$B$6,$B$7,$B$8,K114,E114,F114,G114,L114,M114,N114,O114,P114,Q114,$T$40)</f>
        <v>1.76947861743271E-6</v>
      </c>
    </row>
    <row r="115" spans="1:20" x14ac:dyDescent="0.2">
      <c r="A115">
        <f t="shared" si="2"/>
        <v>74</v>
      </c>
      <c r="B115" s="21">
        <f t="shared" si="12"/>
        <v>37.982400337937612</v>
      </c>
      <c r="C115" s="21">
        <f t="shared" si="13"/>
        <v>78.377755113500712</v>
      </c>
      <c r="D115" s="21">
        <f t="shared" si="14"/>
        <v>3.0980583917906266</v>
      </c>
      <c r="E115" s="21">
        <f t="shared" si="15"/>
        <v>1.6090717841129798</v>
      </c>
      <c r="F115" s="21">
        <f t="shared" si="16"/>
        <v>-0.42804532230775011</v>
      </c>
      <c r="G115" s="21">
        <f t="shared" si="17"/>
        <v>4.3137593659500421E-2</v>
      </c>
      <c r="H115" s="21">
        <f t="shared" si="18"/>
        <v>-1.5659788332933691</v>
      </c>
      <c r="I115" s="21">
        <f t="shared" si="19"/>
        <v>0.56572528497072838</v>
      </c>
      <c r="J115" s="21">
        <f t="shared" si="20"/>
        <v>4.3137593659500421E-2</v>
      </c>
      <c r="K115" s="67" cm="1">
        <f t="array" ref="K115">-Lininterp(Powering!$A$55:$A$71,Powering!$G$55:$G$71,E115/0.514)</f>
        <v>-398.51984445407106</v>
      </c>
      <c r="L115" s="67" cm="1">
        <f t="array" ref="L115">OarForces(170,5.2,$B$34,$B$35,$B$33,E115,F115,G115, $L$40)</f>
        <v>5496.4757572285807</v>
      </c>
      <c r="M115" s="67"/>
      <c r="N115" s="4" cm="1">
        <f t="array" ref="N115">OarForces(170,5.2,$B$34,$B$35,$B$33,E115,F115,G115, $N$40)</f>
        <v>28581.673937588621</v>
      </c>
      <c r="O115" s="67" cm="1">
        <f t="array" ref="O115">$B$11*IF($B$24="Y",RudderForces($B$15,$B$16,$B$13,$B$14,$B$12,$B$23,E115,F115,G115,$O$40),0)</f>
        <v>-4262.8111123101062</v>
      </c>
      <c r="P115" s="67" cm="1">
        <f t="array" ref="P115">$B$11*IF($B$24="Y",RudderForces($B$15,$B$16,$B$13,$B$14,$B$12,$B$23,E115,F115,G115,$P$40),0)</f>
        <v>-1505.7319507081027</v>
      </c>
      <c r="Q115" s="67" cm="1">
        <f t="array" ref="Q115">$B$11*IF($B$24="Y",RudderForces($B$15,$B$16,$B$13,$B$14,$B$12,$B$23,E115,F115,G115,$Q$40),0)</f>
        <v>22585.979260621541</v>
      </c>
      <c r="R115" cm="1">
        <f t="array" ref="R115">ManAcceleration($B$3,$B$4,$B$5,$B$6,$B$7,$B$8,K115,E115,F115,G115,L115,M115,N115,O115,P115,Q115,$R$40)</f>
        <v>-5.6868951214081458E-5</v>
      </c>
      <c r="S115" cm="1">
        <f t="array" ref="S115">ManAcceleration($B$3,$B$4,$B$5,$B$6,$B$7,$B$8,K115,E115,F115,G115,L115,M115,N115,O115,P115,Q115,$S$40)</f>
        <v>-6.2923217513054288E-5</v>
      </c>
      <c r="T115" cm="1">
        <f t="array" ref="T115">ManAcceleration($B$3,$B$4,$B$5,$B$6,$B$7,$B$8,K115,E115,F115,G115,L115,M115,N115,O115,P115,Q115,$T$40)</f>
        <v>1.6798210907719298E-6</v>
      </c>
    </row>
    <row r="116" spans="1:20" x14ac:dyDescent="0.2">
      <c r="A116">
        <f t="shared" si="2"/>
        <v>75</v>
      </c>
      <c r="B116" s="21">
        <f t="shared" si="12"/>
        <v>36.393541400191225</v>
      </c>
      <c r="C116" s="21">
        <f t="shared" si="13"/>
        <v>78.875482893560431</v>
      </c>
      <c r="D116" s="21">
        <f t="shared" si="14"/>
        <v>3.1411976652712177</v>
      </c>
      <c r="E116" s="21">
        <f t="shared" si="15"/>
        <v>1.6090149151617656</v>
      </c>
      <c r="F116" s="21">
        <f t="shared" si="16"/>
        <v>-0.42810824552526316</v>
      </c>
      <c r="G116" s="21">
        <f t="shared" si="17"/>
        <v>4.3139273480591191E-2</v>
      </c>
      <c r="H116" s="21">
        <f t="shared" si="18"/>
        <v>-1.5888589377463838</v>
      </c>
      <c r="I116" s="21">
        <f t="shared" si="19"/>
        <v>0.49772778005971874</v>
      </c>
      <c r="J116" s="21">
        <f t="shared" si="20"/>
        <v>4.3139273480591191E-2</v>
      </c>
      <c r="K116" s="67" cm="1">
        <f t="array" ref="K116">-Lininterp(Powering!$A$55:$A$71,Powering!$G$55:$G$71,E116/0.514)</f>
        <v>-398.48871036288108</v>
      </c>
      <c r="L116" s="67" cm="1">
        <f t="array" ref="L116">OarForces(170,5.2,$B$34,$B$35,$B$33,E116,F116,G116, $L$40)</f>
        <v>5496.5114197874273</v>
      </c>
      <c r="M116" s="67"/>
      <c r="N116" s="4" cm="1">
        <f t="array" ref="N116">OarForces(170,5.2,$B$34,$B$35,$B$33,E116,F116,G116, $N$40)</f>
        <v>28581.859382894621</v>
      </c>
      <c r="O116" s="67" cm="1">
        <f t="array" ref="O116">$B$11*IF($B$24="Y",RudderForces($B$15,$B$16,$B$13,$B$14,$B$12,$B$23,E116,F116,G116,$O$40),0)</f>
        <v>-4262.5503765978265</v>
      </c>
      <c r="P116" s="67" cm="1">
        <f t="array" ref="P116">$B$11*IF($B$24="Y",RudderForces($B$15,$B$16,$B$13,$B$14,$B$12,$B$23,E116,F116,G116,$P$40),0)</f>
        <v>-1505.6316766326875</v>
      </c>
      <c r="Q116" s="67" cm="1">
        <f t="array" ref="Q116">$B$11*IF($B$24="Y",RudderForces($B$15,$B$16,$B$13,$B$14,$B$12,$B$23,E116,F116,G116,$Q$40),0)</f>
        <v>22584.47514949031</v>
      </c>
      <c r="R116" cm="1">
        <f t="array" ref="R116">ManAcceleration($B$3,$B$4,$B$5,$B$6,$B$7,$B$8,K116,E116,F116,G116,L116,M116,N116,O116,P116,Q116,$R$40)</f>
        <v>-5.3296180386944693E-5</v>
      </c>
      <c r="S116" cm="1">
        <f t="array" ref="S116">ManAcceleration($B$3,$B$4,$B$5,$B$6,$B$7,$B$8,K116,E116,F116,G116,L116,M116,N116,O116,P116,Q116,$S$40)</f>
        <v>-5.9605752907101712E-5</v>
      </c>
      <c r="T116" cm="1">
        <f t="array" ref="T116">ManAcceleration($B$3,$B$4,$B$5,$B$6,$B$7,$B$8,K116,E116,F116,G116,L116,M116,N116,O116,P116,Q116,$T$40)</f>
        <v>1.5945796086117277E-6</v>
      </c>
    </row>
    <row r="117" spans="1:20" x14ac:dyDescent="0.2">
      <c r="A117">
        <f t="shared" si="2"/>
        <v>76</v>
      </c>
      <c r="B117" s="21">
        <f t="shared" si="12"/>
        <v>34.784749028016783</v>
      </c>
      <c r="C117" s="21">
        <f t="shared" si="13"/>
        <v>79.30428623246614</v>
      </c>
      <c r="D117" s="21">
        <f t="shared" si="14"/>
        <v>3.1843385333314176</v>
      </c>
      <c r="E117" s="21">
        <f t="shared" si="15"/>
        <v>1.6089616189813787</v>
      </c>
      <c r="F117" s="21">
        <f t="shared" si="16"/>
        <v>-0.42816785127817025</v>
      </c>
      <c r="G117" s="21">
        <f t="shared" si="17"/>
        <v>4.3140868060199802E-2</v>
      </c>
      <c r="H117" s="21">
        <f t="shared" si="18"/>
        <v>-1.608792372174439</v>
      </c>
      <c r="I117" s="21">
        <f t="shared" si="19"/>
        <v>0.42880333890571065</v>
      </c>
      <c r="J117" s="21">
        <f t="shared" si="20"/>
        <v>4.3140868060199802E-2</v>
      </c>
      <c r="K117" s="67" cm="1">
        <f t="array" ref="K117">-Lininterp(Powering!$A$55:$A$71,Powering!$G$55:$G$71,E117/0.514)</f>
        <v>-398.4595322594551</v>
      </c>
      <c r="L117" s="67" cm="1">
        <f t="array" ref="L117">OarForces(170,5.2,$B$34,$B$35,$B$33,E117,F117,G117, $L$40)</f>
        <v>5496.5447636777262</v>
      </c>
      <c r="M117" s="67"/>
      <c r="N117" s="4" cm="1">
        <f t="array" ref="N117">OarForces(170,5.2,$B$34,$B$35,$B$33,E117,F117,G117, $N$40)</f>
        <v>28582.032771124177</v>
      </c>
      <c r="O117" s="67" cm="1">
        <f t="array" ref="O117">$B$11*IF($B$24="Y",RudderForces($B$15,$B$16,$B$13,$B$14,$B$12,$B$23,E117,F117,G117,$O$40),0)</f>
        <v>-4262.3062375422269</v>
      </c>
      <c r="P117" s="67" cm="1">
        <f t="array" ref="P117">$B$11*IF($B$24="Y",RudderForces($B$15,$B$16,$B$13,$B$14,$B$12,$B$23,E117,F117,G117,$P$40),0)</f>
        <v>-1505.5377114579376</v>
      </c>
      <c r="Q117" s="67" cm="1">
        <f t="array" ref="Q117">$B$11*IF($B$24="Y",RudderForces($B$15,$B$16,$B$13,$B$14,$B$12,$B$23,E117,F117,G117,$Q$40),0)</f>
        <v>22583.065671869062</v>
      </c>
      <c r="R117" cm="1">
        <f t="array" ref="R117">ManAcceleration($B$3,$B$4,$B$5,$B$6,$B$7,$B$8,K117,E117,F117,G117,L117,M117,N117,O117,P117,Q117,$R$40)</f>
        <v>-4.9988260789106113E-5</v>
      </c>
      <c r="S117" cm="1">
        <f t="array" ref="S117">ManAcceleration($B$3,$B$4,$B$5,$B$6,$B$7,$B$8,K117,E117,F117,G117,L117,M117,N117,O117,P117,Q117,$S$40)</f>
        <v>-5.646832404824275E-5</v>
      </c>
      <c r="T117" cm="1">
        <f t="array" ref="T117">ManAcceleration($B$3,$B$4,$B$5,$B$6,$B$7,$B$8,K117,E117,F117,G117,L117,M117,N117,O117,P117,Q117,$T$40)</f>
        <v>1.5135528102087317E-6</v>
      </c>
    </row>
    <row r="118" spans="1:20" x14ac:dyDescent="0.2">
      <c r="A118">
        <f t="shared" si="2"/>
        <v>77</v>
      </c>
      <c r="B118" s="21">
        <f t="shared" si="12"/>
        <v>33.159007832072895</v>
      </c>
      <c r="C118" s="21">
        <f t="shared" si="13"/>
        <v>79.663365982908431</v>
      </c>
      <c r="D118" s="21">
        <f t="shared" si="14"/>
        <v>3.2274809149444277</v>
      </c>
      <c r="E118" s="21">
        <f t="shared" si="15"/>
        <v>1.6089116307205895</v>
      </c>
      <c r="F118" s="21">
        <f t="shared" si="16"/>
        <v>-0.42822431960221852</v>
      </c>
      <c r="G118" s="21">
        <f t="shared" si="17"/>
        <v>4.3142381613010011E-2</v>
      </c>
      <c r="H118" s="21">
        <f t="shared" si="18"/>
        <v>-1.6257411959438917</v>
      </c>
      <c r="I118" s="21">
        <f t="shared" si="19"/>
        <v>0.35907975044228507</v>
      </c>
      <c r="J118" s="21">
        <f t="shared" si="20"/>
        <v>4.3142381613010011E-2</v>
      </c>
      <c r="K118" s="67" cm="1">
        <f t="array" ref="K118">-Lininterp(Powering!$A$55:$A$71,Powering!$G$55:$G$71,E118/0.514)</f>
        <v>-398.43216514547441</v>
      </c>
      <c r="L118" s="67" cm="1">
        <f t="array" ref="L118">OarForces(170,5.2,$B$34,$B$35,$B$33,E118,F118,G118, $L$40)</f>
        <v>5496.5759688907665</v>
      </c>
      <c r="M118" s="67"/>
      <c r="N118" s="4" cm="1">
        <f t="array" ref="N118">OarForces(170,5.2,$B$34,$B$35,$B$33,E118,F118,G118, $N$40)</f>
        <v>28582.195038231988</v>
      </c>
      <c r="O118" s="67" cm="1">
        <f t="array" ref="O118">$B$11*IF($B$24="Y",RudderForces($B$15,$B$16,$B$13,$B$14,$B$12,$B$23,E118,F118,G118,$O$40),0)</f>
        <v>-4262.077442384264</v>
      </c>
      <c r="P118" s="67" cm="1">
        <f t="array" ref="P118">$B$11*IF($B$24="Y",RudderForces($B$15,$B$16,$B$13,$B$14,$B$12,$B$23,E118,F118,G118,$P$40),0)</f>
        <v>-1505.4495865544247</v>
      </c>
      <c r="Q118" s="67" cm="1">
        <f t="array" ref="Q118">$B$11*IF($B$24="Y",RudderForces($B$15,$B$16,$B$13,$B$14,$B$12,$B$23,E118,F118,G118,$Q$40),0)</f>
        <v>22581.743798316373</v>
      </c>
      <c r="R118" cm="1">
        <f t="array" ref="R118">ManAcceleration($B$3,$B$4,$B$5,$B$6,$B$7,$B$8,K118,E118,F118,G118,L118,M118,N118,O118,P118,Q118,$R$40)</f>
        <v>-4.6921375155833923E-5</v>
      </c>
      <c r="S118" cm="1">
        <f t="array" ref="S118">ManAcceleration($B$3,$B$4,$B$5,$B$6,$B$7,$B$8,K118,E118,F118,G118,L118,M118,N118,O118,P118,Q118,$S$40)</f>
        <v>-5.3500525202835065E-5</v>
      </c>
      <c r="T118" cm="1">
        <f t="array" ref="T118">ManAcceleration($B$3,$B$4,$B$5,$B$6,$B$7,$B$8,K118,E118,F118,G118,L118,M118,N118,O118,P118,Q118,$T$40)</f>
        <v>1.4365464136722907E-6</v>
      </c>
    </row>
    <row r="119" spans="1:20" x14ac:dyDescent="0.2">
      <c r="A119">
        <f t="shared" si="2"/>
        <v>78</v>
      </c>
      <c r="B119" s="21">
        <f t="shared" si="12"/>
        <v>31.519334777717265</v>
      </c>
      <c r="C119" s="21">
        <f t="shared" si="13"/>
        <v>79.952052350806795</v>
      </c>
      <c r="D119" s="21">
        <f t="shared" si="14"/>
        <v>3.2706247331038512</v>
      </c>
      <c r="E119" s="21">
        <f t="shared" si="15"/>
        <v>1.6088647093454336</v>
      </c>
      <c r="F119" s="21">
        <f t="shared" si="16"/>
        <v>-0.42827782012742133</v>
      </c>
      <c r="G119" s="21">
        <f t="shared" si="17"/>
        <v>4.3143818159423683E-2</v>
      </c>
      <c r="H119" s="21">
        <f t="shared" si="18"/>
        <v>-1.6396730543556279</v>
      </c>
      <c r="I119" s="21">
        <f t="shared" si="19"/>
        <v>0.28868636789836188</v>
      </c>
      <c r="J119" s="21">
        <f t="shared" si="20"/>
        <v>4.3143818159423683E-2</v>
      </c>
      <c r="K119" s="67" cm="1">
        <f t="array" ref="K119">-Lininterp(Powering!$A$55:$A$71,Powering!$G$55:$G$71,E119/0.514)</f>
        <v>-398.40647706187747</v>
      </c>
      <c r="L119" s="67" cm="1">
        <f t="array" ref="L119">OarForces(170,5.2,$B$34,$B$35,$B$33,E119,F119,G119, $L$40)</f>
        <v>5496.6051985200484</v>
      </c>
      <c r="M119" s="67"/>
      <c r="N119" s="4" cm="1">
        <f t="array" ref="N119">OarForces(170,5.2,$B$34,$B$35,$B$33,E119,F119,G119, $N$40)</f>
        <v>28582.347032304253</v>
      </c>
      <c r="O119" s="67" cm="1">
        <f t="array" ref="O119">$B$11*IF($B$24="Y",RudderForces($B$15,$B$16,$B$13,$B$14,$B$12,$B$23,E119,F119,G119,$O$40),0)</f>
        <v>-4261.8628530107071</v>
      </c>
      <c r="P119" s="67" cm="1">
        <f t="array" ref="P119">$B$11*IF($B$24="Y",RudderForces($B$15,$B$16,$B$13,$B$14,$B$12,$B$23,E119,F119,G119,$P$40),0)</f>
        <v>-1505.366875523888</v>
      </c>
      <c r="Q119" s="67" cm="1">
        <f t="array" ref="Q119">$B$11*IF($B$24="Y",RudderForces($B$15,$B$16,$B$13,$B$14,$B$12,$B$23,E119,F119,G119,$Q$40),0)</f>
        <v>22580.503132858321</v>
      </c>
      <c r="R119" cm="1">
        <f t="array" ref="R119">ManAcceleration($B$3,$B$4,$B$5,$B$6,$B$7,$B$8,K119,E119,F119,G119,L119,M119,N119,O119,P119,Q119,$R$40)</f>
        <v>-4.4074215246808589E-5</v>
      </c>
      <c r="S119" cm="1">
        <f t="array" ref="S119">ManAcceleration($B$3,$B$4,$B$5,$B$6,$B$7,$B$8,K119,E119,F119,G119,L119,M119,N119,O119,P119,Q119,$S$40)</f>
        <v>-5.0692628569821134E-5</v>
      </c>
      <c r="T119" cm="1">
        <f t="array" ref="T119">ManAcceleration($B$3,$B$4,$B$5,$B$6,$B$7,$B$8,K119,E119,F119,G119,L119,M119,N119,O119,P119,Q119,$T$40)</f>
        <v>1.363373260893269E-6</v>
      </c>
    </row>
    <row r="120" spans="1:20" x14ac:dyDescent="0.2">
      <c r="A120">
        <f t="shared" si="2"/>
        <v>79</v>
      </c>
      <c r="B120" s="21">
        <f t="shared" si="12"/>
        <v>29.868773537799207</v>
      </c>
      <c r="C120" s="21">
        <f t="shared" si="13"/>
        <v>80.169806212174677</v>
      </c>
      <c r="D120" s="21">
        <f t="shared" si="14"/>
        <v>3.3137699146365356</v>
      </c>
      <c r="E120" s="21">
        <f t="shared" si="15"/>
        <v>1.6088206351301868</v>
      </c>
      <c r="F120" s="21">
        <f t="shared" si="16"/>
        <v>-0.42832851275599115</v>
      </c>
      <c r="G120" s="21">
        <f t="shared" si="17"/>
        <v>4.3145181532684575E-2</v>
      </c>
      <c r="H120" s="21">
        <f t="shared" si="18"/>
        <v>-1.6505612399180571</v>
      </c>
      <c r="I120" s="21">
        <f t="shared" si="19"/>
        <v>0.21775386136788361</v>
      </c>
      <c r="J120" s="21">
        <f t="shared" si="20"/>
        <v>4.3145181532684575E-2</v>
      </c>
      <c r="K120" s="67" cm="1">
        <f t="array" ref="K120">-Lininterp(Powering!$A$55:$A$71,Powering!$G$55:$G$71,E120/0.514)</f>
        <v>-398.38234771524236</v>
      </c>
      <c r="L120" s="67" cm="1">
        <f t="array" ref="L120">OarForces(170,5.2,$B$34,$B$35,$B$33,E120,F120,G120, $L$40)</f>
        <v>5496.6326005927876</v>
      </c>
      <c r="M120" s="67"/>
      <c r="N120" s="4" cm="1">
        <f t="array" ref="N120">OarForces(170,5.2,$B$34,$B$35,$B$33,E120,F120,G120, $N$40)</f>
        <v>28582.489523082495</v>
      </c>
      <c r="O120" s="67" cm="1">
        <f t="array" ref="O120">$B$11*IF($B$24="Y",RudderForces($B$15,$B$16,$B$13,$B$14,$B$12,$B$23,E120,F120,G120,$O$40),0)</f>
        <v>-4261.6614337283745</v>
      </c>
      <c r="P120" s="67" cm="1">
        <f t="array" ref="P120">$B$11*IF($B$24="Y",RudderForces($B$15,$B$16,$B$13,$B$14,$B$12,$B$23,E120,F120,G120,$P$40),0)</f>
        <v>-1505.2891897422228</v>
      </c>
      <c r="Q120" s="67" cm="1">
        <f t="array" ref="Q120">$B$11*IF($B$24="Y",RudderForces($B$15,$B$16,$B$13,$B$14,$B$12,$B$23,E120,F120,G120,$Q$40),0)</f>
        <v>22579.337846133341</v>
      </c>
      <c r="R120" cm="1">
        <f t="array" ref="R120">ManAcceleration($B$3,$B$4,$B$5,$B$6,$B$7,$B$8,K120,E120,F120,G120,L120,M120,N120,O120,P120,Q120,$R$40)</f>
        <v>-4.1427690938539782E-5</v>
      </c>
      <c r="S120" cm="1">
        <f t="array" ref="S120">ManAcceleration($B$3,$B$4,$B$5,$B$6,$B$7,$B$8,K120,E120,F120,G120,L120,M120,N120,O120,P120,Q120,$S$40)</f>
        <v>-4.8035531448978497E-5</v>
      </c>
      <c r="T120" cm="1">
        <f t="array" ref="T120">ManAcceleration($B$3,$B$4,$B$5,$B$6,$B$7,$B$8,K120,E120,F120,G120,L120,M120,N120,O120,P120,Q120,$T$40)</f>
        <v>1.2938533098408468E-6</v>
      </c>
    </row>
    <row r="121" spans="1:20" x14ac:dyDescent="0.2">
      <c r="A121">
        <f t="shared" si="2"/>
        <v>80</v>
      </c>
      <c r="B121" s="21">
        <f t="shared" si="12"/>
        <v>28.210388794967042</v>
      </c>
      <c r="C121" s="21">
        <f t="shared" si="13"/>
        <v>80.316220180610102</v>
      </c>
      <c r="D121" s="21">
        <f t="shared" si="14"/>
        <v>3.3569163900225298</v>
      </c>
      <c r="E121" s="21">
        <f t="shared" si="15"/>
        <v>1.6087792074392482</v>
      </c>
      <c r="F121" s="21">
        <f t="shared" si="16"/>
        <v>-0.42837654828744015</v>
      </c>
      <c r="G121" s="21">
        <f t="shared" si="17"/>
        <v>4.3146475385994414E-2</v>
      </c>
      <c r="H121" s="21">
        <f t="shared" si="18"/>
        <v>-1.6583847428321654</v>
      </c>
      <c r="I121" s="21">
        <f t="shared" si="19"/>
        <v>0.14641396843542592</v>
      </c>
      <c r="J121" s="21">
        <f t="shared" si="20"/>
        <v>4.3146475385994414E-2</v>
      </c>
      <c r="K121" s="67" cm="1">
        <f t="array" ref="K121">-Lininterp(Powering!$A$55:$A$71,Powering!$G$55:$G$71,E121/0.514)</f>
        <v>-398.3596672634327</v>
      </c>
      <c r="L121" s="67" cm="1">
        <f t="array" ref="L121">OarForces(170,5.2,$B$34,$B$35,$B$33,E121,F121,G121, $L$40)</f>
        <v>5496.6583096859122</v>
      </c>
      <c r="M121" s="67"/>
      <c r="N121" s="4" cm="1">
        <f t="array" ref="N121">OarForces(170,5.2,$B$34,$B$35,$B$33,E121,F121,G121, $N$40)</f>
        <v>28582.623210366743</v>
      </c>
      <c r="O121" s="67" cm="1">
        <f t="array" ref="O121">$B$11*IF($B$24="Y",RudderForces($B$15,$B$16,$B$13,$B$14,$B$12,$B$23,E121,F121,G121,$O$40),0)</f>
        <v>-4261.4722404659924</v>
      </c>
      <c r="P121" s="67" cm="1">
        <f t="array" ref="P121">$B$11*IF($B$24="Y",RudderForces($B$15,$B$16,$B$13,$B$14,$B$12,$B$23,E121,F121,G121,$P$40),0)</f>
        <v>-1505.2161744201455</v>
      </c>
      <c r="Q121" s="67" cm="1">
        <f t="array" ref="Q121">$B$11*IF($B$24="Y",RudderForces($B$15,$B$16,$B$13,$B$14,$B$12,$B$23,E121,F121,G121,$Q$40),0)</f>
        <v>22578.242616302185</v>
      </c>
      <c r="R121" cm="1">
        <f t="array" ref="R121">ManAcceleration($B$3,$B$4,$B$5,$B$6,$B$7,$B$8,K121,E121,F121,G121,L121,M121,N121,O121,P121,Q121,$R$40)</f>
        <v>-3.8964674698465325E-5</v>
      </c>
      <c r="S121" cm="1">
        <f t="array" ref="S121">ManAcceleration($B$3,$B$4,$B$5,$B$6,$B$7,$B$8,K121,E121,F121,G121,L121,M121,N121,O121,P121,Q121,$S$40)</f>
        <v>-4.5520708400341396E-5</v>
      </c>
      <c r="T121" cm="1">
        <f t="array" ref="T121">ManAcceleration($B$3,$B$4,$B$5,$B$6,$B$7,$B$8,K121,E121,F121,G121,L121,M121,N121,O121,P121,Q121,$T$40)</f>
        <v>1.2278135829971791E-6</v>
      </c>
    </row>
    <row r="122" spans="1:20" x14ac:dyDescent="0.2">
      <c r="A122">
        <f t="shared" si="2"/>
        <v>81</v>
      </c>
      <c r="B122" s="21">
        <f t="shared" si="12"/>
        <v>26.547260504335817</v>
      </c>
      <c r="C122" s="21">
        <f t="shared" si="13"/>
        <v>80.391019423887599</v>
      </c>
      <c r="D122" s="21">
        <f t="shared" si="14"/>
        <v>3.4000640932221073</v>
      </c>
      <c r="E122" s="21">
        <f t="shared" si="15"/>
        <v>1.6087402427645496</v>
      </c>
      <c r="F122" s="21">
        <f t="shared" si="16"/>
        <v>-0.42842206899584051</v>
      </c>
      <c r="G122" s="21">
        <f t="shared" si="17"/>
        <v>4.3147703199577413E-2</v>
      </c>
      <c r="H122" s="21">
        <f t="shared" si="18"/>
        <v>-1.6631282906312228</v>
      </c>
      <c r="I122" s="21">
        <f t="shared" si="19"/>
        <v>7.4799243277497263E-2</v>
      </c>
      <c r="J122" s="21">
        <f t="shared" si="20"/>
        <v>4.3147703199577413E-2</v>
      </c>
      <c r="K122" s="67" cm="1">
        <f t="array" ref="K122">-Lininterp(Powering!$A$55:$A$71,Powering!$G$55:$G$71,E122/0.514)</f>
        <v>-398.33833524113675</v>
      </c>
      <c r="L122" s="67" cm="1">
        <f t="array" ref="L122">OarForces(170,5.2,$B$34,$B$35,$B$33,E122,F122,G122, $L$40)</f>
        <v>5496.6824483529281</v>
      </c>
      <c r="M122" s="67"/>
      <c r="N122" s="4" cm="1">
        <f t="array" ref="N122">OarForces(170,5.2,$B$34,$B$35,$B$33,E122,F122,G122, $N$40)</f>
        <v>28582.748731435226</v>
      </c>
      <c r="O122" s="67" cm="1">
        <f t="array" ref="O122">$B$11*IF($B$24="Y",RudderForces($B$15,$B$16,$B$13,$B$14,$B$12,$B$23,E122,F122,G122,$O$40),0)</f>
        <v>-4261.2944112293253</v>
      </c>
      <c r="P122" s="67" cm="1">
        <f t="array" ref="P122">$B$11*IF($B$24="Y",RudderForces($B$15,$B$16,$B$13,$B$14,$B$12,$B$23,E122,F122,G122,$P$40),0)</f>
        <v>-1505.1475051184409</v>
      </c>
      <c r="Q122" s="67" cm="1">
        <f t="array" ref="Q122">$B$11*IF($B$24="Y",RudderForces($B$15,$B$16,$B$13,$B$14,$B$12,$B$23,E122,F122,G122,$Q$40),0)</f>
        <v>22577.212576776612</v>
      </c>
      <c r="R122" cm="1">
        <f t="array" ref="R122">ManAcceleration($B$3,$B$4,$B$5,$B$6,$B$7,$B$8,K122,E122,F122,G122,L122,M122,N122,O122,P122,Q122,$R$40)</f>
        <v>-3.6669777042804339E-5</v>
      </c>
      <c r="S122" cm="1">
        <f t="array" ref="S122">ManAcceleration($B$3,$B$4,$B$5,$B$6,$B$7,$B$8,K122,E122,F122,G122,L122,M122,N122,O122,P122,Q122,$S$40)</f>
        <v>-4.3140167848909647E-5</v>
      </c>
      <c r="T122" cm="1">
        <f t="array" ref="T122">ManAcceleration($B$3,$B$4,$B$5,$B$6,$B$7,$B$8,K122,E122,F122,G122,L122,M122,N122,O122,P122,Q122,$T$40)</f>
        <v>1.1650880795824196E-6</v>
      </c>
    </row>
    <row r="123" spans="1:20" x14ac:dyDescent="0.2">
      <c r="A123">
        <f t="shared" si="2"/>
        <v>82</v>
      </c>
      <c r="B123" s="21">
        <f t="shared" ref="B123:B131" si="21">B122+H123</f>
        <v>24.882478127402958</v>
      </c>
      <c r="C123" s="21">
        <f t="shared" ref="C123:C131" si="22">C122+I123</f>
        <v>80.394062228554191</v>
      </c>
      <c r="D123" s="21">
        <f t="shared" ref="D123:D131" si="23">D122+J123</f>
        <v>3.4432129615097642</v>
      </c>
      <c r="E123" s="21">
        <f t="shared" ref="E123:E131" si="24">E122+R122/$B$37</f>
        <v>1.6087035729875068</v>
      </c>
      <c r="F123" s="21">
        <f t="shared" ref="F123:F131" si="25">F122+S122/$B$37</f>
        <v>-0.42846520916368941</v>
      </c>
      <c r="G123" s="21">
        <f t="shared" ref="G123:G131" si="26">G122+T122/$B$37</f>
        <v>4.3148868287656995E-2</v>
      </c>
      <c r="H123" s="21">
        <f t="shared" ref="H123:H131" si="27">E123*COS(D122)-F123*SIN(D122)</f>
        <v>-1.664782376932858</v>
      </c>
      <c r="I123" s="21">
        <f t="shared" ref="I123:I131" si="28">F123*COS(D122)+E123*SIN(D122)</f>
        <v>3.0428046665847974E-3</v>
      </c>
      <c r="J123" s="21">
        <f t="shared" ref="J123:J131" si="29">G123</f>
        <v>4.3148868287656995E-2</v>
      </c>
      <c r="K123" s="67" cm="1">
        <f t="array" ref="K123">-Lininterp(Powering!$A$55:$A$71,Powering!$G$55:$G$71,E123/0.514)</f>
        <v>-398.31825960833538</v>
      </c>
      <c r="L123" s="67" cm="1">
        <f t="array" ref="L123">OarForces(170,5.2,$B$34,$B$35,$B$33,E123,F123,G123, $L$40)</f>
        <v>5496.7051283847741</v>
      </c>
      <c r="M123" s="67"/>
      <c r="N123" s="4" cm="1">
        <f t="array" ref="N123">OarForces(170,5.2,$B$34,$B$35,$B$33,E123,F123,G123, $N$40)</f>
        <v>28582.866667600825</v>
      </c>
      <c r="O123" s="67" cm="1">
        <f t="array" ref="O123">$B$11*IF($B$24="Y",RudderForces($B$15,$B$16,$B$13,$B$14,$B$12,$B$23,E123,F123,G123,$O$40),0)</f>
        <v>-4261.1271576568834</v>
      </c>
      <c r="P123" s="67" cm="1">
        <f t="array" ref="P123">$B$11*IF($B$24="Y",RudderForces($B$15,$B$16,$B$13,$B$14,$B$12,$B$23,E123,F123,G123,$P$40),0)</f>
        <v>-1505.0828846625502</v>
      </c>
      <c r="Q123" s="67" cm="1">
        <f t="array" ref="Q123">$B$11*IF($B$24="Y",RudderForces($B$15,$B$16,$B$13,$B$14,$B$12,$B$23,E123,F123,G123,$Q$40),0)</f>
        <v>22576.243269938252</v>
      </c>
      <c r="R123" cm="1">
        <f t="array" ref="R123">ManAcceleration($B$3,$B$4,$B$5,$B$6,$B$7,$B$8,K123,E123,F123,G123,L123,M123,N123,O123,P123,Q123,$R$40)</f>
        <v>-3.4529149130798687E-5</v>
      </c>
      <c r="S123" cm="1">
        <f t="array" ref="S123">ManAcceleration($B$3,$B$4,$B$5,$B$6,$B$7,$B$8,K123,E123,F123,G123,L123,M123,N123,O123,P123,Q123,$S$40)</f>
        <v>-4.088641265372105E-5</v>
      </c>
      <c r="T123" cm="1">
        <f t="array" ref="T123">ManAcceleration($B$3,$B$4,$B$5,$B$6,$B$7,$B$8,K123,E123,F123,G123,L123,M123,N123,O123,P123,Q123,$T$40)</f>
        <v>1.105517658208315E-6</v>
      </c>
    </row>
    <row r="124" spans="1:20" x14ac:dyDescent="0.2">
      <c r="A124">
        <f t="shared" si="2"/>
        <v>83</v>
      </c>
      <c r="B124" s="21">
        <f t="shared" si="21"/>
        <v>23.21913484812578</v>
      </c>
      <c r="C124" s="21">
        <f t="shared" si="22"/>
        <v>80.32534031186529</v>
      </c>
      <c r="D124" s="21">
        <f t="shared" si="23"/>
        <v>3.4863629353150793</v>
      </c>
      <c r="E124" s="21">
        <f t="shared" si="24"/>
        <v>1.6086690438383759</v>
      </c>
      <c r="F124" s="21">
        <f t="shared" si="25"/>
        <v>-0.42850609557634312</v>
      </c>
      <c r="G124" s="21">
        <f t="shared" si="26"/>
        <v>4.3149973805315205E-2</v>
      </c>
      <c r="H124" s="21">
        <f t="shared" si="27"/>
        <v>-1.6633432792771794</v>
      </c>
      <c r="I124" s="21">
        <f t="shared" si="28"/>
        <v>-6.8721916688900708E-2</v>
      </c>
      <c r="J124" s="21">
        <f t="shared" si="29"/>
        <v>4.3149973805315205E-2</v>
      </c>
      <c r="K124" s="67" cm="1">
        <f t="array" ref="K124">-Lininterp(Powering!$A$55:$A$71,Powering!$G$55:$G$71,E124/0.514)</f>
        <v>-398.2993559068463</v>
      </c>
      <c r="L124" s="67" cm="1">
        <f t="array" ref="L124">OarForces(170,5.2,$B$34,$B$35,$B$33,E124,F124,G124, $L$40)</f>
        <v>5496.7264519248556</v>
      </c>
      <c r="M124" s="67"/>
      <c r="N124" s="4" cm="1">
        <f t="array" ref="N124">OarForces(170,5.2,$B$34,$B$35,$B$33,E124,F124,G124, $N$40)</f>
        <v>28582.977550009251</v>
      </c>
      <c r="O124" s="67" cm="1">
        <f t="array" ref="O124">$B$11*IF($B$24="Y",RudderForces($B$15,$B$16,$B$13,$B$14,$B$12,$B$23,E124,F124,G124,$O$40),0)</f>
        <v>-4260.9697575426271</v>
      </c>
      <c r="P124" s="67" cm="1">
        <f t="array" ref="P124">$B$11*IF($B$24="Y",RudderForces($B$15,$B$16,$B$13,$B$14,$B$12,$B$23,E124,F124,G124,$P$40),0)</f>
        <v>-1505.0220404081604</v>
      </c>
      <c r="Q124" s="67" cm="1">
        <f t="array" ref="Q124">$B$11*IF($B$24="Y",RudderForces($B$15,$B$16,$B$13,$B$14,$B$12,$B$23,E124,F124,G124,$Q$40),0)</f>
        <v>22575.330606122407</v>
      </c>
      <c r="R124" cm="1">
        <f t="array" ref="R124">ManAcceleration($B$3,$B$4,$B$5,$B$6,$B$7,$B$8,K124,E124,F124,G124,L124,M124,N124,O124,P124,Q124,$R$40)</f>
        <v>-3.2530309133183138E-5</v>
      </c>
      <c r="S124" cm="1">
        <f t="array" ref="S124">ManAcceleration($B$3,$B$4,$B$5,$B$6,$B$7,$B$8,K124,E124,F124,G124,L124,M124,N124,O124,P124,Q124,$S$40)</f>
        <v>-3.8752404217516769E-5</v>
      </c>
      <c r="T124" cm="1">
        <f t="array" ref="T124">ManAcceleration($B$3,$B$4,$B$5,$B$6,$B$7,$B$8,K124,E124,F124,G124,L124,M124,N124,O124,P124,Q124,$T$40)</f>
        <v>1.0489498956165344E-6</v>
      </c>
    </row>
    <row r="125" spans="1:20" x14ac:dyDescent="0.2">
      <c r="A125">
        <f t="shared" si="2"/>
        <v>84</v>
      </c>
      <c r="B125" s="21">
        <f t="shared" si="21"/>
        <v>21.560321782084525</v>
      </c>
      <c r="C125" s="21">
        <f t="shared" si="22"/>
        <v>80.184978880834507</v>
      </c>
      <c r="D125" s="21">
        <f t="shared" si="23"/>
        <v>3.5295139580702903</v>
      </c>
      <c r="E125" s="21">
        <f t="shared" si="24"/>
        <v>1.6086365135292429</v>
      </c>
      <c r="F125" s="21">
        <f t="shared" si="25"/>
        <v>-0.42854484798056064</v>
      </c>
      <c r="G125" s="21">
        <f t="shared" si="26"/>
        <v>4.3151022755210822E-2</v>
      </c>
      <c r="H125" s="21">
        <f t="shared" si="27"/>
        <v>-1.6588130660412554</v>
      </c>
      <c r="I125" s="21">
        <f t="shared" si="28"/>
        <v>-0.14036143103078419</v>
      </c>
      <c r="J125" s="21">
        <f t="shared" si="29"/>
        <v>4.3151022755210822E-2</v>
      </c>
      <c r="K125" s="67" cm="1">
        <f t="array" ref="K125">-Lininterp(Powering!$A$55:$A$71,Powering!$G$55:$G$71,E125/0.514)</f>
        <v>-398.28154651192403</v>
      </c>
      <c r="L125" s="67" cm="1">
        <f t="array" ref="L125">OarForces(170,5.2,$B$34,$B$35,$B$33,E125,F125,G125, $L$40)</f>
        <v>5496.7465124559913</v>
      </c>
      <c r="M125" s="67"/>
      <c r="N125" s="4" cm="1">
        <f t="array" ref="N125">OarForces(170,5.2,$B$34,$B$35,$B$33,E125,F125,G125, $N$40)</f>
        <v>28583.081864771157</v>
      </c>
      <c r="O125" s="67" cm="1">
        <f t="array" ref="O125">$B$11*IF($B$24="Y",RudderForces($B$15,$B$16,$B$13,$B$14,$B$12,$B$23,E125,F125,G125,$O$40),0)</f>
        <v>-4260.821548208587</v>
      </c>
      <c r="P125" s="67" cm="1">
        <f t="array" ref="P125">$B$11*IF($B$24="Y",RudderForces($B$15,$B$16,$B$13,$B$14,$B$12,$B$23,E125,F125,G125,$P$40),0)</f>
        <v>-1504.9647218154419</v>
      </c>
      <c r="Q125" s="67" cm="1">
        <f t="array" ref="Q125">$B$11*IF($B$24="Y",RudderForces($B$15,$B$16,$B$13,$B$14,$B$12,$B$23,E125,F125,G125,$Q$40),0)</f>
        <v>22574.470827231627</v>
      </c>
      <c r="R125" cm="1">
        <f t="array" ref="R125">ManAcceleration($B$3,$B$4,$B$5,$B$6,$B$7,$B$8,K125,E125,F125,G125,L125,M125,N125,O125,P125,Q125,$R$40)</f>
        <v>-3.0661989431081293E-5</v>
      </c>
      <c r="S125" cm="1">
        <f t="array" ref="S125">ManAcceleration($B$3,$B$4,$B$5,$B$6,$B$7,$B$8,K125,E125,F125,G125,L125,M125,N125,O125,P125,Q125,$S$40)</f>
        <v>-3.6731529763050367E-5</v>
      </c>
      <c r="T125" cm="1">
        <f t="array" ref="T125">ManAcceleration($B$3,$B$4,$B$5,$B$6,$B$7,$B$8,K125,E125,F125,G125,L125,M125,N125,O125,P125,Q125,$T$40)</f>
        <v>9.9523892640889285E-7</v>
      </c>
    </row>
    <row r="126" spans="1:20" x14ac:dyDescent="0.2">
      <c r="A126">
        <f t="shared" si="2"/>
        <v>85</v>
      </c>
      <c r="B126" s="21">
        <f t="shared" si="21"/>
        <v>19.90912218964705</v>
      </c>
      <c r="C126" s="21">
        <f t="shared" si="22"/>
        <v>79.973236438612815</v>
      </c>
      <c r="D126" s="21">
        <f t="shared" si="23"/>
        <v>3.5726659760644277</v>
      </c>
      <c r="E126" s="21">
        <f t="shared" si="24"/>
        <v>1.6086058515398118</v>
      </c>
      <c r="F126" s="21">
        <f t="shared" si="25"/>
        <v>-0.42858157951032366</v>
      </c>
      <c r="G126" s="21">
        <f t="shared" si="26"/>
        <v>4.3152017994137232E-2</v>
      </c>
      <c r="H126" s="21">
        <f t="shared" si="27"/>
        <v>-1.6511995924374745</v>
      </c>
      <c r="I126" s="21">
        <f t="shared" si="28"/>
        <v>-0.21174244222168859</v>
      </c>
      <c r="J126" s="21">
        <f t="shared" si="29"/>
        <v>4.3152017994137232E-2</v>
      </c>
      <c r="K126" s="67" cm="1">
        <f t="array" ref="K126">-Lininterp(Powering!$A$55:$A$71,Powering!$G$55:$G$71,E126/0.514)</f>
        <v>-398.26475996751572</v>
      </c>
      <c r="L126" s="67" cm="1">
        <f t="array" ref="L126">OarForces(170,5.2,$B$34,$B$35,$B$33,E126,F126,G126, $L$40)</f>
        <v>5496.7653956747563</v>
      </c>
      <c r="M126" s="67"/>
      <c r="N126" s="4" cm="1">
        <f t="array" ref="N126">OarForces(170,5.2,$B$34,$B$35,$B$33,E126,F126,G126, $N$40)</f>
        <v>28583.180057508733</v>
      </c>
      <c r="O126" s="67" cm="1">
        <f t="array" ref="O126">$B$11*IF($B$24="Y",RudderForces($B$15,$B$16,$B$13,$B$14,$B$12,$B$23,E126,F126,G126,$O$40),0)</f>
        <v>-4260.6819206250602</v>
      </c>
      <c r="P126" s="67" cm="1">
        <f t="array" ref="P126">$B$11*IF($B$24="Y",RudderForces($B$15,$B$16,$B$13,$B$14,$B$12,$B$23,E126,F126,G126,$P$40),0)</f>
        <v>-1504.9106982948235</v>
      </c>
      <c r="Q126" s="67" cm="1">
        <f t="array" ref="Q126">$B$11*IF($B$24="Y",RudderForces($B$15,$B$16,$B$13,$B$14,$B$12,$B$23,E126,F126,G126,$Q$40),0)</f>
        <v>22573.660474422351</v>
      </c>
      <c r="R126" cm="1">
        <f t="array" ref="R126">ManAcceleration($B$3,$B$4,$B$5,$B$6,$B$7,$B$8,K126,E126,F126,G126,L126,M126,N126,O126,P126,Q126,$R$40)</f>
        <v>-2.8914002075509592E-5</v>
      </c>
      <c r="S126" cm="1">
        <f t="array" ref="S126">ManAcceleration($B$3,$B$4,$B$5,$B$6,$B$7,$B$8,K126,E126,F126,G126,L126,M126,N126,O126,P126,Q126,$S$40)</f>
        <v>-3.4817572445197522E-5</v>
      </c>
      <c r="T126" cm="1">
        <f t="array" ref="T126">ManAcceleration($B$3,$B$4,$B$5,$B$6,$B$7,$B$8,K126,E126,F126,G126,L126,M126,N126,O126,P126,Q126,$T$40)</f>
        <v>9.44245267957246E-7</v>
      </c>
    </row>
    <row r="127" spans="1:20" x14ac:dyDescent="0.2">
      <c r="A127">
        <f t="shared" si="2"/>
        <v>86</v>
      </c>
      <c r="B127" s="21">
        <f t="shared" si="21"/>
        <v>18.268605704026083</v>
      </c>
      <c r="C127" s="21">
        <f t="shared" si="22"/>
        <v>79.690504338857011</v>
      </c>
      <c r="D127" s="21">
        <f t="shared" si="23"/>
        <v>3.6158189383038328</v>
      </c>
      <c r="E127" s="21">
        <f t="shared" si="24"/>
        <v>1.6085769375377363</v>
      </c>
      <c r="F127" s="21">
        <f t="shared" si="25"/>
        <v>-0.42861639708276889</v>
      </c>
      <c r="G127" s="21">
        <f t="shared" si="26"/>
        <v>4.3152962239405186E-2</v>
      </c>
      <c r="H127" s="21">
        <f t="shared" si="27"/>
        <v>-1.6405164856209686</v>
      </c>
      <c r="I127" s="21">
        <f t="shared" si="28"/>
        <v>-0.28273209975579772</v>
      </c>
      <c r="J127" s="21">
        <f t="shared" si="29"/>
        <v>4.3152962239405186E-2</v>
      </c>
      <c r="K127" s="67" cm="1">
        <f t="array" ref="K127">-Lininterp(Powering!$A$55:$A$71,Powering!$G$55:$G$71,E127/0.514)</f>
        <v>-398.24893039517315</v>
      </c>
      <c r="L127" s="67" cm="1">
        <f t="array" ref="L127">OarForces(170,5.2,$B$34,$B$35,$B$33,E127,F127,G127, $L$40)</f>
        <v>5496.7831802668234</v>
      </c>
      <c r="M127" s="67"/>
      <c r="N127" s="4" cm="1">
        <f t="array" ref="N127">OarForces(170,5.2,$B$34,$B$35,$B$33,E127,F127,G127, $N$40)</f>
        <v>28583.272537387482</v>
      </c>
      <c r="O127" s="67" cm="1">
        <f t="array" ref="O127">$B$11*IF($B$24="Y",RudderForces($B$15,$B$16,$B$13,$B$14,$B$12,$B$23,E127,F127,G127,$O$40),0)</f>
        <v>-4260.550314188421</v>
      </c>
      <c r="P127" s="67" cm="1">
        <f t="array" ref="P127">$B$11*IF($B$24="Y",RudderForces($B$15,$B$16,$B$13,$B$14,$B$12,$B$23,E127,F127,G127,$P$40),0)</f>
        <v>-1504.8597572918497</v>
      </c>
      <c r="Q127" s="67" cm="1">
        <f t="array" ref="Q127">$B$11*IF($B$24="Y",RudderForces($B$15,$B$16,$B$13,$B$14,$B$12,$B$23,E127,F127,G127,$Q$40),0)</f>
        <v>22572.896359377744</v>
      </c>
      <c r="R127" cm="1">
        <f t="array" ref="R127">ManAcceleration($B$3,$B$4,$B$5,$B$6,$B$7,$B$8,K127,E127,F127,G127,L127,M127,N127,O127,P127,Q127,$R$40)</f>
        <v>-2.7277120252262151E-5</v>
      </c>
      <c r="S127" cm="1">
        <f t="array" ref="S127">ManAcceleration($B$3,$B$4,$B$5,$B$6,$B$7,$B$8,K127,E127,F127,G127,L127,M127,N127,O127,P127,Q127,$S$40)</f>
        <v>-3.3004684007806373E-5</v>
      </c>
      <c r="T127" cm="1">
        <f t="array" ref="T127">ManAcceleration($B$3,$B$4,$B$5,$B$6,$B$7,$B$8,K127,E127,F127,G127,L127,M127,N127,O127,P127,Q127,$T$40)</f>
        <v>8.9583563415192589E-7</v>
      </c>
    </row>
    <row r="128" spans="1:20" x14ac:dyDescent="0.2">
      <c r="A128">
        <f t="shared" si="2"/>
        <v>87</v>
      </c>
      <c r="B128" s="21">
        <f t="shared" si="21"/>
        <v>16.641822585076802</v>
      </c>
      <c r="C128" s="21">
        <f t="shared" si="22"/>
        <v>79.337306089192779</v>
      </c>
      <c r="D128" s="21">
        <f t="shared" si="23"/>
        <v>3.6589727963788721</v>
      </c>
      <c r="E128" s="21">
        <f t="shared" si="24"/>
        <v>1.608549660417484</v>
      </c>
      <c r="F128" s="21">
        <f t="shared" si="25"/>
        <v>-0.42864940176677668</v>
      </c>
      <c r="G128" s="21">
        <f t="shared" si="26"/>
        <v>4.3153858075039339E-2</v>
      </c>
      <c r="H128" s="21">
        <f t="shared" si="27"/>
        <v>-1.626783118949279</v>
      </c>
      <c r="I128" s="21">
        <f t="shared" si="28"/>
        <v>-0.35319824966422808</v>
      </c>
      <c r="J128" s="21">
        <f t="shared" si="29"/>
        <v>4.3153858075039339E-2</v>
      </c>
      <c r="K128" s="67" cm="1">
        <f t="array" ref="K128">-Lininterp(Powering!$A$55:$A$71,Powering!$G$55:$G$71,E128/0.514)</f>
        <v>-398.23399696785992</v>
      </c>
      <c r="L128" s="67" cm="1">
        <f t="array" ref="L128">OarForces(170,5.2,$B$34,$B$35,$B$33,E128,F128,G128, $L$40)</f>
        <v>5496.799938595198</v>
      </c>
      <c r="M128" s="67"/>
      <c r="N128" s="4" cm="1">
        <f t="array" ref="N128">OarForces(170,5.2,$B$34,$B$35,$B$33,E128,F128,G128, $N$40)</f>
        <v>28583.35968069503</v>
      </c>
      <c r="O128" s="67" cm="1">
        <f t="array" ref="O128">$B$11*IF($B$24="Y",RudderForces($B$15,$B$16,$B$13,$B$14,$B$12,$B$23,E128,F128,G128,$O$40),0)</f>
        <v>-4260.4262120780531</v>
      </c>
      <c r="P128" s="67" cm="1">
        <f t="array" ref="P128">$B$11*IF($B$24="Y",RudderForces($B$15,$B$16,$B$13,$B$14,$B$12,$B$23,E128,F128,G128,$P$40),0)</f>
        <v>-1504.81170258259</v>
      </c>
      <c r="Q128" s="67" cm="1">
        <f t="array" ref="Q128">$B$11*IF($B$24="Y",RudderForces($B$15,$B$16,$B$13,$B$14,$B$12,$B$23,E128,F128,G128,$Q$40),0)</f>
        <v>22572.175538738851</v>
      </c>
      <c r="R128" cm="1">
        <f t="array" ref="R128">ManAcceleration($B$3,$B$4,$B$5,$B$6,$B$7,$B$8,K128,E128,F128,G128,L128,M128,N128,O128,P128,Q128,$R$40)</f>
        <v>-2.574297378612805E-5</v>
      </c>
      <c r="S128" cm="1">
        <f t="array" ref="S128">ManAcceleration($B$3,$B$4,$B$5,$B$6,$B$7,$B$8,K128,E128,F128,G128,L128,M128,N128,O128,P128,Q128,$S$40)</f>
        <v>-3.128735972599743E-5</v>
      </c>
      <c r="T128" cm="1">
        <f t="array" ref="T128">ManAcceleration($B$3,$B$4,$B$5,$B$6,$B$7,$B$8,K128,E128,F128,G128,L128,M128,N128,O128,P128,Q128,$T$40)</f>
        <v>8.4988274094168112E-7</v>
      </c>
    </row>
    <row r="129" spans="1:20" x14ac:dyDescent="0.2">
      <c r="A129">
        <f t="shared" si="2"/>
        <v>88</v>
      </c>
      <c r="B129" s="21">
        <f t="shared" si="21"/>
        <v>15.031798009621097</v>
      </c>
      <c r="C129" s="21">
        <f t="shared" si="22"/>
        <v>78.91429640532364</v>
      </c>
      <c r="D129" s="21">
        <f t="shared" si="23"/>
        <v>3.7021275043366524</v>
      </c>
      <c r="E129" s="21">
        <f t="shared" si="24"/>
        <v>1.6085239174436978</v>
      </c>
      <c r="F129" s="21">
        <f t="shared" si="25"/>
        <v>-0.4286806891265027</v>
      </c>
      <c r="G129" s="21">
        <f t="shared" si="26"/>
        <v>4.3154707957780279E-2</v>
      </c>
      <c r="H129" s="21">
        <f t="shared" si="27"/>
        <v>-1.6100245754557057</v>
      </c>
      <c r="I129" s="21">
        <f t="shared" si="28"/>
        <v>-0.42300968386913779</v>
      </c>
      <c r="J129" s="21">
        <f t="shared" si="29"/>
        <v>4.3154707957780279E-2</v>
      </c>
      <c r="K129" s="67" cm="1">
        <f t="array" ref="K129">-Lininterp(Powering!$A$55:$A$71,Powering!$G$55:$G$71,E129/0.514)</f>
        <v>-398.21990344096611</v>
      </c>
      <c r="L129" s="67" cm="1">
        <f t="array" ref="L129">OarForces(170,5.2,$B$34,$B$35,$B$33,E129,F129,G129, $L$40)</f>
        <v>5496.815737311782</v>
      </c>
      <c r="M129" s="67"/>
      <c r="N129" s="4" cm="1">
        <f t="array" ref="N129">OarForces(170,5.2,$B$34,$B$35,$B$33,E129,F129,G129, $N$40)</f>
        <v>28583.441834021269</v>
      </c>
      <c r="O129" s="67" cm="1">
        <f t="array" ref="O129">$B$11*IF($B$24="Y",RudderForces($B$15,$B$16,$B$13,$B$14,$B$12,$B$23,E129,F129,G129,$O$40),0)</f>
        <v>-4260.3091371233559</v>
      </c>
      <c r="P129" s="67" cm="1">
        <f t="array" ref="P129">$B$11*IF($B$24="Y",RudderForces($B$15,$B$16,$B$13,$B$14,$B$12,$B$23,E129,F129,G129,$P$40),0)</f>
        <v>-1504.7663527546431</v>
      </c>
      <c r="Q129" s="67" cm="1">
        <f t="array" ref="Q129">$B$11*IF($B$24="Y",RudderForces($B$15,$B$16,$B$13,$B$14,$B$12,$B$23,E129,F129,G129,$Q$40),0)</f>
        <v>22571.495291319647</v>
      </c>
      <c r="R129" cm="1">
        <f t="array" ref="R129">ManAcceleration($B$3,$B$4,$B$5,$B$6,$B$7,$B$8,K129,E129,F129,G129,L129,M129,N129,O129,P129,Q129,$R$40)</f>
        <v>-2.4303956959150954E-5</v>
      </c>
      <c r="S129" cm="1">
        <f t="array" ref="S129">ManAcceleration($B$3,$B$4,$B$5,$B$6,$B$7,$B$8,K129,E129,F129,G129,L129,M129,N129,O129,P129,Q129,$S$40)</f>
        <v>-2.9660415405432912E-5</v>
      </c>
      <c r="T129" cm="1">
        <f t="array" ref="T129">ManAcceleration($B$3,$B$4,$B$5,$B$6,$B$7,$B$8,K129,E129,F129,G129,L129,M129,N129,O129,P129,Q129,$T$40)</f>
        <v>8.0626510637849632E-7</v>
      </c>
    </row>
    <row r="130" spans="1:20" x14ac:dyDescent="0.2">
      <c r="A130">
        <f t="shared" si="2"/>
        <v>89</v>
      </c>
      <c r="B130" s="21">
        <f t="shared" si="21"/>
        <v>13.441526409004894</v>
      </c>
      <c r="C130" s="21">
        <f t="shared" si="22"/>
        <v>78.422260017782122</v>
      </c>
      <c r="D130" s="21">
        <f t="shared" si="23"/>
        <v>3.7452830185595389</v>
      </c>
      <c r="E130" s="21">
        <f t="shared" si="24"/>
        <v>1.6084996134867386</v>
      </c>
      <c r="F130" s="21">
        <f t="shared" si="25"/>
        <v>-0.42871034954190812</v>
      </c>
      <c r="G130" s="21">
        <f t="shared" si="26"/>
        <v>4.315551422288666E-2</v>
      </c>
      <c r="H130" s="21">
        <f t="shared" si="27"/>
        <v>-1.5902716006162043</v>
      </c>
      <c r="I130" s="21">
        <f t="shared" si="28"/>
        <v>-0.49203638754151924</v>
      </c>
      <c r="J130" s="21">
        <f t="shared" si="29"/>
        <v>4.315551422288666E-2</v>
      </c>
      <c r="K130" s="67" cm="1">
        <f t="array" ref="K130">-Lininterp(Powering!$A$55:$A$71,Powering!$G$55:$G$71,E130/0.514)</f>
        <v>-398.20659773379037</v>
      </c>
      <c r="L130" s="67" cm="1">
        <f t="array" ref="L130">OarForces(170,5.2,$B$34,$B$35,$B$33,E130,F130,G130, $L$40)</f>
        <v>5496.8306379014057</v>
      </c>
      <c r="M130" s="67"/>
      <c r="N130" s="4" cm="1">
        <f t="array" ref="N130">OarForces(170,5.2,$B$34,$B$35,$B$33,E130,F130,G130, $N$40)</f>
        <v>28583.51931708731</v>
      </c>
      <c r="O130" s="67" cm="1">
        <f t="array" ref="O130">$B$11*IF($B$24="Y",RudderForces($B$15,$B$16,$B$13,$B$14,$B$12,$B$23,E130,F130,G130,$O$40),0)</f>
        <v>-4260.1986481203494</v>
      </c>
      <c r="P130" s="67" cm="1">
        <f t="array" ref="P130">$B$11*IF($B$24="Y",RudderForces($B$15,$B$16,$B$13,$B$14,$B$12,$B$23,E130,F130,G130,$P$40),0)</f>
        <v>-1504.7235398518574</v>
      </c>
      <c r="Q130" s="67" cm="1">
        <f t="array" ref="Q130">$B$11*IF($B$24="Y",RudderForces($B$15,$B$16,$B$13,$B$14,$B$12,$B$23,E130,F130,G130,$Q$40),0)</f>
        <v>22570.853097777861</v>
      </c>
      <c r="R130" cm="1">
        <f t="array" ref="R130">ManAcceleration($B$3,$B$4,$B$5,$B$6,$B$7,$B$8,K130,E130,F130,G130,L130,M130,N130,O130,P130,Q130,$R$40)</f>
        <v>-2.2953147134236556E-5</v>
      </c>
      <c r="S130" cm="1">
        <f t="array" ref="S130">ManAcceleration($B$3,$B$4,$B$5,$B$6,$B$7,$B$8,K130,E130,F130,G130,L130,M130,N130,O130,P130,Q130,$S$40)</f>
        <v>-2.8118966235796578E-5</v>
      </c>
      <c r="T130" cm="1">
        <f t="array" ref="T130">ManAcceleration($B$3,$B$4,$B$5,$B$6,$B$7,$B$8,K130,E130,F130,G130,L130,M130,N130,O130,P130,Q130,$T$40)</f>
        <v>7.648668473212258E-7</v>
      </c>
    </row>
    <row r="131" spans="1:20" x14ac:dyDescent="0.2">
      <c r="A131">
        <f t="shared" si="2"/>
        <v>90</v>
      </c>
      <c r="B131" s="21">
        <f t="shared" si="21"/>
        <v>11.873965864496682</v>
      </c>
      <c r="C131" s="21">
        <f t="shared" si="22"/>
        <v>77.862110233762635</v>
      </c>
      <c r="D131" s="21">
        <f t="shared" si="23"/>
        <v>3.7884392976492731</v>
      </c>
      <c r="E131" s="21">
        <f t="shared" si="24"/>
        <v>1.6084766603396043</v>
      </c>
      <c r="F131" s="21">
        <f t="shared" si="25"/>
        <v>-0.4287384685081439</v>
      </c>
      <c r="G131" s="21">
        <f t="shared" si="26"/>
        <v>4.3156279089733983E-2</v>
      </c>
      <c r="H131" s="21">
        <f t="shared" si="27"/>
        <v>-1.5675605445082121</v>
      </c>
      <c r="I131" s="21">
        <f t="shared" si="28"/>
        <v>-0.56014978401948301</v>
      </c>
      <c r="J131" s="21">
        <f t="shared" si="29"/>
        <v>4.3156279089733983E-2</v>
      </c>
      <c r="K131" s="67" cm="1">
        <f t="array" ref="K131">-Lininterp(Powering!$A$55:$A$71,Powering!$G$55:$G$71,E131/0.514)</f>
        <v>-398.19403155557325</v>
      </c>
      <c r="L131" s="67" cm="1">
        <f t="array" ref="L131">OarForces(170,5.2,$B$34,$B$35,$B$33,E131,F131,G131, $L$40)</f>
        <v>5496.8446971663598</v>
      </c>
      <c r="M131" s="67"/>
      <c r="N131" s="4" cm="1">
        <f t="array" ref="N131">OarForces(170,5.2,$B$34,$B$35,$B$33,E131,F131,G131, $N$40)</f>
        <v>28583.592425265073</v>
      </c>
      <c r="O131" s="67" cm="1">
        <f t="array" ref="O131">$B$11*IF($B$24="Y",RudderForces($B$15,$B$16,$B$13,$B$14,$B$12,$B$23,E131,F131,G131,$O$40),0)</f>
        <v>-4260.0943365449493</v>
      </c>
      <c r="P131" s="67" cm="1">
        <f t="array" ref="P131">$B$11*IF($B$24="Y",RudderForces($B$15,$B$16,$B$13,$B$14,$B$12,$B$23,E131,F131,G131,$P$40),0)</f>
        <v>-1504.68310816351</v>
      </c>
      <c r="Q131" s="67" cm="1">
        <f t="array" ref="Q131">$B$11*IF($B$24="Y",RudderForces($B$15,$B$16,$B$13,$B$14,$B$12,$B$23,E131,F131,G131,$Q$40),0)</f>
        <v>22570.246622452651</v>
      </c>
      <c r="R131" cm="1">
        <f t="array" ref="R131">ManAcceleration($B$3,$B$4,$B$5,$B$6,$B$7,$B$8,K131,E131,F131,G131,L131,M131,N131,O131,P131,Q131,$R$40)</f>
        <v>-2.1684232865234678E-5</v>
      </c>
      <c r="S131" cm="1">
        <f t="array" ref="S131">ManAcceleration($B$3,$B$4,$B$5,$B$6,$B$7,$B$8,K131,E131,F131,G131,L131,M131,N131,O131,P131,Q131,$S$40)</f>
        <v>-2.6658407317759776E-5</v>
      </c>
      <c r="T131" cm="1">
        <f t="array" ref="T131">ManAcceleration($B$3,$B$4,$B$5,$B$6,$B$7,$B$8,K131,E131,F131,G131,L131,M131,N131,O131,P131,Q131,$T$40)</f>
        <v>7.2557747464604898E-7</v>
      </c>
    </row>
    <row r="132" spans="1:20" x14ac:dyDescent="0.2">
      <c r="L132" s="67"/>
      <c r="M132" s="67"/>
      <c r="N132" s="4"/>
    </row>
    <row r="133" spans="1:20" x14ac:dyDescent="0.2">
      <c r="H133" s="21">
        <f>H131/0.514</f>
        <v>-3.0497286858136423</v>
      </c>
    </row>
    <row r="134" spans="1:20" x14ac:dyDescent="0.2">
      <c r="A134" s="1" t="s">
        <v>320</v>
      </c>
    </row>
    <row r="135" spans="1:20" x14ac:dyDescent="0.2">
      <c r="B135" s="1" t="s">
        <v>317</v>
      </c>
      <c r="E135" s="1" t="s">
        <v>305</v>
      </c>
      <c r="H135" s="1" t="s">
        <v>303</v>
      </c>
      <c r="K135" s="1" t="s">
        <v>299</v>
      </c>
      <c r="L135" s="1" t="s">
        <v>306</v>
      </c>
      <c r="M135" s="1"/>
      <c r="O135" s="1" t="s">
        <v>319</v>
      </c>
      <c r="R135" s="1" t="s">
        <v>318</v>
      </c>
    </row>
    <row r="136" spans="1:20" ht="13.5" thickBot="1" x14ac:dyDescent="0.25">
      <c r="A136" s="1" t="s">
        <v>300</v>
      </c>
      <c r="B136" s="1" t="s">
        <v>309</v>
      </c>
      <c r="C136" s="1" t="s">
        <v>310</v>
      </c>
      <c r="D136" s="1" t="s">
        <v>311</v>
      </c>
      <c r="E136" s="1" t="s">
        <v>312</v>
      </c>
      <c r="F136" s="1" t="s">
        <v>313</v>
      </c>
      <c r="G136" s="1" t="s">
        <v>302</v>
      </c>
      <c r="H136" s="1" t="s">
        <v>314</v>
      </c>
      <c r="I136" s="1" t="s">
        <v>315</v>
      </c>
      <c r="J136" s="1" t="s">
        <v>316</v>
      </c>
      <c r="K136" s="1"/>
      <c r="L136" s="1" t="s">
        <v>301</v>
      </c>
      <c r="M136" s="1"/>
      <c r="N136" s="1" t="s">
        <v>49</v>
      </c>
      <c r="O136" s="1" t="s">
        <v>301</v>
      </c>
      <c r="P136" s="1" t="s">
        <v>50</v>
      </c>
      <c r="Q136" s="1" t="s">
        <v>49</v>
      </c>
      <c r="R136" s="1" t="s">
        <v>301</v>
      </c>
      <c r="S136" s="1" t="s">
        <v>50</v>
      </c>
      <c r="T136" s="1" t="s">
        <v>49</v>
      </c>
    </row>
    <row r="137" spans="1:20" x14ac:dyDescent="0.2">
      <c r="A137">
        <v>0</v>
      </c>
      <c r="B137" s="216">
        <f>C26</f>
        <v>0</v>
      </c>
      <c r="C137" s="161">
        <f>C27</f>
        <v>0</v>
      </c>
      <c r="D137" s="161">
        <f>C28</f>
        <v>0</v>
      </c>
      <c r="E137" s="291">
        <f>C30</f>
        <v>4</v>
      </c>
      <c r="F137" s="291">
        <f>C31</f>
        <v>0</v>
      </c>
      <c r="G137" s="292">
        <f>C32</f>
        <v>0</v>
      </c>
      <c r="H137" s="21">
        <v>0</v>
      </c>
      <c r="I137" s="21">
        <v>0</v>
      </c>
      <c r="J137" s="21">
        <v>0</v>
      </c>
      <c r="K137" s="67" cm="1">
        <f t="array" ref="K137">-Lininterp(Powering!$A$55:$A$71,Powering!$Y$55:$Y$71,E137/0.514)</f>
        <v>-1646.4386422496775</v>
      </c>
      <c r="L137" s="67" cm="1">
        <f t="array" ref="L137">OarForces(SUM(Input!$B$37:$B$39),$C$10,$C$34,$C$35,$C$33,E137,F137,G137, $L$136)</f>
        <v>1144.4779158473145</v>
      </c>
      <c r="M137" s="67"/>
      <c r="N137" s="4" cm="1">
        <f t="array" ref="N137">OarForces(SUM(Input!$B$37:$B$39),$C$10,$C$34,$C$35,$C$33,E137,F137,G137, $N$136)</f>
        <v>5150.1506213129151</v>
      </c>
      <c r="O137" s="67" cm="1">
        <f t="array" ref="O137">$C$11*IF($C$24="Y",RudderForces($C$15,$C$16,$C$13,$C$14,$C$12,$C$23,E137,F137,G137,$O$40),0)</f>
        <v>-7679.6326522152231</v>
      </c>
      <c r="P137" s="67" cm="1">
        <f t="array" ref="P137">$C$11*IF($C$24="Y",RudderForces($C$15,$C$16,$C$13,$C$14,$C$12,$C$23,E137,F137,G137,$P$40),0)</f>
        <v>-2949.2931813884693</v>
      </c>
      <c r="Q137" s="67" cm="1">
        <f t="array" ref="Q137">$C$11*IF($C$24="Y",RudderForces($C$15,$C$16,$C$13,$C$14,$C$12,$C$23,E137,F137,G137,$Q$40),0)</f>
        <v>23521.410843840033</v>
      </c>
      <c r="R137" cm="1">
        <f t="array" ref="R137">ManAcceleration($C$3,$C$4,$C$5,$C$6,$C$7,$C$8,K137,E137,F137,G137,L137,0,N137,O137,P137,Q137,$R$136)</f>
        <v>-0.53467887923113</v>
      </c>
      <c r="S137" cm="1">
        <f t="array" ref="S137">ManAcceleration($C$3,$C$4,$C$5,$C$6,$C$7,$C$8,K137,E137,F137,G137,L137,0,N137,O137,P137,Q137,$S$136)</f>
        <v>-0.11609265523927083</v>
      </c>
      <c r="T137" cm="1">
        <f t="array" ref="T137">ManAcceleration($C$3,$C$4,$C$5,$C$6,$C$7,$C$8,K137,E137,F137,G137,L137,0,N137,O137,P137,Q137,$T$136)</f>
        <v>4.1006334338756022E-2</v>
      </c>
    </row>
    <row r="138" spans="1:20" x14ac:dyDescent="0.2">
      <c r="A138">
        <f>A137+1</f>
        <v>1</v>
      </c>
      <c r="B138" s="268">
        <f>B137+H138</f>
        <v>3.4653211207688699</v>
      </c>
      <c r="C138" s="21">
        <f t="shared" ref="C138" si="30">C137+I138</f>
        <v>-0.11609265523927083</v>
      </c>
      <c r="D138" s="21">
        <f t="shared" ref="D138" si="31">D137+J138</f>
        <v>4.1006334338756022E-2</v>
      </c>
      <c r="E138" s="21">
        <f>E137+R137/$B$37</f>
        <v>3.4653211207688699</v>
      </c>
      <c r="F138" s="21">
        <f>F137+S137/$B$37</f>
        <v>-0.11609265523927083</v>
      </c>
      <c r="G138" s="269">
        <f>G137+T137/$B$37</f>
        <v>4.1006334338756022E-2</v>
      </c>
      <c r="H138" s="21">
        <f>E138*COS(D137)-F138*SIN(D137)</f>
        <v>3.4653211207688699</v>
      </c>
      <c r="I138" s="21">
        <f>F138*COS(D137)+E138*SIN(D137)</f>
        <v>-0.11609265523927083</v>
      </c>
      <c r="J138" s="21">
        <f>G138</f>
        <v>4.1006334338756022E-2</v>
      </c>
      <c r="K138" s="67" cm="1">
        <f t="array" ref="K138">-Lininterp(Powering!$A$55:$A$71,Powering!$Y$55:$Y$71,E138/0.514)</f>
        <v>-1132.1990948596792</v>
      </c>
      <c r="L138" s="67" cm="1">
        <f t="array" ref="L138">OarForces(SUM(Input!$B$37:$B$39),$C$10,$C$34,$C$35,$C$33,E138,F138,G138, $L$136)</f>
        <v>1220.780157103505</v>
      </c>
      <c r="M138" s="67"/>
      <c r="N138" s="4" cm="1">
        <f t="array" ref="N138">OarForces(SUM(Input!$B$37:$B$39),$C$10,$C$34,$C$35,$C$33,E138,F138,G138, $N$136)</f>
        <v>5493.5107069657724</v>
      </c>
      <c r="O138" s="67" cm="1">
        <f t="array" ref="O138">$C$11*IF($C$24="Y",RudderForces($C$15,$C$16,$C$13,$C$14,$C$12,$C$23,E138,F138,G138,$O$40),0)</f>
        <v>-5911.4181665714032</v>
      </c>
      <c r="P138" s="67" cm="1">
        <f t="array" ref="P138">$C$11*IF($C$24="Y",RudderForces($C$15,$C$16,$C$13,$C$14,$C$12,$C$23,E138,F138,G138,$P$40),0)</f>
        <v>-2214.3832898647725</v>
      </c>
      <c r="Q138" s="67" cm="1">
        <f t="array" ref="Q138">$C$11*IF($C$24="Y",RudderForces($C$15,$C$16,$C$13,$C$14,$C$12,$C$23,E138,F138,G138,$Q$40),0)</f>
        <v>17660.30568114718</v>
      </c>
      <c r="R138" cm="1">
        <f t="array" ref="R138">ManAcceleration($C$3,$C$4,$C$5,$C$6,$C$7,$C$8,K138,E138,F138,G138,L138,0,N138,O138,P138,Q138,$R$136)</f>
        <v>-0.38501442262830587</v>
      </c>
      <c r="S138" cm="1">
        <f t="array" ref="S138">ManAcceleration($C$3,$C$4,$C$5,$C$6,$C$7,$C$8,K138,E138,F138,G138,L138,0,N138,O138,P138,Q138,$S$136)</f>
        <v>-9.6548276619140866E-2</v>
      </c>
      <c r="T138" cm="1">
        <f t="array" ref="T138">ManAcceleration($C$3,$C$4,$C$5,$C$6,$C$7,$C$8,K138,E138,F138,G138,L138,0,N138,O138,P138,Q138,$T$136)</f>
        <v>2.0172552055517188E-2</v>
      </c>
    </row>
    <row r="139" spans="1:20" x14ac:dyDescent="0.2">
      <c r="A139">
        <f t="shared" ref="A139:A202" si="32">A138+1</f>
        <v>2</v>
      </c>
      <c r="B139" s="268">
        <f t="shared" ref="B139:B202" si="33">B138+H139</f>
        <v>6.5517555656152959</v>
      </c>
      <c r="C139" s="21">
        <f t="shared" ref="C139:C202" si="34">C138+I139</f>
        <v>-0.20227814228188656</v>
      </c>
      <c r="D139" s="21">
        <f t="shared" ref="D139:D202" si="35">D138+J139</f>
        <v>0.10218522073302924</v>
      </c>
      <c r="E139" s="21">
        <f t="shared" ref="E139:E202" si="36">E138+R138/$B$37</f>
        <v>3.0803066981405642</v>
      </c>
      <c r="F139" s="21">
        <f t="shared" ref="F139:F202" si="37">F138+S138/$B$37</f>
        <v>-0.21264093185841171</v>
      </c>
      <c r="G139" s="269">
        <f t="shared" ref="G139:G202" si="38">G138+T138/$B$37</f>
        <v>6.1178886394273213E-2</v>
      </c>
      <c r="H139" s="21">
        <f t="shared" ref="H139:H202" si="39">E139*COS(D138)-F139*SIN(D138)</f>
        <v>3.086434444846426</v>
      </c>
      <c r="I139" s="21">
        <f t="shared" ref="I139:I202" si="40">F139*COS(D138)+E139*SIN(D138)</f>
        <v>-8.6185487042615722E-2</v>
      </c>
      <c r="J139" s="21">
        <f t="shared" ref="J139:J202" si="41">G139</f>
        <v>6.1178886394273213E-2</v>
      </c>
      <c r="K139" s="67" cm="1">
        <f t="array" ref="K139">-Lininterp(Powering!$A$55:$A$71,Powering!$Y$55:$Y$71,E139/0.514)</f>
        <v>-801.48592796684545</v>
      </c>
      <c r="L139" s="67" cm="1">
        <f t="array" ref="L139">OarForces(SUM(Input!$B$37:$B$39),$C$10,$C$34,$C$35,$C$33,E139,F139,G139, $L$136)</f>
        <v>1284.8983639730045</v>
      </c>
      <c r="M139" s="67"/>
      <c r="N139" s="4" cm="1">
        <f t="array" ref="N139">OarForces(SUM(Input!$B$37:$B$39),$C$10,$C$34,$C$35,$C$33,E139,F139,G139, $N$136)</f>
        <v>5782.0426378785205</v>
      </c>
      <c r="O139" s="67" cm="1">
        <f t="array" ref="O139">$C$11*IF($C$24="Y",RudderForces($C$15,$C$16,$C$13,$C$14,$C$12,$C$23,E139,F139,G139,$O$40),0)</f>
        <v>-4758.5535844434016</v>
      </c>
      <c r="P139" s="67" cm="1">
        <f t="array" ref="P139">$C$11*IF($C$24="Y",RudderForces($C$15,$C$16,$C$13,$C$14,$C$12,$C$23,E139,F139,G139,$P$40),0)</f>
        <v>-1753.2811586720513</v>
      </c>
      <c r="Q139" s="67" cm="1">
        <f t="array" ref="Q139">$C$11*IF($C$24="Y",RudderForces($C$15,$C$16,$C$13,$C$14,$C$12,$C$23,E139,F139,G139,$Q$40),0)</f>
        <v>13982.891466379884</v>
      </c>
      <c r="R139" cm="1">
        <f t="array" ref="R139">ManAcceleration($C$3,$C$4,$C$5,$C$6,$C$7,$C$8,K139,E139,F139,G139,L139,0,N139,O139,P139,Q139,$R$136)</f>
        <v>-0.29163911826457078</v>
      </c>
      <c r="S139" cm="1">
        <f t="array" ref="S139">ManAcceleration($C$3,$C$4,$C$5,$C$6,$C$7,$C$8,K139,E139,F139,G139,L139,0,N139,O139,P139,Q139,$S$136)</f>
        <v>-7.6160681881729822E-2</v>
      </c>
      <c r="T139" cm="1">
        <f t="array" ref="T139">ManAcceleration($C$3,$C$4,$C$5,$C$6,$C$7,$C$8,K139,E139,F139,G139,L139,0,N139,O139,P139,Q139,$T$136)</f>
        <v>1.0844175121296012E-2</v>
      </c>
    </row>
    <row r="140" spans="1:20" x14ac:dyDescent="0.2">
      <c r="A140">
        <f t="shared" si="32"/>
        <v>3</v>
      </c>
      <c r="B140" s="268">
        <f t="shared" si="33"/>
        <v>9.3553363533431053</v>
      </c>
      <c r="C140" s="21">
        <f t="shared" si="34"/>
        <v>-0.20510830727012014</v>
      </c>
      <c r="D140" s="21">
        <f t="shared" si="35"/>
        <v>0.17420828224859847</v>
      </c>
      <c r="E140" s="21">
        <f t="shared" si="36"/>
        <v>2.7886675798759937</v>
      </c>
      <c r="F140" s="21">
        <f t="shared" si="37"/>
        <v>-0.28880161374014152</v>
      </c>
      <c r="G140" s="269">
        <f t="shared" si="38"/>
        <v>7.2023061515569226E-2</v>
      </c>
      <c r="H140" s="21">
        <f t="shared" si="39"/>
        <v>2.8035807877278085</v>
      </c>
      <c r="I140" s="21">
        <f t="shared" si="40"/>
        <v>-2.8301649882335744E-3</v>
      </c>
      <c r="J140" s="21">
        <f t="shared" si="41"/>
        <v>7.2023061515569226E-2</v>
      </c>
      <c r="K140" s="67" cm="1">
        <f t="array" ref="K140">-Lininterp(Powering!$A$55:$A$71,Powering!$Y$55:$Y$71,E140/0.514)</f>
        <v>-641.5876682852188</v>
      </c>
      <c r="L140" s="67" cm="1">
        <f t="array" ref="L140">OarForces(SUM(Input!$B$37:$B$39),$C$10,$C$34,$C$35,$C$33,E140,F140,G140, $L$136)</f>
        <v>1337.8163752091841</v>
      </c>
      <c r="M140" s="67"/>
      <c r="N140" s="4" cm="1">
        <f t="array" ref="N140">OarForces(SUM(Input!$B$37:$B$39),$C$10,$C$34,$C$35,$C$33,E140,F140,G140, $N$136)</f>
        <v>6020.1736884413285</v>
      </c>
      <c r="O140" s="67" cm="1">
        <f t="array" ref="O140">$C$11*IF($C$24="Y",RudderForces($C$15,$C$16,$C$13,$C$14,$C$12,$C$23,E140,F140,G140,$O$40),0)</f>
        <v>-3957.9100677466486</v>
      </c>
      <c r="P140" s="67" cm="1">
        <f t="array" ref="P140">$C$11*IF($C$24="Y",RudderForces($C$15,$C$16,$C$13,$C$14,$C$12,$C$23,E140,F140,G140,$P$40),0)</f>
        <v>-1441.1460496285947</v>
      </c>
      <c r="Q140" s="67" cm="1">
        <f t="array" ref="Q140">$C$11*IF($C$24="Y",RudderForces($C$15,$C$16,$C$13,$C$14,$C$12,$C$23,E140,F140,G140,$Q$40),0)</f>
        <v>11493.529545724186</v>
      </c>
      <c r="R140" cm="1">
        <f t="array" ref="R140">ManAcceleration($C$3,$C$4,$C$5,$C$6,$C$7,$C$8,K140,E140,F140,G140,L140,0,N140,O140,P140,Q140,$R$136)</f>
        <v>-0.23274615546403066</v>
      </c>
      <c r="S140" cm="1">
        <f t="array" ref="S140">ManAcceleration($C$3,$C$4,$C$5,$C$6,$C$7,$C$8,K140,E140,F140,G140,L140,0,N140,O140,P140,Q140,$S$136)</f>
        <v>-5.9697896881092886E-2</v>
      </c>
      <c r="T140" cm="1">
        <f t="array" ref="T140">ManAcceleration($C$3,$C$4,$C$5,$C$6,$C$7,$C$8,K140,E140,F140,G140,L140,0,N140,O140,P140,Q140,$T$136)</f>
        <v>6.393563993638338E-3</v>
      </c>
    </row>
    <row r="141" spans="1:20" x14ac:dyDescent="0.2">
      <c r="A141">
        <f t="shared" si="32"/>
        <v>4</v>
      </c>
      <c r="B141" s="268">
        <f t="shared" si="33"/>
        <v>11.932976424846451</v>
      </c>
      <c r="C141" s="21">
        <f t="shared" si="34"/>
        <v>-0.10531903704762541</v>
      </c>
      <c r="D141" s="21">
        <f t="shared" si="35"/>
        <v>0.25262490775780605</v>
      </c>
      <c r="E141" s="21">
        <f t="shared" si="36"/>
        <v>2.555921424411963</v>
      </c>
      <c r="F141" s="21">
        <f t="shared" si="37"/>
        <v>-0.34849951062123441</v>
      </c>
      <c r="G141" s="269">
        <f t="shared" si="38"/>
        <v>7.8416625509207569E-2</v>
      </c>
      <c r="H141" s="21">
        <f t="shared" si="39"/>
        <v>2.577640071503347</v>
      </c>
      <c r="I141" s="21">
        <f t="shared" si="40"/>
        <v>9.978927022249473E-2</v>
      </c>
      <c r="J141" s="21">
        <f t="shared" si="41"/>
        <v>7.8416625509207569E-2</v>
      </c>
      <c r="K141" s="67" cm="1">
        <f t="array" ref="K141">-Lininterp(Powering!$A$55:$A$71,Powering!$Y$55:$Y$71,E141/0.514)</f>
        <v>-516.4339974731954</v>
      </c>
      <c r="L141" s="67" cm="1">
        <f t="array" ref="L141">OarForces(SUM(Input!$B$37:$B$39),$C$10,$C$34,$C$35,$C$33,E141,F141,G141, $L$136)</f>
        <v>1382.2651599298065</v>
      </c>
      <c r="M141" s="67"/>
      <c r="N141" s="4" cm="1">
        <f t="array" ref="N141">OarForces(SUM(Input!$B$37:$B$39),$C$10,$C$34,$C$35,$C$33,E141,F141,G141, $N$136)</f>
        <v>6220.193219684129</v>
      </c>
      <c r="O141" s="67" cm="1">
        <f t="array" ref="O141">$C$11*IF($C$24="Y",RudderForces($C$15,$C$16,$C$13,$C$14,$C$12,$C$23,E141,F141,G141,$O$40),0)</f>
        <v>-3367.3885705957732</v>
      </c>
      <c r="P141" s="67" cm="1">
        <f t="array" ref="P141">$C$11*IF($C$24="Y",RudderForces($C$15,$C$16,$C$13,$C$14,$C$12,$C$23,E141,F141,G141,$P$40),0)</f>
        <v>-1215.2247671543942</v>
      </c>
      <c r="Q141" s="67" cm="1">
        <f t="array" ref="Q141">$C$11*IF($C$24="Y",RudderForces($C$15,$C$16,$C$13,$C$14,$C$12,$C$23,E141,F141,G141,$Q$40),0)</f>
        <v>9691.7462109994958</v>
      </c>
      <c r="R141" cm="1">
        <f t="array" ref="R141">ManAcceleration($C$3,$C$4,$C$5,$C$6,$C$7,$C$8,K141,E141,F141,G141,L141,0,N141,O141,P141,Q141,$R$136)</f>
        <v>-0.18921907654832273</v>
      </c>
      <c r="S141" cm="1">
        <f t="array" ref="S141">ManAcceleration($C$3,$C$4,$C$5,$C$6,$C$7,$C$8,K141,E141,F141,G141,L141,0,N141,O141,P141,Q141,$S$136)</f>
        <v>-4.6961190707363751E-2</v>
      </c>
      <c r="T141" cm="1">
        <f t="array" ref="T141">ManAcceleration($C$3,$C$4,$C$5,$C$6,$C$7,$C$8,K141,E141,F141,G141,L141,0,N141,O141,P141,Q141,$T$136)</f>
        <v>4.0569967298062781E-3</v>
      </c>
    </row>
    <row r="142" spans="1:20" x14ac:dyDescent="0.2">
      <c r="A142">
        <f t="shared" si="32"/>
        <v>5</v>
      </c>
      <c r="B142" s="268">
        <f t="shared" si="33"/>
        <v>14.323402846200512</v>
      </c>
      <c r="C142" s="21">
        <f t="shared" si="34"/>
        <v>0.10332106880690967</v>
      </c>
      <c r="D142" s="21">
        <f t="shared" si="35"/>
        <v>0.33509852999681988</v>
      </c>
      <c r="E142" s="21">
        <f t="shared" si="36"/>
        <v>2.3667023478636402</v>
      </c>
      <c r="F142" s="21">
        <f t="shared" si="37"/>
        <v>-0.39546070132859817</v>
      </c>
      <c r="G142" s="269">
        <f t="shared" si="38"/>
        <v>8.2473622239013847E-2</v>
      </c>
      <c r="H142" s="21">
        <f t="shared" si="39"/>
        <v>2.3904264213540607</v>
      </c>
      <c r="I142" s="21">
        <f t="shared" si="40"/>
        <v>0.20864010585453507</v>
      </c>
      <c r="J142" s="21">
        <f t="shared" si="41"/>
        <v>8.2473622239013847E-2</v>
      </c>
      <c r="K142" s="67" cm="1">
        <f t="array" ref="K142">-Lininterp(Powering!$A$55:$A$71,Powering!$Y$55:$Y$71,E142/0.514)</f>
        <v>-445.6869010691687</v>
      </c>
      <c r="L142" s="67" cm="1">
        <f t="array" ref="L142">OarForces(SUM(Input!$B$37:$B$39),$C$10,$C$34,$C$35,$C$33,E142,F142,G142, $L$136)</f>
        <v>1419.5200933147839</v>
      </c>
      <c r="M142" s="67"/>
      <c r="N142" s="4" cm="1">
        <f t="array" ref="N142">OarForces(SUM(Input!$B$37:$B$39),$C$10,$C$34,$C$35,$C$33,E142,F142,G142, $N$136)</f>
        <v>6387.8404199165279</v>
      </c>
      <c r="O142" s="67" cm="1">
        <f t="array" ref="O142">$C$11*IF($C$24="Y",RudderForces($C$15,$C$16,$C$13,$C$14,$C$12,$C$23,E142,F142,G142,$O$40),0)</f>
        <v>-2920.8542714490759</v>
      </c>
      <c r="P142" s="67" cm="1">
        <f t="array" ref="P142">$C$11*IF($C$24="Y",RudderForces($C$15,$C$16,$C$13,$C$14,$C$12,$C$23,E142,F142,G142,$P$40),0)</f>
        <v>-1046.8238604147884</v>
      </c>
      <c r="Q142" s="67" cm="1">
        <f t="array" ref="Q142">$C$11*IF($C$24="Y",RudderForces($C$15,$C$16,$C$13,$C$14,$C$12,$C$23,E142,F142,G142,$Q$40),0)</f>
        <v>8348.7034308196417</v>
      </c>
      <c r="R142" cm="1">
        <f t="array" ref="R142">ManAcceleration($C$3,$C$4,$C$5,$C$6,$C$7,$C$8,K142,E142,F142,G142,L142,0,N142,O142,P142,Q142,$R$136)</f>
        <v>-0.15795875609322671</v>
      </c>
      <c r="S142" cm="1">
        <f t="array" ref="S142">ManAcceleration($C$3,$C$4,$C$5,$C$6,$C$7,$C$8,K142,E142,F142,G142,L142,0,N142,O142,P142,Q142,$S$136)</f>
        <v>-3.7227860893343567E-2</v>
      </c>
      <c r="T142" cm="1">
        <f t="array" ref="T142">ManAcceleration($C$3,$C$4,$C$5,$C$6,$C$7,$C$8,K142,E142,F142,G142,L142,0,N142,O142,P142,Q142,$T$136)</f>
        <v>2.7274365815119547E-3</v>
      </c>
    </row>
    <row r="143" spans="1:20" x14ac:dyDescent="0.2">
      <c r="A143">
        <f t="shared" si="32"/>
        <v>6</v>
      </c>
      <c r="B143" s="268">
        <f t="shared" si="33"/>
        <v>16.551586427849429</v>
      </c>
      <c r="C143" s="21">
        <f t="shared" si="34"/>
        <v>0.42107187137829122</v>
      </c>
      <c r="D143" s="21">
        <f t="shared" si="35"/>
        <v>0.42029958881734569</v>
      </c>
      <c r="E143" s="21">
        <f t="shared" si="36"/>
        <v>2.2087435917704137</v>
      </c>
      <c r="F143" s="21">
        <f t="shared" si="37"/>
        <v>-0.43268856222194174</v>
      </c>
      <c r="G143" s="269">
        <f t="shared" si="38"/>
        <v>8.5201058820525796E-2</v>
      </c>
      <c r="H143" s="21">
        <f t="shared" si="39"/>
        <v>2.2281835816489179</v>
      </c>
      <c r="I143" s="21">
        <f t="shared" si="40"/>
        <v>0.31775080257138155</v>
      </c>
      <c r="J143" s="21">
        <f t="shared" si="41"/>
        <v>8.5201058820525796E-2</v>
      </c>
      <c r="K143" s="67" cm="1">
        <f t="array" ref="K143">-Lininterp(Powering!$A$55:$A$71,Powering!$Y$55:$Y$71,E143/0.514)</f>
        <v>-386.62772189420991</v>
      </c>
      <c r="L143" s="67" cm="1">
        <f t="array" ref="L143">OarForces(SUM(Input!$B$37:$B$39),$C$10,$C$34,$C$35,$C$33,E143,F143,G143, $L$136)</f>
        <v>1451.2667800547963</v>
      </c>
      <c r="M143" s="67"/>
      <c r="N143" s="4" cm="1">
        <f t="array" ref="N143">OarForces(SUM(Input!$B$37:$B$39),$C$10,$C$34,$C$35,$C$33,E143,F143,G143, $N$136)</f>
        <v>6530.7005102465837</v>
      </c>
      <c r="O143" s="67" cm="1">
        <f t="array" ref="O143">$C$11*IF($C$24="Y",RudderForces($C$15,$C$16,$C$13,$C$14,$C$12,$C$23,E143,F143,G143,$O$40),0)</f>
        <v>-2571.7761449495274</v>
      </c>
      <c r="P143" s="67" cm="1">
        <f t="array" ref="P143">$C$11*IF($C$24="Y",RudderForces($C$15,$C$16,$C$13,$C$14,$C$12,$C$23,E143,F143,G143,$P$40),0)</f>
        <v>-916.72487323471387</v>
      </c>
      <c r="Q143" s="67" cm="1">
        <f t="array" ref="Q143">$C$11*IF($C$24="Y",RudderForces($C$15,$C$16,$C$13,$C$14,$C$12,$C$23,E143,F143,G143,$Q$40),0)</f>
        <v>7311.1288189970992</v>
      </c>
      <c r="R143" cm="1">
        <f t="array" ref="R143">ManAcceleration($C$3,$C$4,$C$5,$C$6,$C$7,$C$8,K143,E143,F143,G143,L143,0,N143,O143,P143,Q143,$R$136)</f>
        <v>-0.13321493974350854</v>
      </c>
      <c r="S143" cm="1">
        <f t="array" ref="S143">ManAcceleration($C$3,$C$4,$C$5,$C$6,$C$7,$C$8,K143,E143,F143,G143,L143,0,N143,O143,P143,Q143,$S$136)</f>
        <v>-2.9694418722629606E-2</v>
      </c>
      <c r="T143" cm="1">
        <f t="array" ref="T143">ManAcceleration($C$3,$C$4,$C$5,$C$6,$C$7,$C$8,K143,E143,F143,G143,L143,0,N143,O143,P143,Q143,$T$136)</f>
        <v>1.9076621577470015E-3</v>
      </c>
    </row>
    <row r="144" spans="1:20" x14ac:dyDescent="0.2">
      <c r="A144">
        <f t="shared" si="32"/>
        <v>7</v>
      </c>
      <c r="B144" s="268">
        <f t="shared" si="33"/>
        <v>18.635143023482765</v>
      </c>
      <c r="C144" s="21">
        <f t="shared" si="34"/>
        <v>0.8458178180860062</v>
      </c>
      <c r="D144" s="21">
        <f t="shared" si="35"/>
        <v>0.50740830979561846</v>
      </c>
      <c r="E144" s="21">
        <f t="shared" si="36"/>
        <v>2.0755286520269052</v>
      </c>
      <c r="F144" s="21">
        <f t="shared" si="37"/>
        <v>-0.46238298094457136</v>
      </c>
      <c r="G144" s="269">
        <f t="shared" si="38"/>
        <v>8.7108720978272797E-2</v>
      </c>
      <c r="H144" s="21">
        <f t="shared" si="39"/>
        <v>2.0835565956333362</v>
      </c>
      <c r="I144" s="21">
        <f t="shared" si="40"/>
        <v>0.42474594670771498</v>
      </c>
      <c r="J144" s="21">
        <f t="shared" si="41"/>
        <v>8.7108720978272797E-2</v>
      </c>
      <c r="K144" s="67" cm="1">
        <f t="array" ref="K144">-Lininterp(Powering!$A$55:$A$71,Powering!$Y$55:$Y$71,E144/0.514)</f>
        <v>-336.82000505925441</v>
      </c>
      <c r="L144" s="67" cm="1">
        <f t="array" ref="L144">OarForces(SUM(Input!$B$37:$B$39),$C$10,$C$34,$C$35,$C$33,E144,F144,G144, $L$136)</f>
        <v>1478.425349961575</v>
      </c>
      <c r="M144" s="67"/>
      <c r="N144" s="4" cm="1">
        <f t="array" ref="N144">OarForces(SUM(Input!$B$37:$B$39),$C$10,$C$34,$C$35,$C$33,E144,F144,G144, $N$136)</f>
        <v>6652.9140748270875</v>
      </c>
      <c r="O144" s="67" cm="1">
        <f t="array" ref="O144">$C$11*IF($C$24="Y",RudderForces($C$15,$C$16,$C$13,$C$14,$C$12,$C$23,E144,F144,G144,$O$40),0)</f>
        <v>-2294.3828691263461</v>
      </c>
      <c r="P144" s="67" cm="1">
        <f t="array" ref="P144">$C$11*IF($C$24="Y",RudderForces($C$15,$C$16,$C$13,$C$14,$C$12,$C$23,E144,F144,G144,$P$40),0)</f>
        <v>-814.35189528342528</v>
      </c>
      <c r="Q144" s="67" cm="1">
        <f t="array" ref="Q144">$C$11*IF($C$24="Y",RudderForces($C$15,$C$16,$C$13,$C$14,$C$12,$C$23,E144,F144,G144,$Q$40),0)</f>
        <v>6494.6766300811041</v>
      </c>
      <c r="R144" cm="1">
        <f t="array" ref="R144">ManAcceleration($C$3,$C$4,$C$5,$C$6,$C$7,$C$8,K144,E144,F144,G144,L144,0,N144,O144,P144,Q144,$R$136)</f>
        <v>-0.11327064856581225</v>
      </c>
      <c r="S144" cm="1">
        <f t="array" ref="S144">ManAcceleration($C$3,$C$4,$C$5,$C$6,$C$7,$C$8,K144,E144,F144,G144,L144,0,N144,O144,P144,Q144,$S$136)</f>
        <v>-2.3810783946085833E-2</v>
      </c>
      <c r="T144" cm="1">
        <f t="array" ref="T144">ManAcceleration($C$3,$C$4,$C$5,$C$6,$C$7,$C$8,K144,E144,F144,G144,L144,0,N144,O144,P144,Q144,$T$136)</f>
        <v>1.3726229780652761E-3</v>
      </c>
    </row>
    <row r="145" spans="1:20" x14ac:dyDescent="0.2">
      <c r="A145">
        <f t="shared" si="32"/>
        <v>8</v>
      </c>
      <c r="B145" s="268">
        <f t="shared" si="33"/>
        <v>20.586418045486166</v>
      </c>
      <c r="C145" s="21">
        <f t="shared" si="34"/>
        <v>1.3743692703319463</v>
      </c>
      <c r="D145" s="21">
        <f t="shared" si="35"/>
        <v>0.59588965375195657</v>
      </c>
      <c r="E145" s="21">
        <f t="shared" si="36"/>
        <v>1.962258003461093</v>
      </c>
      <c r="F145" s="21">
        <f t="shared" si="37"/>
        <v>-0.48619376489065719</v>
      </c>
      <c r="G145" s="269">
        <f t="shared" si="38"/>
        <v>8.8481343956338068E-2</v>
      </c>
      <c r="H145" s="21">
        <f t="shared" si="39"/>
        <v>1.9512750220034012</v>
      </c>
      <c r="I145" s="21">
        <f t="shared" si="40"/>
        <v>0.52855145224594025</v>
      </c>
      <c r="J145" s="21">
        <f t="shared" si="41"/>
        <v>8.8481343956338068E-2</v>
      </c>
      <c r="K145" s="67" cm="1">
        <f t="array" ref="K145">-Lininterp(Powering!$A$55:$A$71,Powering!$Y$55:$Y$71,E145/0.514)</f>
        <v>-304.38463597258686</v>
      </c>
      <c r="L145" s="67" cm="1">
        <f t="array" ref="L145">OarForces(SUM(Input!$B$37:$B$39),$C$10,$C$34,$C$35,$C$33,E145,F145,G145, $L$136)</f>
        <v>1501.7624673861678</v>
      </c>
      <c r="M145" s="67"/>
      <c r="N145" s="4" cm="1">
        <f t="array" ref="N145">OarForces(SUM(Input!$B$37:$B$39),$C$10,$C$34,$C$35,$C$33,E145,F145,G145, $N$136)</f>
        <v>6757.9311032377555</v>
      </c>
      <c r="O145" s="67" cm="1">
        <f t="array" ref="O145">$C$11*IF($C$24="Y",RudderForces($C$15,$C$16,$C$13,$C$14,$C$12,$C$23,E145,F145,G145,$O$40),0)</f>
        <v>-2070.8200500960393</v>
      </c>
      <c r="P145" s="67" cm="1">
        <f t="array" ref="P145">$C$11*IF($C$24="Y",RudderForces($C$15,$C$16,$C$13,$C$14,$C$12,$C$23,E145,F145,G145,$P$40),0)</f>
        <v>-732.52409760270098</v>
      </c>
      <c r="Q145" s="67" cm="1">
        <f t="array" ref="Q145">$C$11*IF($C$24="Y",RudderForces($C$15,$C$16,$C$13,$C$14,$C$12,$C$23,E145,F145,G145,$Q$40),0)</f>
        <v>5842.0778108654358</v>
      </c>
      <c r="R145" cm="1">
        <f t="array" ref="R145">ManAcceleration($C$3,$C$4,$C$5,$C$6,$C$7,$C$8,K145,E145,F145,G145,L145,0,N145,O145,P145,Q145,$R$136)</f>
        <v>-9.7597723510547046E-2</v>
      </c>
      <c r="S145" cm="1">
        <f t="array" ref="S145">ManAcceleration($C$3,$C$4,$C$5,$C$6,$C$7,$C$8,K145,E145,F145,G145,L145,0,N145,O145,P145,Q145,$S$136)</f>
        <v>-1.9166443344949827E-2</v>
      </c>
      <c r="T145" cm="1">
        <f t="array" ref="T145">ManAcceleration($C$3,$C$4,$C$5,$C$6,$C$7,$C$8,K145,E145,F145,G145,L145,0,N145,O145,P145,Q145,$T$136)</f>
        <v>1.007143205825385E-3</v>
      </c>
    </row>
    <row r="146" spans="1:20" x14ac:dyDescent="0.2">
      <c r="A146">
        <f t="shared" si="32"/>
        <v>9</v>
      </c>
      <c r="B146" s="268">
        <f t="shared" si="33"/>
        <v>22.413334257753622</v>
      </c>
      <c r="C146" s="21">
        <f t="shared" si="34"/>
        <v>2.0026399548680951</v>
      </c>
      <c r="D146" s="21">
        <f t="shared" si="35"/>
        <v>0.68537814091411997</v>
      </c>
      <c r="E146" s="21">
        <f t="shared" si="36"/>
        <v>1.8646602799505461</v>
      </c>
      <c r="F146" s="21">
        <f t="shared" si="37"/>
        <v>-0.50536020823560701</v>
      </c>
      <c r="G146" s="269">
        <f t="shared" si="38"/>
        <v>8.9488487162163455E-2</v>
      </c>
      <c r="H146" s="21">
        <f t="shared" si="39"/>
        <v>1.8269162122674549</v>
      </c>
      <c r="I146" s="21">
        <f t="shared" si="40"/>
        <v>0.62827068453614865</v>
      </c>
      <c r="J146" s="21">
        <f t="shared" si="41"/>
        <v>8.9488487162163455E-2</v>
      </c>
      <c r="K146" s="67" cm="1">
        <f t="array" ref="K146">-Lininterp(Powering!$A$55:$A$71,Powering!$Y$55:$Y$71,E146/0.514)</f>
        <v>-278.2170469359159</v>
      </c>
      <c r="L146" s="67" cm="1">
        <f t="array" ref="L146">OarForces(SUM(Input!$B$37:$B$39),$C$10,$C$34,$C$35,$C$33,E146,F146,G146, $L$136)</f>
        <v>1522.0426463632357</v>
      </c>
      <c r="M146" s="67"/>
      <c r="N146" s="4" cm="1">
        <f t="array" ref="N146">OarForces(SUM(Input!$B$37:$B$39),$C$10,$C$34,$C$35,$C$33,E146,F146,G146, $N$136)</f>
        <v>6849.1919086345606</v>
      </c>
      <c r="O146" s="67" cm="1">
        <f t="array" ref="O146">$C$11*IF($C$24="Y",RudderForces($C$15,$C$16,$C$13,$C$14,$C$12,$C$23,E146,F146,G146,$O$40),0)</f>
        <v>-1887.2444290453413</v>
      </c>
      <c r="P146" s="67" cm="1">
        <f t="array" ref="P146">$C$11*IF($C$24="Y",RudderForces($C$15,$C$16,$C$13,$C$14,$C$12,$C$23,E146,F146,G146,$P$40),0)</f>
        <v>-665.80837311118864</v>
      </c>
      <c r="Q146" s="67" cm="1">
        <f t="array" ref="Q146">$C$11*IF($C$24="Y",RudderForces($C$15,$C$16,$C$13,$C$14,$C$12,$C$23,E146,F146,G146,$Q$40),0)</f>
        <v>5310.0018628342086</v>
      </c>
      <c r="R146" cm="1">
        <f t="array" ref="R146">ManAcceleration($C$3,$C$4,$C$5,$C$6,$C$7,$C$8,K146,E146,F146,G146,L146,0,N146,O146,P146,Q146,$R$136)</f>
        <v>-8.4641970244856757E-2</v>
      </c>
      <c r="S146" cm="1">
        <f t="array" ref="S146">ManAcceleration($C$3,$C$4,$C$5,$C$6,$C$7,$C$8,K146,E146,F146,G146,L146,0,N146,O146,P146,Q146,$S$136)</f>
        <v>-1.5447670899476957E-2</v>
      </c>
      <c r="T146" cm="1">
        <f t="array" ref="T146">ManAcceleration($C$3,$C$4,$C$5,$C$6,$C$7,$C$8,K146,E146,F146,G146,L146,0,N146,O146,P146,Q146,$T$136)</f>
        <v>7.4653822823630316E-4</v>
      </c>
    </row>
    <row r="147" spans="1:20" ht="13.5" thickBot="1" x14ac:dyDescent="0.25">
      <c r="A147">
        <f t="shared" si="32"/>
        <v>10</v>
      </c>
      <c r="B147" s="270">
        <f t="shared" si="33"/>
        <v>24.121041970521521</v>
      </c>
      <c r="C147" s="271">
        <f t="shared" si="34"/>
        <v>2.7261317638125475</v>
      </c>
      <c r="D147" s="271">
        <f t="shared" si="35"/>
        <v>0.77561316630451971</v>
      </c>
      <c r="E147" s="271">
        <f t="shared" si="36"/>
        <v>1.7800183097056892</v>
      </c>
      <c r="F147" s="271">
        <f t="shared" si="37"/>
        <v>-0.52080787913508397</v>
      </c>
      <c r="G147" s="272">
        <f t="shared" si="38"/>
        <v>9.0235025390399765E-2</v>
      </c>
      <c r="H147" s="21">
        <f t="shared" si="39"/>
        <v>1.7077077127678983</v>
      </c>
      <c r="I147" s="21">
        <f t="shared" si="40"/>
        <v>0.72349180894445253</v>
      </c>
      <c r="J147" s="21">
        <f t="shared" si="41"/>
        <v>9.0235025390399765E-2</v>
      </c>
      <c r="K147" s="67" cm="1">
        <f t="array" ref="K147">-Lininterp(Powering!$A$55:$A$71,Powering!$Y$55:$Y$71,E147/0.514)</f>
        <v>-255.52311296949307</v>
      </c>
      <c r="L147" s="67" cm="1">
        <f t="array" ref="L147">OarForces(SUM(Input!$B$37:$B$39),$C$10,$C$34,$C$35,$C$33,E147,F147,G147, $L$136)</f>
        <v>1539.7551523379234</v>
      </c>
      <c r="M147" s="67"/>
      <c r="N147" s="4" cm="1">
        <f t="array" ref="N147">OarForces(SUM(Input!$B$37:$B$39),$C$10,$C$34,$C$35,$C$33,E147,F147,G147, $N$136)</f>
        <v>6928.8981855206548</v>
      </c>
      <c r="O147" s="67" cm="1">
        <f t="array" ref="O147">$C$11*IF($C$24="Y",RudderForces($C$15,$C$16,$C$13,$C$14,$C$12,$C$23,E147,F147,G147,$O$40),0)</f>
        <v>-1734.7995317005405</v>
      </c>
      <c r="P147" s="67" cm="1">
        <f t="array" ref="P147">$C$11*IF($C$24="Y",RudderForces($C$15,$C$16,$C$13,$C$14,$C$12,$C$23,E147,F147,G147,$P$40),0)</f>
        <v>-610.74246422555109</v>
      </c>
      <c r="Q147" s="67" cm="1">
        <f t="array" ref="Q147">$C$11*IF($C$24="Y",RudderForces($C$15,$C$16,$C$13,$C$14,$C$12,$C$23,E147,F147,G147,$Q$40),0)</f>
        <v>4870.8363452918757</v>
      </c>
      <c r="R147" cm="1">
        <f t="array" ref="R147">ManAcceleration($C$3,$C$4,$C$5,$C$6,$C$7,$C$8,K147,E147,F147,G147,L147,0,N147,O147,P147,Q147,$R$136)</f>
        <v>-7.3707034715112973E-2</v>
      </c>
      <c r="S147" cm="1">
        <f t="array" ref="S147">ManAcceleration($C$3,$C$4,$C$5,$C$6,$C$7,$C$8,K147,E147,F147,G147,L147,0,N147,O147,P147,Q147,$S$136)</f>
        <v>-1.2441553729060289E-2</v>
      </c>
      <c r="T147" cm="1">
        <f t="array" ref="T147">ManAcceleration($C$3,$C$4,$C$5,$C$6,$C$7,$C$8,K147,E147,F147,G147,L147,0,N147,O147,P147,Q147,$T$136)</f>
        <v>5.5546503113380039E-4</v>
      </c>
    </row>
    <row r="148" spans="1:20" x14ac:dyDescent="0.2">
      <c r="A148">
        <f t="shared" si="32"/>
        <v>11</v>
      </c>
      <c r="B148" s="21">
        <f t="shared" si="33"/>
        <v>25.712691052009625</v>
      </c>
      <c r="C148" s="21">
        <f t="shared" si="34"/>
        <v>3.5400766797669228</v>
      </c>
      <c r="D148" s="21">
        <f t="shared" si="35"/>
        <v>0.86640365672605324</v>
      </c>
      <c r="E148" s="21">
        <f t="shared" si="36"/>
        <v>1.7063112749905762</v>
      </c>
      <c r="F148" s="21">
        <f t="shared" si="37"/>
        <v>-0.53324943286414428</v>
      </c>
      <c r="G148" s="21">
        <f t="shared" si="38"/>
        <v>9.079049042153356E-2</v>
      </c>
      <c r="H148" s="21">
        <f t="shared" si="39"/>
        <v>1.5916490814881032</v>
      </c>
      <c r="I148" s="21">
        <f t="shared" si="40"/>
        <v>0.81394491595437501</v>
      </c>
      <c r="J148" s="21">
        <f t="shared" si="41"/>
        <v>9.079049042153356E-2</v>
      </c>
      <c r="K148" s="67" cm="1">
        <f t="array" ref="K148">-Lininterp(Powering!$A$55:$A$71,Powering!$Y$55:$Y$71,E148/0.514)</f>
        <v>-235.76101889433477</v>
      </c>
      <c r="L148" s="67" cm="1">
        <f t="array" ref="L148">OarForces(SUM(Input!$B$37:$B$39),$C$10,$C$34,$C$35,$C$33,E148,F148,G148, $L$136)</f>
        <v>1555.2721639332826</v>
      </c>
      <c r="M148" s="67"/>
      <c r="N148" s="4" cm="1">
        <f t="array" ref="N148">OarForces(SUM(Input!$B$37:$B$39),$C$10,$C$34,$C$35,$C$33,E148,F148,G148, $N$136)</f>
        <v>6998.724737699772</v>
      </c>
      <c r="O148" s="67" cm="1">
        <f t="array" ref="O148">$C$11*IF($C$24="Y",RudderForces($C$15,$C$16,$C$13,$C$14,$C$12,$C$23,E148,F148,G148,$O$40),0)</f>
        <v>-1607.1414253562339</v>
      </c>
      <c r="P148" s="67" cm="1">
        <f t="array" ref="P148">$C$11*IF($C$24="Y",RudderForces($C$15,$C$16,$C$13,$C$14,$C$12,$C$23,E148,F148,G148,$P$40),0)</f>
        <v>-564.86938869184428</v>
      </c>
      <c r="Q148" s="67" cm="1">
        <f t="array" ref="Q148">$C$11*IF($C$24="Y",RudderForces($C$15,$C$16,$C$13,$C$14,$C$12,$C$23,E148,F148,G148,$Q$40),0)</f>
        <v>4504.9861602007977</v>
      </c>
      <c r="R148" cm="1">
        <f t="array" ref="R148">ManAcceleration($C$3,$C$4,$C$5,$C$6,$C$7,$C$8,K148,E148,F148,G148,L148,0,N148,O148,P148,Q148,$R$136)</f>
        <v>-6.439519573946792E-2</v>
      </c>
      <c r="S148" cm="1">
        <f t="array" ref="S148">ManAcceleration($C$3,$C$4,$C$5,$C$6,$C$7,$C$8,K148,E148,F148,G148,L148,0,N148,O148,P148,Q148,$S$136)</f>
        <v>-9.9935756736370569E-3</v>
      </c>
      <c r="T148" cm="1">
        <f t="array" ref="T148">ManAcceleration($C$3,$C$4,$C$5,$C$6,$C$7,$C$8,K148,E148,F148,G148,L148,0,N148,O148,P148,Q148,$T$136)</f>
        <v>4.1254387473881266E-4</v>
      </c>
    </row>
    <row r="149" spans="1:20" x14ac:dyDescent="0.2">
      <c r="A149">
        <f t="shared" si="32"/>
        <v>12</v>
      </c>
      <c r="B149" s="21">
        <f t="shared" si="33"/>
        <v>27.189902431726527</v>
      </c>
      <c r="C149" s="21">
        <f t="shared" si="34"/>
        <v>4.4394364060519038</v>
      </c>
      <c r="D149" s="21">
        <f t="shared" si="35"/>
        <v>0.95760669102232565</v>
      </c>
      <c r="E149" s="21">
        <f t="shared" si="36"/>
        <v>1.6419160792511083</v>
      </c>
      <c r="F149" s="21">
        <f t="shared" si="37"/>
        <v>-0.54324300853778129</v>
      </c>
      <c r="G149" s="21">
        <f t="shared" si="38"/>
        <v>9.120303429627237E-2</v>
      </c>
      <c r="H149" s="21">
        <f t="shared" si="39"/>
        <v>1.4772113797169026</v>
      </c>
      <c r="I149" s="21">
        <f t="shared" si="40"/>
        <v>0.89935972628498151</v>
      </c>
      <c r="J149" s="21">
        <f t="shared" si="41"/>
        <v>9.120303429627237E-2</v>
      </c>
      <c r="K149" s="67" cm="1">
        <f t="array" ref="K149">-Lininterp(Powering!$A$55:$A$71,Powering!$Y$55:$Y$71,E149/0.514)</f>
        <v>-218.49558526089268</v>
      </c>
      <c r="L149" s="67" cm="1">
        <f t="array" ref="L149">OarForces(SUM(Input!$B$37:$B$39),$C$10,$C$34,$C$35,$C$33,E149,F149,G149, $L$136)</f>
        <v>1568.9001563776242</v>
      </c>
      <c r="M149" s="67"/>
      <c r="N149" s="4" cm="1">
        <f t="array" ref="N149">OarForces(SUM(Input!$B$37:$B$39),$C$10,$C$34,$C$35,$C$33,E149,F149,G149, $N$136)</f>
        <v>7060.0507036993085</v>
      </c>
      <c r="O149" s="67" cm="1">
        <f t="array" ref="O149">$C$11*IF($C$24="Y",RudderForces($C$15,$C$16,$C$13,$C$14,$C$12,$C$23,E149,F149,G149,$O$40),0)</f>
        <v>-1499.4713803628306</v>
      </c>
      <c r="P149" s="67" cm="1">
        <f t="array" ref="P149">$C$11*IF($C$24="Y",RudderForces($C$15,$C$16,$C$13,$C$14,$C$12,$C$23,E149,F149,G149,$P$40),0)</f>
        <v>-526.35088071093389</v>
      </c>
      <c r="Q149" s="67" cm="1">
        <f t="array" ref="Q149">$C$11*IF($C$24="Y",RudderForces($C$15,$C$16,$C$13,$C$14,$C$12,$C$23,E149,F149,G149,$Q$40),0)</f>
        <v>4197.7906406003385</v>
      </c>
      <c r="R149" cm="1">
        <f t="array" ref="R149">ManAcceleration($C$3,$C$4,$C$5,$C$6,$C$7,$C$8,K149,E149,F149,G149,L149,0,N149,O149,P149,Q149,$R$136)</f>
        <v>-5.6405501135332575E-2</v>
      </c>
      <c r="S149" cm="1">
        <f t="array" ref="S149">ManAcceleration($C$3,$C$4,$C$5,$C$6,$C$7,$C$8,K149,E149,F149,G149,L149,0,N149,O149,P149,Q149,$S$136)</f>
        <v>-7.9879768779890659E-3</v>
      </c>
      <c r="T149" cm="1">
        <f t="array" ref="T149">ManAcceleration($C$3,$C$4,$C$5,$C$6,$C$7,$C$8,K149,E149,F149,G149,L149,0,N149,O149,P149,Q149,$T$136)</f>
        <v>3.0397232416517068E-4</v>
      </c>
    </row>
    <row r="150" spans="1:20" x14ac:dyDescent="0.2">
      <c r="A150">
        <f t="shared" si="32"/>
        <v>13</v>
      </c>
      <c r="B150" s="21">
        <f t="shared" si="33"/>
        <v>28.553136204623232</v>
      </c>
      <c r="C150" s="21">
        <f t="shared" si="34"/>
        <v>5.4188714845707793</v>
      </c>
      <c r="D150" s="21">
        <f t="shared" si="35"/>
        <v>1.0491136976427633</v>
      </c>
      <c r="E150" s="21">
        <f t="shared" si="36"/>
        <v>1.5855105781157757</v>
      </c>
      <c r="F150" s="21">
        <f t="shared" si="37"/>
        <v>-0.55123098541577031</v>
      </c>
      <c r="G150" s="21">
        <f t="shared" si="38"/>
        <v>9.1507006620437537E-2</v>
      </c>
      <c r="H150" s="21">
        <f t="shared" si="39"/>
        <v>1.3632337728967059</v>
      </c>
      <c r="I150" s="21">
        <f t="shared" si="40"/>
        <v>0.97943507851887524</v>
      </c>
      <c r="J150" s="21">
        <f t="shared" si="41"/>
        <v>9.1507006620437537E-2</v>
      </c>
      <c r="K150" s="67" cm="1">
        <f t="array" ref="K150">-Lininterp(Powering!$A$55:$A$71,Powering!$Y$55:$Y$71,E150/0.514)</f>
        <v>-203.37232295490915</v>
      </c>
      <c r="L150" s="67" cm="1">
        <f t="array" ref="L150">OarForces(SUM(Input!$B$37:$B$39),$C$10,$C$34,$C$35,$C$33,E150,F150,G150, $L$136)</f>
        <v>1580.8935583440232</v>
      </c>
      <c r="M150" s="67"/>
      <c r="N150" s="4" cm="1">
        <f t="array" ref="N150">OarForces(SUM(Input!$B$37:$B$39),$C$10,$C$34,$C$35,$C$33,E150,F150,G150, $N$136)</f>
        <v>7114.0210125481044</v>
      </c>
      <c r="O150" s="67" cm="1">
        <f t="array" ref="O150">$C$11*IF($C$24="Y",RudderForces($C$15,$C$16,$C$13,$C$14,$C$12,$C$23,E150,F150,G150,$O$40),0)</f>
        <v>-1408.1028781971236</v>
      </c>
      <c r="P150" s="67" cm="1">
        <f t="array" ref="P150">$C$11*IF($C$24="Y",RudderForces($C$15,$C$16,$C$13,$C$14,$C$12,$C$23,E150,F150,G150,$P$40),0)</f>
        <v>-493.78873097141621</v>
      </c>
      <c r="Q150" s="67" cm="1">
        <f t="array" ref="Q150">$C$11*IF($C$24="Y",RudderForces($C$15,$C$16,$C$13,$C$14,$C$12,$C$23,E150,F150,G150,$Q$40),0)</f>
        <v>3938.0986890456065</v>
      </c>
      <c r="R150" cm="1">
        <f t="array" ref="R150">ManAcceleration($C$3,$C$4,$C$5,$C$6,$C$7,$C$8,K150,E150,F150,G150,L150,0,N150,O150,P150,Q150,$R$136)</f>
        <v>-4.9506294187000283E-2</v>
      </c>
      <c r="S150" cm="1">
        <f t="array" ref="S150">ManAcceleration($C$3,$C$4,$C$5,$C$6,$C$7,$C$8,K150,E150,F150,G150,L150,0,N150,O150,P150,Q150,$S$136)</f>
        <v>-6.3369295744208371E-3</v>
      </c>
      <c r="T150" cm="1">
        <f t="array" ref="T150">ManAcceleration($C$3,$C$4,$C$5,$C$6,$C$7,$C$8,K150,E150,F150,G150,L150,0,N150,O150,P150,Q150,$T$136)</f>
        <v>2.205068507036043E-4</v>
      </c>
    </row>
    <row r="151" spans="1:20" x14ac:dyDescent="0.2">
      <c r="A151">
        <f t="shared" si="32"/>
        <v>14</v>
      </c>
      <c r="B151" s="21">
        <f t="shared" si="33"/>
        <v>29.801989327176592</v>
      </c>
      <c r="C151" s="21">
        <f t="shared" si="34"/>
        <v>6.4727011759169581</v>
      </c>
      <c r="D151" s="21">
        <f t="shared" si="35"/>
        <v>1.1408412111139044</v>
      </c>
      <c r="E151" s="21">
        <f t="shared" si="36"/>
        <v>1.5360042839287753</v>
      </c>
      <c r="F151" s="21">
        <f t="shared" si="37"/>
        <v>-0.5575679149901912</v>
      </c>
      <c r="G151" s="21">
        <f t="shared" si="38"/>
        <v>9.1727513471141137E-2</v>
      </c>
      <c r="H151" s="21">
        <f t="shared" si="39"/>
        <v>1.2488531225533597</v>
      </c>
      <c r="I151" s="21">
        <f t="shared" si="40"/>
        <v>1.0538296913461789</v>
      </c>
      <c r="J151" s="21">
        <f t="shared" si="41"/>
        <v>9.1727513471141137E-2</v>
      </c>
      <c r="K151" s="67" cm="1">
        <f t="array" ref="K151">-Lininterp(Powering!$A$55:$A$71,Powering!$Y$55:$Y$71,E151/0.514)</f>
        <v>-190.53187661718482</v>
      </c>
      <c r="L151" s="67" cm="1">
        <f t="array" ref="L151">OarForces(SUM(Input!$B$37:$B$39),$C$10,$C$34,$C$35,$C$33,E151,F151,G151, $L$136)</f>
        <v>1591.4653818204715</v>
      </c>
      <c r="M151" s="67"/>
      <c r="N151" s="4" cm="1">
        <f t="array" ref="N151">OarForces(SUM(Input!$B$37:$B$39),$C$10,$C$34,$C$35,$C$33,E151,F151,G151, $N$136)</f>
        <v>7161.5942181921218</v>
      </c>
      <c r="O151" s="67" cm="1">
        <f t="array" ref="O151">$C$11*IF($C$24="Y",RudderForces($C$15,$C$16,$C$13,$C$14,$C$12,$C$23,E151,F151,G151,$O$40),0)</f>
        <v>-1330.1635619129454</v>
      </c>
      <c r="P151" s="67" cm="1">
        <f t="array" ref="P151">$C$11*IF($C$24="Y",RudderForces($C$15,$C$16,$C$13,$C$14,$C$12,$C$23,E151,F151,G151,$P$40),0)</f>
        <v>-466.10337247075802</v>
      </c>
      <c r="Q151" s="67" cm="1">
        <f t="array" ref="Q151">$C$11*IF($C$24="Y",RudderForces($C$15,$C$16,$C$13,$C$14,$C$12,$C$23,E151,F151,G151,$Q$40),0)</f>
        <v>3717.3004666910529</v>
      </c>
      <c r="R151" cm="1">
        <f t="array" ref="R151">ManAcceleration($C$3,$C$4,$C$5,$C$6,$C$7,$C$8,K151,E151,F151,G151,L151,0,N151,O151,P151,Q151,$R$136)</f>
        <v>-4.3544766272169931E-2</v>
      </c>
      <c r="S151" cm="1">
        <f t="array" ref="S151">ManAcceleration($C$3,$C$4,$C$5,$C$6,$C$7,$C$8,K151,E151,F151,G151,L151,0,N151,O151,P151,Q151,$S$136)</f>
        <v>-4.9729243415697804E-3</v>
      </c>
      <c r="T151" cm="1">
        <f t="array" ref="T151">ManAcceleration($C$3,$C$4,$C$5,$C$6,$C$7,$C$8,K151,E151,F151,G151,L151,0,N151,O151,P151,Q151,$T$136)</f>
        <v>1.5576286860570816E-4</v>
      </c>
    </row>
    <row r="152" spans="1:20" x14ac:dyDescent="0.2">
      <c r="A152">
        <f t="shared" si="32"/>
        <v>15</v>
      </c>
      <c r="B152" s="21">
        <f t="shared" si="33"/>
        <v>30.935432114355621</v>
      </c>
      <c r="C152" s="21">
        <f t="shared" si="34"/>
        <v>7.59483978408963</v>
      </c>
      <c r="D152" s="21">
        <f t="shared" si="35"/>
        <v>1.2327244874536512</v>
      </c>
      <c r="E152" s="21">
        <f t="shared" si="36"/>
        <v>1.4924595176566053</v>
      </c>
      <c r="F152" s="21">
        <f t="shared" si="37"/>
        <v>-0.56254083933176102</v>
      </c>
      <c r="G152" s="21">
        <f t="shared" si="38"/>
        <v>9.1883276339746842E-2</v>
      </c>
      <c r="H152" s="21">
        <f t="shared" si="39"/>
        <v>1.13344278717903</v>
      </c>
      <c r="I152" s="21">
        <f t="shared" si="40"/>
        <v>1.1221386081726719</v>
      </c>
      <c r="J152" s="21">
        <f t="shared" si="41"/>
        <v>9.1883276339746842E-2</v>
      </c>
      <c r="K152" s="67" cm="1">
        <f t="array" ref="K152">-Lininterp(Powering!$A$55:$A$71,Powering!$Y$55:$Y$71,E152/0.514)</f>
        <v>-182.00168413181009</v>
      </c>
      <c r="L152" s="67" cm="1">
        <f t="array" ref="L152">OarForces(SUM(Input!$B$37:$B$39),$C$10,$C$34,$C$35,$C$33,E152,F152,G152, $L$136)</f>
        <v>1600.8016006161122</v>
      </c>
      <c r="M152" s="67"/>
      <c r="N152" s="4" cm="1">
        <f t="array" ref="N152">OarForces(SUM(Input!$B$37:$B$39),$C$10,$C$34,$C$35,$C$33,E152,F152,G152, $N$136)</f>
        <v>7203.6072027725049</v>
      </c>
      <c r="O152" s="67" cm="1">
        <f t="array" ref="O152">$C$11*IF($C$24="Y",RudderForces($C$15,$C$16,$C$13,$C$14,$C$12,$C$23,E152,F152,G152,$O$40),0)</f>
        <v>-1263.3435427436884</v>
      </c>
      <c r="P152" s="67" cm="1">
        <f t="array" ref="P152">$C$11*IF($C$24="Y",RudderForces($C$15,$C$16,$C$13,$C$14,$C$12,$C$23,E152,F152,G152,$P$40),0)</f>
        <v>-442.43469089686408</v>
      </c>
      <c r="Q152" s="67" cm="1">
        <f t="array" ref="Q152">$C$11*IF($C$24="Y",RudderForces($C$15,$C$16,$C$13,$C$14,$C$12,$C$23,E152,F152,G152,$Q$40),0)</f>
        <v>3528.5363292547427</v>
      </c>
      <c r="R152" cm="1">
        <f t="array" ref="R152">ManAcceleration($C$3,$C$4,$C$5,$C$6,$C$7,$C$8,K152,E152,F152,G152,L152,0,N152,O152,P152,Q152,$R$136)</f>
        <v>-3.8522536428285563E-2</v>
      </c>
      <c r="S152" cm="1">
        <f t="array" ref="S152">ManAcceleration($C$3,$C$4,$C$5,$C$6,$C$7,$C$8,K152,E152,F152,G152,L152,0,N152,O152,P152,Q152,$S$136)</f>
        <v>-3.8429142815885236E-3</v>
      </c>
      <c r="T152" cm="1">
        <f t="array" ref="T152">ManAcceleration($C$3,$C$4,$C$5,$C$6,$C$7,$C$8,K152,E152,F152,G152,L152,0,N152,O152,P152,Q152,$T$136)</f>
        <v>1.0516122683912908E-4</v>
      </c>
    </row>
    <row r="153" spans="1:20" x14ac:dyDescent="0.2">
      <c r="A153">
        <f t="shared" si="32"/>
        <v>16</v>
      </c>
      <c r="B153" s="21">
        <f t="shared" si="33"/>
        <v>31.951981617156598</v>
      </c>
      <c r="C153" s="21">
        <f t="shared" si="34"/>
        <v>8.7786262555850403</v>
      </c>
      <c r="D153" s="21">
        <f t="shared" si="35"/>
        <v>1.3247129250202372</v>
      </c>
      <c r="E153" s="21">
        <f t="shared" si="36"/>
        <v>1.4539369812283198</v>
      </c>
      <c r="F153" s="21">
        <f t="shared" si="37"/>
        <v>-0.56638375361334958</v>
      </c>
      <c r="G153" s="21">
        <f t="shared" si="38"/>
        <v>9.1988437566585965E-2</v>
      </c>
      <c r="H153" s="21">
        <f t="shared" si="39"/>
        <v>1.0165495028009761</v>
      </c>
      <c r="I153" s="21">
        <f t="shared" si="40"/>
        <v>1.1837864714954109</v>
      </c>
      <c r="J153" s="21">
        <f t="shared" si="41"/>
        <v>9.1988437566585965E-2</v>
      </c>
      <c r="K153" s="67" cm="1">
        <f t="array" ref="K153">-Lininterp(Powering!$A$55:$A$71,Powering!$Y$55:$Y$71,E153/0.514)</f>
        <v>-174.45532026561688</v>
      </c>
      <c r="L153" s="67" cm="1">
        <f t="array" ref="L153">OarForces(SUM(Input!$B$37:$B$39),$C$10,$C$34,$C$35,$C$33,E153,F153,G153, $L$136)</f>
        <v>1609.0930316989097</v>
      </c>
      <c r="M153" s="67"/>
      <c r="N153" s="4" cm="1">
        <f t="array" ref="N153">OarForces(SUM(Input!$B$37:$B$39),$C$10,$C$34,$C$35,$C$33,E153,F153,G153, $N$136)</f>
        <v>7240.9186426450942</v>
      </c>
      <c r="O153" s="67" cm="1">
        <f t="array" ref="O153">$C$11*IF($C$24="Y",RudderForces($C$15,$C$16,$C$13,$C$14,$C$12,$C$23,E153,F153,G153,$O$40),0)</f>
        <v>-1205.5781731413097</v>
      </c>
      <c r="P153" s="67" cm="1">
        <f t="array" ref="P153">$C$11*IF($C$24="Y",RudderForces($C$15,$C$16,$C$13,$C$14,$C$12,$C$23,E153,F153,G153,$P$40),0)</f>
        <v>-422.02365975444764</v>
      </c>
      <c r="Q153" s="67" cm="1">
        <f t="array" ref="Q153">$C$11*IF($C$24="Y",RudderForces($C$15,$C$16,$C$13,$C$14,$C$12,$C$23,E153,F153,G153,$Q$40),0)</f>
        <v>3365.7528351359347</v>
      </c>
      <c r="R153" cm="1">
        <f t="array" ref="R153">ManAcceleration($C$3,$C$4,$C$5,$C$6,$C$7,$C$8,K153,E153,F153,G153,L153,0,N153,O153,P153,Q153,$R$136)</f>
        <v>-3.4101124039296139E-2</v>
      </c>
      <c r="S153" cm="1">
        <f t="array" ref="S153">ManAcceleration($C$3,$C$4,$C$5,$C$6,$C$7,$C$8,K153,E153,F153,G153,L153,0,N153,O153,P153,Q153,$S$136)</f>
        <v>-2.9026329640447421E-3</v>
      </c>
      <c r="T153" cm="1">
        <f t="array" ref="T153">ManAcceleration($C$3,$C$4,$C$5,$C$6,$C$7,$C$8,K153,E153,F153,G153,L153,0,N153,O153,P153,Q153,$T$136)</f>
        <v>6.5133636745280175E-5</v>
      </c>
    </row>
    <row r="154" spans="1:20" x14ac:dyDescent="0.2">
      <c r="A154">
        <f t="shared" si="32"/>
        <v>17</v>
      </c>
      <c r="B154" s="21">
        <f t="shared" si="33"/>
        <v>32.849999946075101</v>
      </c>
      <c r="C154" s="21">
        <f t="shared" si="34"/>
        <v>10.017005814617107</v>
      </c>
      <c r="D154" s="21">
        <f t="shared" si="35"/>
        <v>1.4167664962235684</v>
      </c>
      <c r="E154" s="21">
        <f t="shared" si="36"/>
        <v>1.4198358571890237</v>
      </c>
      <c r="F154" s="21">
        <f t="shared" si="37"/>
        <v>-0.56928638657739428</v>
      </c>
      <c r="G154" s="21">
        <f t="shared" si="38"/>
        <v>9.2053571203331241E-2</v>
      </c>
      <c r="H154" s="21">
        <f t="shared" si="39"/>
        <v>0.89801832891850308</v>
      </c>
      <c r="I154" s="21">
        <f t="shared" si="40"/>
        <v>1.2383795590320665</v>
      </c>
      <c r="J154" s="21">
        <f t="shared" si="41"/>
        <v>9.2053571203331241E-2</v>
      </c>
      <c r="K154" s="67" cm="1">
        <f t="array" ref="K154">-Lininterp(Powering!$A$55:$A$71,Powering!$Y$55:$Y$71,E154/0.514)</f>
        <v>-167.77508801440496</v>
      </c>
      <c r="L154" s="67" cm="1">
        <f t="array" ref="L154">OarForces(SUM(Input!$B$37:$B$39),$C$10,$C$34,$C$35,$C$33,E154,F154,G154, $L$136)</f>
        <v>1616.4602318757552</v>
      </c>
      <c r="M154" s="67"/>
      <c r="N154" s="4" cm="1">
        <f t="array" ref="N154">OarForces(SUM(Input!$B$37:$B$39),$C$10,$C$34,$C$35,$C$33,E154,F154,G154, $N$136)</f>
        <v>7274.0710434408984</v>
      </c>
      <c r="O154" s="67" cm="1">
        <f t="array" ref="O154">$C$11*IF($C$24="Y",RudderForces($C$15,$C$16,$C$13,$C$14,$C$12,$C$23,E154,F154,G154,$O$40),0)</f>
        <v>-1155.4950884365614</v>
      </c>
      <c r="P154" s="67" cm="1">
        <f t="array" ref="P154">$C$11*IF($C$24="Y",RudderForces($C$15,$C$16,$C$13,$C$14,$C$12,$C$23,E154,F154,G154,$P$40),0)</f>
        <v>-404.3649699614183</v>
      </c>
      <c r="Q154" s="67" cm="1">
        <f t="array" ref="Q154">$C$11*IF($C$24="Y",RudderForces($C$15,$C$16,$C$13,$C$14,$C$12,$C$23,E154,F154,G154,$Q$40),0)</f>
        <v>3224.9200077293945</v>
      </c>
      <c r="R154" cm="1">
        <f t="array" ref="R154">ManAcceleration($C$3,$C$4,$C$5,$C$6,$C$7,$C$8,K154,E154,F154,G154,L154,0,N154,O154,P154,Q154,$R$136)</f>
        <v>-3.0196504730532071E-2</v>
      </c>
      <c r="S154" cm="1">
        <f t="array" ref="S154">ManAcceleration($C$3,$C$4,$C$5,$C$6,$C$7,$C$8,K154,E154,F154,G154,L154,0,N154,O154,P154,Q154,$S$136)</f>
        <v>-2.1202645943481173E-3</v>
      </c>
      <c r="T154" cm="1">
        <f t="array" ref="T154">ManAcceleration($C$3,$C$4,$C$5,$C$6,$C$7,$C$8,K154,E154,F154,G154,L154,0,N154,O154,P154,Q154,$T$136)</f>
        <v>3.3465177243450655E-5</v>
      </c>
    </row>
    <row r="155" spans="1:20" x14ac:dyDescent="0.2">
      <c r="A155">
        <f t="shared" si="32"/>
        <v>18</v>
      </c>
      <c r="B155" s="21">
        <f t="shared" si="33"/>
        <v>33.627842160362547</v>
      </c>
      <c r="C155" s="21">
        <f t="shared" si="34"/>
        <v>11.302526946523139</v>
      </c>
      <c r="D155" s="21">
        <f t="shared" si="35"/>
        <v>1.5088535326041432</v>
      </c>
      <c r="E155" s="21">
        <f t="shared" si="36"/>
        <v>1.3896393524584916</v>
      </c>
      <c r="F155" s="21">
        <f t="shared" si="37"/>
        <v>-0.57140665117174239</v>
      </c>
      <c r="G155" s="21">
        <f t="shared" si="38"/>
        <v>9.2087036380574694E-2</v>
      </c>
      <c r="H155" s="21">
        <f t="shared" si="39"/>
        <v>0.77784221428744382</v>
      </c>
      <c r="I155" s="21">
        <f t="shared" si="40"/>
        <v>1.2855211319060327</v>
      </c>
      <c r="J155" s="21">
        <f t="shared" si="41"/>
        <v>9.2087036380574694E-2</v>
      </c>
      <c r="K155" s="67" cm="1">
        <f t="array" ref="K155">-Lininterp(Powering!$A$55:$A$71,Powering!$Y$55:$Y$71,E155/0.514)</f>
        <v>-161.85975031051214</v>
      </c>
      <c r="L155" s="67" cm="1">
        <f t="array" ref="L155">OarForces(SUM(Input!$B$37:$B$39),$C$10,$C$34,$C$35,$C$33,E155,F155,G155, $L$136)</f>
        <v>1623.0076199367795</v>
      </c>
      <c r="M155" s="67"/>
      <c r="N155" s="4" cm="1">
        <f t="array" ref="N155">OarForces(SUM(Input!$B$37:$B$39),$C$10,$C$34,$C$35,$C$33,E155,F155,G155, $N$136)</f>
        <v>7303.5342897155078</v>
      </c>
      <c r="O155" s="67" cm="1">
        <f t="array" ref="O155">$C$11*IF($C$24="Y",RudderForces($C$15,$C$16,$C$13,$C$14,$C$12,$C$23,E155,F155,G155,$O$40),0)</f>
        <v>-1111.969213006837</v>
      </c>
      <c r="P155" s="67" cm="1">
        <f t="array" ref="P155">$C$11*IF($C$24="Y",RudderForces($C$15,$C$16,$C$13,$C$14,$C$12,$C$23,E155,F155,G155,$P$40),0)</f>
        <v>-389.0469635777543</v>
      </c>
      <c r="Q155" s="67" cm="1">
        <f t="array" ref="Q155">$C$11*IF($C$24="Y",RudderForces($C$15,$C$16,$C$13,$C$14,$C$12,$C$23,E155,F155,G155,$Q$40),0)</f>
        <v>3102.7547636185659</v>
      </c>
      <c r="R155" cm="1">
        <f t="array" ref="R155">ManAcceleration($C$3,$C$4,$C$5,$C$6,$C$7,$C$8,K155,E155,F155,G155,L155,0,N155,O155,P155,Q155,$R$136)</f>
        <v>-2.6739405336877606E-2</v>
      </c>
      <c r="S155" cm="1">
        <f t="array" ref="S155">ManAcceleration($C$3,$C$4,$C$5,$C$6,$C$7,$C$8,K155,E155,F155,G155,L155,0,N155,O155,P155,Q155,$S$136)</f>
        <v>-1.470048893867762E-3</v>
      </c>
      <c r="T155" cm="1">
        <f t="array" ref="T155">ManAcceleration($C$3,$C$4,$C$5,$C$6,$C$7,$C$8,K155,E155,F155,G155,L155,0,N155,O155,P155,Q155,$T$136)</f>
        <v>8.4471385793591397E-6</v>
      </c>
    </row>
    <row r="156" spans="1:20" x14ac:dyDescent="0.2">
      <c r="A156">
        <f t="shared" si="32"/>
        <v>19</v>
      </c>
      <c r="B156" s="21">
        <f t="shared" si="33"/>
        <v>34.28398802848595</v>
      </c>
      <c r="C156" s="21">
        <f t="shared" si="34"/>
        <v>12.627350172122219</v>
      </c>
      <c r="D156" s="21">
        <f t="shared" si="35"/>
        <v>1.6009490161232973</v>
      </c>
      <c r="E156" s="21">
        <f t="shared" si="36"/>
        <v>1.3628999471216139</v>
      </c>
      <c r="F156" s="21">
        <f t="shared" si="37"/>
        <v>-0.5728767000656102</v>
      </c>
      <c r="G156" s="21">
        <f t="shared" si="38"/>
        <v>9.2095483519154059E-2</v>
      </c>
      <c r="H156" s="21">
        <f t="shared" si="39"/>
        <v>0.65614586812340092</v>
      </c>
      <c r="I156" s="21">
        <f t="shared" si="40"/>
        <v>1.3248232255990797</v>
      </c>
      <c r="J156" s="21">
        <f t="shared" si="41"/>
        <v>9.2095483519154059E-2</v>
      </c>
      <c r="K156" s="67" cm="1">
        <f t="array" ref="K156">-Lininterp(Powering!$A$55:$A$71,Powering!$Y$55:$Y$71,E156/0.514)</f>
        <v>-156.6216403378379</v>
      </c>
      <c r="L156" s="67" cm="1">
        <f t="array" ref="L156">OarForces(SUM(Input!$B$37:$B$39),$C$10,$C$34,$C$35,$C$33,E156,F156,G156, $L$136)</f>
        <v>1628.8261947377969</v>
      </c>
      <c r="M156" s="67"/>
      <c r="N156" s="4" cm="1">
        <f t="array" ref="N156">OarForces(SUM(Input!$B$37:$B$39),$C$10,$C$34,$C$35,$C$33,E156,F156,G156, $N$136)</f>
        <v>7329.7178763200864</v>
      </c>
      <c r="O156" s="67" cm="1">
        <f t="array" ref="O156">$C$11*IF($C$24="Y",RudderForces($C$15,$C$16,$C$13,$C$14,$C$12,$C$23,E156,F156,G156,$O$40),0)</f>
        <v>-1074.070024371623</v>
      </c>
      <c r="P156" s="67" cm="1">
        <f t="array" ref="P156">$C$11*IF($C$24="Y",RudderForces($C$15,$C$16,$C$13,$C$14,$C$12,$C$23,E156,F156,G156,$P$40),0)</f>
        <v>-375.73109170134677</v>
      </c>
      <c r="Q156" s="67" cm="1">
        <f t="array" ref="Q156">$C$11*IF($C$24="Y",RudderForces($C$15,$C$16,$C$13,$C$14,$C$12,$C$23,E156,F156,G156,$Q$40),0)</f>
        <v>2996.5570837387158</v>
      </c>
      <c r="R156" cm="1">
        <f t="array" ref="R156">ManAcceleration($C$3,$C$4,$C$5,$C$6,$C$7,$C$8,K156,E156,F156,G156,L156,0,N156,O156,P156,Q156,$R$136)</f>
        <v>-2.3672125374843877E-2</v>
      </c>
      <c r="S156" cm="1">
        <f t="array" ref="S156">ManAcceleration($C$3,$C$4,$C$5,$C$6,$C$7,$C$8,K156,E156,F156,G156,L156,0,N156,O156,P156,Q156,$S$136)</f>
        <v>-9.3092417296448797E-4</v>
      </c>
      <c r="T156" cm="1">
        <f t="array" ref="T156">ManAcceleration($C$3,$C$4,$C$5,$C$6,$C$7,$C$8,K156,E156,F156,G156,L156,0,N156,O156,P156,Q156,$T$136)</f>
        <v>-1.1249500779586234E-5</v>
      </c>
    </row>
    <row r="157" spans="1:20" x14ac:dyDescent="0.2">
      <c r="A157">
        <f t="shared" si="32"/>
        <v>20</v>
      </c>
      <c r="B157" s="21">
        <f t="shared" si="33"/>
        <v>34.817159622224104</v>
      </c>
      <c r="C157" s="21">
        <f t="shared" si="34"/>
        <v>13.983268458674042</v>
      </c>
      <c r="D157" s="21">
        <f t="shared" si="35"/>
        <v>1.6930332501416718</v>
      </c>
      <c r="E157" s="21">
        <f t="shared" si="36"/>
        <v>1.3392278217467699</v>
      </c>
      <c r="F157" s="21">
        <f t="shared" si="37"/>
        <v>-0.57380762423857468</v>
      </c>
      <c r="G157" s="21">
        <f t="shared" si="38"/>
        <v>9.208423401837447E-2</v>
      </c>
      <c r="H157" s="21">
        <f t="shared" si="39"/>
        <v>0.53317159373815481</v>
      </c>
      <c r="I157" s="21">
        <f t="shared" si="40"/>
        <v>1.3559182865518229</v>
      </c>
      <c r="J157" s="21">
        <f t="shared" si="41"/>
        <v>9.208423401837447E-2</v>
      </c>
      <c r="K157" s="67" cm="1">
        <f t="array" ref="K157">-Lininterp(Powering!$A$55:$A$71,Powering!$Y$55:$Y$71,E157/0.514)</f>
        <v>-151.9843945039018</v>
      </c>
      <c r="L157" s="67" cm="1">
        <f t="array" ref="L157">OarForces(SUM(Input!$B$37:$B$39),$C$10,$C$34,$C$35,$C$33,E157,F157,G157, $L$136)</f>
        <v>1633.9956847103992</v>
      </c>
      <c r="M157" s="67"/>
      <c r="N157" s="4" cm="1">
        <f t="array" ref="N157">OarForces(SUM(Input!$B$37:$B$39),$C$10,$C$34,$C$35,$C$33,E157,F157,G157, $N$136)</f>
        <v>7352.9805811967963</v>
      </c>
      <c r="O157" s="67" cm="1">
        <f t="array" ref="O157">$C$11*IF($C$24="Y",RudderForces($C$15,$C$16,$C$13,$C$14,$C$12,$C$23,E157,F157,G157,$O$40),0)</f>
        <v>-1041.0216954821381</v>
      </c>
      <c r="P157" s="67" cm="1">
        <f t="array" ref="P157">$C$11*IF($C$24="Y",RudderForces($C$15,$C$16,$C$13,$C$14,$C$12,$C$23,E157,F157,G157,$P$40),0)</f>
        <v>-364.13651609131699</v>
      </c>
      <c r="Q157" s="67" cm="1">
        <f t="array" ref="Q157">$C$11*IF($C$24="Y",RudderForces($C$15,$C$16,$C$13,$C$14,$C$12,$C$23,E157,F157,G157,$Q$40),0)</f>
        <v>2904.0872071579529</v>
      </c>
      <c r="R157" cm="1">
        <f t="array" ref="R157">ManAcceleration($C$3,$C$4,$C$5,$C$6,$C$7,$C$8,K157,E157,F157,G157,L157,0,N157,O157,P157,Q157,$R$136)</f>
        <v>-2.0946153218551426E-2</v>
      </c>
      <c r="S157" cm="1">
        <f t="array" ref="S157">ManAcceleration($C$3,$C$4,$C$5,$C$6,$C$7,$C$8,K157,E157,F157,G157,L157,0,N157,O157,P157,Q157,$S$136)</f>
        <v>-4.8551902310758834E-4</v>
      </c>
      <c r="T157" cm="1">
        <f t="array" ref="T157">ManAcceleration($C$3,$C$4,$C$5,$C$6,$C$7,$C$8,K157,E157,F157,G157,L157,0,N157,O157,P157,Q157,$T$136)</f>
        <v>-2.6666489011506329E-5</v>
      </c>
    </row>
    <row r="158" spans="1:20" x14ac:dyDescent="0.2">
      <c r="A158">
        <f t="shared" si="32"/>
        <v>21</v>
      </c>
      <c r="B158" s="21">
        <f t="shared" si="33"/>
        <v>35.226425900187571</v>
      </c>
      <c r="C158" s="21">
        <f t="shared" si="34"/>
        <v>15.361738728827467</v>
      </c>
      <c r="D158" s="21">
        <f t="shared" si="35"/>
        <v>1.7850908176710347</v>
      </c>
      <c r="E158" s="21">
        <f t="shared" si="36"/>
        <v>1.3182816685282184</v>
      </c>
      <c r="F158" s="21">
        <f t="shared" si="37"/>
        <v>-0.57429314326168224</v>
      </c>
      <c r="G158" s="21">
        <f t="shared" si="38"/>
        <v>9.2057567529362963E-2</v>
      </c>
      <c r="H158" s="21">
        <f t="shared" si="39"/>
        <v>0.40926627796346793</v>
      </c>
      <c r="I158" s="21">
        <f t="shared" si="40"/>
        <v>1.3784702701534248</v>
      </c>
      <c r="J158" s="21">
        <f t="shared" si="41"/>
        <v>9.2057567529362963E-2</v>
      </c>
      <c r="K158" s="67" cm="1">
        <f t="array" ref="K158">-Lininterp(Powering!$A$55:$A$71,Powering!$Y$55:$Y$71,E158/0.514)</f>
        <v>-147.88115239058752</v>
      </c>
      <c r="L158" s="67" cm="1">
        <f t="array" ref="L158">OarForces(SUM(Input!$B$37:$B$39),$C$10,$C$34,$C$35,$C$33,E158,F158,G158, $L$136)</f>
        <v>1638.5862685290469</v>
      </c>
      <c r="M158" s="67"/>
      <c r="N158" s="4" cm="1">
        <f t="array" ref="N158">OarForces(SUM(Input!$B$37:$B$39),$C$10,$C$34,$C$35,$C$33,E158,F158,G158, $N$136)</f>
        <v>7373.6382083807111</v>
      </c>
      <c r="O158" s="67" cm="1">
        <f t="array" ref="O158">$C$11*IF($C$24="Y",RudderForces($C$15,$C$16,$C$13,$C$14,$C$12,$C$23,E158,F158,G158,$O$40),0)</f>
        <v>-1012.1726060784749</v>
      </c>
      <c r="P158" s="67" cm="1">
        <f t="array" ref="P158">$C$11*IF($C$24="Y",RudderForces($C$15,$C$16,$C$13,$C$14,$C$12,$C$23,E158,F158,G158,$P$40),0)</f>
        <v>-354.02842368849377</v>
      </c>
      <c r="Q158" s="67" cm="1">
        <f t="array" ref="Q158">$C$11*IF($C$24="Y",RudderForces($C$15,$C$16,$C$13,$C$14,$C$12,$C$23,E158,F158,G158,$Q$40),0)</f>
        <v>2823.4724362173538</v>
      </c>
      <c r="R158" cm="1">
        <f t="array" ref="R158">ManAcceleration($C$3,$C$4,$C$5,$C$6,$C$7,$C$8,K158,E158,F158,G158,L158,0,N158,O158,P158,Q158,$R$136)</f>
        <v>-1.8520354423617838E-2</v>
      </c>
      <c r="S158" cm="1">
        <f t="array" ref="S158">ManAcceleration($C$3,$C$4,$C$5,$C$6,$C$7,$C$8,K158,E158,F158,G158,L158,0,N158,O158,P158,Q158,$S$136)</f>
        <v>-1.1939371528010323E-4</v>
      </c>
      <c r="T158" cm="1">
        <f t="array" ref="T158">ManAcceleration($C$3,$C$4,$C$5,$C$6,$C$7,$C$8,K158,E158,F158,G158,L158,0,N158,O158,P158,Q158,$T$136)</f>
        <v>-3.8626390171984151E-5</v>
      </c>
    </row>
    <row r="159" spans="1:20" x14ac:dyDescent="0.2">
      <c r="A159">
        <f t="shared" si="32"/>
        <v>22</v>
      </c>
      <c r="B159" s="21">
        <f t="shared" si="33"/>
        <v>35.511294925564833</v>
      </c>
      <c r="C159" s="21">
        <f t="shared" si="34"/>
        <v>16.7539236571541</v>
      </c>
      <c r="D159" s="21">
        <f t="shared" si="35"/>
        <v>1.8771097588102257</v>
      </c>
      <c r="E159" s="21">
        <f t="shared" si="36"/>
        <v>1.2997613141046005</v>
      </c>
      <c r="F159" s="21">
        <f t="shared" si="37"/>
        <v>-0.57441253697696237</v>
      </c>
      <c r="G159" s="21">
        <f t="shared" si="38"/>
        <v>9.2018941139190985E-2</v>
      </c>
      <c r="H159" s="21">
        <f t="shared" si="39"/>
        <v>0.28486902537726017</v>
      </c>
      <c r="I159" s="21">
        <f t="shared" si="40"/>
        <v>1.392184928326635</v>
      </c>
      <c r="J159" s="21">
        <f t="shared" si="41"/>
        <v>9.2018941139190985E-2</v>
      </c>
      <c r="K159" s="67" cm="1">
        <f t="array" ref="K159">-Lininterp(Powering!$A$55:$A$71,Powering!$Y$55:$Y$71,E159/0.514)</f>
        <v>-144.25311160278358</v>
      </c>
      <c r="L159" s="67" cm="1">
        <f t="array" ref="L159">OarForces(SUM(Input!$B$37:$B$39),$C$10,$C$34,$C$35,$C$33,E159,F159,G159, $L$136)</f>
        <v>1642.659967759595</v>
      </c>
      <c r="M159" s="67"/>
      <c r="N159" s="4" cm="1">
        <f t="array" ref="N159">OarForces(SUM(Input!$B$37:$B$39),$C$10,$C$34,$C$35,$C$33,E159,F159,G159, $N$136)</f>
        <v>7391.9698549181776</v>
      </c>
      <c r="O159" s="67" cm="1">
        <f t="array" ref="O159">$C$11*IF($C$24="Y",RudderForces($C$15,$C$16,$C$13,$C$14,$C$12,$C$23,E159,F159,G159,$O$40),0)</f>
        <v>-986.97176462803588</v>
      </c>
      <c r="P159" s="67" cm="1">
        <f t="array" ref="P159">$C$11*IF($C$24="Y",RudderForces($C$15,$C$16,$C$13,$C$14,$C$12,$C$23,E159,F159,G159,$P$40),0)</f>
        <v>-345.2090584352693</v>
      </c>
      <c r="Q159" s="67" cm="1">
        <f t="array" ref="Q159">$C$11*IF($C$24="Y",RudderForces($C$15,$C$16,$C$13,$C$14,$C$12,$C$23,E159,F159,G159,$Q$40),0)</f>
        <v>2753.1356128686084</v>
      </c>
      <c r="R159" cm="1">
        <f t="array" ref="R159">ManAcceleration($C$3,$C$4,$C$5,$C$6,$C$7,$C$8,K159,E159,F159,G159,L159,0,N159,O159,P159,Q159,$R$136)</f>
        <v>-1.6359578275688104E-2</v>
      </c>
      <c r="S159" cm="1">
        <f t="array" ref="S159">ManAcceleration($C$3,$C$4,$C$5,$C$6,$C$7,$C$8,K159,E159,F159,G159,L159,0,N159,O159,P159,Q159,$S$136)</f>
        <v>1.7953730626890478E-4</v>
      </c>
      <c r="T159" cm="1">
        <f t="array" ref="T159">ManAcceleration($C$3,$C$4,$C$5,$C$6,$C$7,$C$8,K159,E159,F159,G159,L159,0,N159,O159,P159,Q159,$T$136)</f>
        <v>-4.778318642901378E-5</v>
      </c>
    </row>
    <row r="160" spans="1:20" x14ac:dyDescent="0.2">
      <c r="A160">
        <f t="shared" si="32"/>
        <v>23</v>
      </c>
      <c r="B160" s="21">
        <f t="shared" si="33"/>
        <v>35.671794052090853</v>
      </c>
      <c r="C160" s="21">
        <f t="shared" si="34"/>
        <v>18.150742752034986</v>
      </c>
      <c r="D160" s="21">
        <f t="shared" si="35"/>
        <v>1.9690809167629877</v>
      </c>
      <c r="E160" s="21">
        <f t="shared" si="36"/>
        <v>1.2834017358289125</v>
      </c>
      <c r="F160" s="21">
        <f t="shared" si="37"/>
        <v>-0.57423299967069352</v>
      </c>
      <c r="G160" s="21">
        <f t="shared" si="38"/>
        <v>9.1971157952761964E-2</v>
      </c>
      <c r="H160" s="21">
        <f t="shared" si="39"/>
        <v>0.16049912652601633</v>
      </c>
      <c r="I160" s="21">
        <f t="shared" si="40"/>
        <v>1.3968190948808847</v>
      </c>
      <c r="J160" s="21">
        <f t="shared" si="41"/>
        <v>9.1971157952761964E-2</v>
      </c>
      <c r="K160" s="67" cm="1">
        <f t="array" ref="K160">-Lininterp(Powering!$A$55:$A$71,Powering!$Y$55:$Y$71,E160/0.514)</f>
        <v>-141.04835558689558</v>
      </c>
      <c r="L160" s="67" cm="1">
        <f t="array" ref="L160">OarForces(SUM(Input!$B$37:$B$39),$C$10,$C$34,$C$35,$C$33,E160,F160,G160, $L$136)</f>
        <v>1646.2717854778693</v>
      </c>
      <c r="M160" s="67"/>
      <c r="N160" s="4" cm="1">
        <f t="array" ref="N160">OarForces(SUM(Input!$B$37:$B$39),$C$10,$C$34,$C$35,$C$33,E160,F160,G160, $N$136)</f>
        <v>7408.223034650412</v>
      </c>
      <c r="O160" s="67" cm="1">
        <f t="array" ref="O160">$C$11*IF($C$24="Y",RudderForces($C$15,$C$16,$C$13,$C$14,$C$12,$C$23,E160,F160,G160,$O$40),0)</f>
        <v>-964.9503911519846</v>
      </c>
      <c r="P160" s="67" cm="1">
        <f t="array" ref="P160">$C$11*IF($C$24="Y",RudderForces($C$15,$C$16,$C$13,$C$14,$C$12,$C$23,E160,F160,G160,$P$40),0)</f>
        <v>-337.51076678951881</v>
      </c>
      <c r="Q160" s="67" cm="1">
        <f t="array" ref="Q160">$C$11*IF($C$24="Y",RudderForces($C$15,$C$16,$C$13,$C$14,$C$12,$C$23,E160,F160,G160,$Q$40),0)</f>
        <v>2691.7396547664866</v>
      </c>
      <c r="R160" cm="1">
        <f t="array" ref="R160">ManAcceleration($C$3,$C$4,$C$5,$C$6,$C$7,$C$8,K160,E160,F160,G160,L160,0,N160,O160,P160,Q160,$R$136)</f>
        <v>-1.4433574242901842E-2</v>
      </c>
      <c r="S160" cm="1">
        <f t="array" ref="S160">ManAcceleration($C$3,$C$4,$C$5,$C$6,$C$7,$C$8,K160,E160,F160,G160,L160,0,N160,O160,P160,Q160,$S$136)</f>
        <v>4.2145008145972788E-4</v>
      </c>
      <c r="T160" cm="1">
        <f t="array" ref="T160">ManAcceleration($C$3,$C$4,$C$5,$C$6,$C$7,$C$8,K160,E160,F160,G160,L160,0,N160,O160,P160,Q160,$T$136)</f>
        <v>-5.4660204533840136E-5</v>
      </c>
    </row>
    <row r="161" spans="1:20" x14ac:dyDescent="0.2">
      <c r="A161">
        <f t="shared" si="32"/>
        <v>24</v>
      </c>
      <c r="B161" s="21">
        <f t="shared" si="33"/>
        <v>35.708538237984747</v>
      </c>
      <c r="C161" s="21">
        <f t="shared" si="34"/>
        <v>19.542931587776739</v>
      </c>
      <c r="D161" s="21">
        <f t="shared" si="35"/>
        <v>2.060997414511216</v>
      </c>
      <c r="E161" s="21">
        <f t="shared" si="36"/>
        <v>1.2689681615860107</v>
      </c>
      <c r="F161" s="21">
        <f t="shared" si="37"/>
        <v>-0.57381154958923375</v>
      </c>
      <c r="G161" s="21">
        <f t="shared" si="38"/>
        <v>9.1916497748228118E-2</v>
      </c>
      <c r="H161" s="21">
        <f t="shared" si="39"/>
        <v>3.6744185893893166E-2</v>
      </c>
      <c r="I161" s="21">
        <f t="shared" si="40"/>
        <v>1.3921888357417511</v>
      </c>
      <c r="J161" s="21">
        <f t="shared" si="41"/>
        <v>9.1916497748228118E-2</v>
      </c>
      <c r="K161" s="67" cm="1">
        <f t="array" ref="K161">-Lininterp(Powering!$A$55:$A$71,Powering!$Y$55:$Y$71,E161/0.514)</f>
        <v>-138.22089371066573</v>
      </c>
      <c r="L161" s="67" cm="1">
        <f t="array" ref="L161">OarForces(SUM(Input!$B$37:$B$39),$C$10,$C$34,$C$35,$C$33,E161,F161,G161, $L$136)</f>
        <v>1649.4706459603683</v>
      </c>
      <c r="M161" s="67"/>
      <c r="N161" s="4" cm="1">
        <f t="array" ref="N161">OarForces(SUM(Input!$B$37:$B$39),$C$10,$C$34,$C$35,$C$33,E161,F161,G161, $N$136)</f>
        <v>7422.617906821657</v>
      </c>
      <c r="O161" s="67" cm="1">
        <f t="array" ref="O161">$C$11*IF($C$24="Y",RudderForces($C$15,$C$16,$C$13,$C$14,$C$12,$C$23,E161,F161,G161,$O$40),0)</f>
        <v>-945.70739794036217</v>
      </c>
      <c r="P161" s="67" cm="1">
        <f t="array" ref="P161">$C$11*IF($C$24="Y",RudderForces($C$15,$C$16,$C$13,$C$14,$C$12,$C$23,E161,F161,G161,$P$40),0)</f>
        <v>-330.79055265389536</v>
      </c>
      <c r="Q161" s="67" cm="1">
        <f t="array" ref="Q161">$C$11*IF($C$24="Y",RudderForces($C$15,$C$16,$C$13,$C$14,$C$12,$C$23,E161,F161,G161,$Q$40),0)</f>
        <v>2638.144129357187</v>
      </c>
      <c r="R161" cm="1">
        <f t="array" ref="R161">ManAcceleration($C$3,$C$4,$C$5,$C$6,$C$7,$C$8,K161,E161,F161,G161,L161,0,N161,O161,P161,Q161,$R$136)</f>
        <v>-1.2716140899296655E-2</v>
      </c>
      <c r="S161" cm="1">
        <f t="array" ref="S161">ManAcceleration($C$3,$C$4,$C$5,$C$6,$C$7,$C$8,K161,E161,F161,G161,L161,0,N161,O161,P161,Q161,$S$136)</f>
        <v>6.1495728072833973E-4</v>
      </c>
      <c r="T161" cm="1">
        <f t="array" ref="T161">ManAcceleration($C$3,$C$4,$C$5,$C$6,$C$7,$C$8,K161,E161,F161,G161,L161,0,N161,O161,P161,Q161,$T$136)</f>
        <v>-5.96787760183857E-5</v>
      </c>
    </row>
    <row r="162" spans="1:20" x14ac:dyDescent="0.2">
      <c r="A162">
        <f t="shared" si="32"/>
        <v>25</v>
      </c>
      <c r="B162" s="21">
        <f t="shared" si="33"/>
        <v>35.622786566747358</v>
      </c>
      <c r="C162" s="21">
        <f t="shared" si="34"/>
        <v>20.921107963932393</v>
      </c>
      <c r="D162" s="21">
        <f t="shared" si="35"/>
        <v>2.1528542334834255</v>
      </c>
      <c r="E162" s="21">
        <f t="shared" si="36"/>
        <v>1.256252020686714</v>
      </c>
      <c r="F162" s="21">
        <f t="shared" si="37"/>
        <v>-0.57319659230850539</v>
      </c>
      <c r="G162" s="21">
        <f t="shared" si="38"/>
        <v>9.1856818972209736E-2</v>
      </c>
      <c r="H162" s="21">
        <f t="shared" si="39"/>
        <v>-8.575167123739047E-2</v>
      </c>
      <c r="I162" s="21">
        <f t="shared" si="40"/>
        <v>1.3781763761556536</v>
      </c>
      <c r="J162" s="21">
        <f t="shared" si="41"/>
        <v>9.1856818972209736E-2</v>
      </c>
      <c r="K162" s="67" cm="1">
        <f t="array" ref="K162">-Lininterp(Powering!$A$55:$A$71,Powering!$Y$55:$Y$71,E162/0.514)</f>
        <v>-135.72986806445689</v>
      </c>
      <c r="L162" s="67" cm="1">
        <f t="array" ref="L162">OarForces(SUM(Input!$B$37:$B$39),$C$10,$C$34,$C$35,$C$33,E162,F162,G162, $L$136)</f>
        <v>1652.3001770189055</v>
      </c>
      <c r="M162" s="67"/>
      <c r="N162" s="4" cm="1">
        <f t="array" ref="N162">OarForces(SUM(Input!$B$37:$B$39),$C$10,$C$34,$C$35,$C$33,E162,F162,G162, $N$136)</f>
        <v>7435.3507965850749</v>
      </c>
      <c r="O162" s="67" cm="1">
        <f t="array" ref="O162">$C$11*IF($C$24="Y",RudderForces($C$15,$C$16,$C$13,$C$14,$C$12,$C$23,E162,F162,G162,$O$40),0)</f>
        <v>-928.89784470528502</v>
      </c>
      <c r="P162" s="67" cm="1">
        <f t="array" ref="P162">$C$11*IF($C$24="Y",RudderForces($C$15,$C$16,$C$13,$C$14,$C$12,$C$23,E162,F162,G162,$P$40),0)</f>
        <v>-324.92577565941008</v>
      </c>
      <c r="Q162" s="67" cm="1">
        <f t="array" ref="Q162">$C$11*IF($C$24="Y",RudderForces($C$15,$C$16,$C$13,$C$14,$C$12,$C$23,E162,F162,G162,$Q$40),0)</f>
        <v>2591.3709465263614</v>
      </c>
      <c r="R162" cm="1">
        <f t="array" ref="R162">ManAcceleration($C$3,$C$4,$C$5,$C$6,$C$7,$C$8,K162,E162,F162,G162,L162,0,N162,O162,P162,Q162,$R$136)</f>
        <v>-1.1184451176565394E-2</v>
      </c>
      <c r="S162" cm="1">
        <f t="array" ref="S162">ManAcceleration($C$3,$C$4,$C$5,$C$6,$C$7,$C$8,K162,E162,F162,G162,L162,0,N162,O162,P162,Q162,$S$136)</f>
        <v>7.6738054479995538E-4</v>
      </c>
      <c r="T162" cm="1">
        <f t="array" ref="T162">ManAcceleration($C$3,$C$4,$C$5,$C$6,$C$7,$C$8,K162,E162,F162,G162,L162,0,N162,O162,P162,Q162,$T$136)</f>
        <v>-6.3180065954945405E-5</v>
      </c>
    </row>
    <row r="163" spans="1:20" x14ac:dyDescent="0.2">
      <c r="A163">
        <f t="shared" si="32"/>
        <v>26</v>
      </c>
      <c r="B163" s="21">
        <f t="shared" si="33"/>
        <v>35.416487036457887</v>
      </c>
      <c r="C163" s="21">
        <f t="shared" si="34"/>
        <v>22.275843716368517</v>
      </c>
      <c r="D163" s="21">
        <f t="shared" si="35"/>
        <v>2.2446478723896801</v>
      </c>
      <c r="E163" s="21">
        <f t="shared" si="36"/>
        <v>1.2450675695101487</v>
      </c>
      <c r="F163" s="21">
        <f t="shared" si="37"/>
        <v>-0.57242921176370543</v>
      </c>
      <c r="G163" s="21">
        <f t="shared" si="38"/>
        <v>9.179363890625479E-2</v>
      </c>
      <c r="H163" s="21">
        <f t="shared" si="39"/>
        <v>-0.20629953028947312</v>
      </c>
      <c r="I163" s="21">
        <f t="shared" si="40"/>
        <v>1.3547357524361232</v>
      </c>
      <c r="J163" s="21">
        <f t="shared" si="41"/>
        <v>9.179363890625479E-2</v>
      </c>
      <c r="K163" s="67" cm="1">
        <f t="array" ref="K163">-Lininterp(Powering!$A$55:$A$71,Powering!$Y$55:$Y$71,E163/0.514)</f>
        <v>-133.5388924421959</v>
      </c>
      <c r="L163" s="67" cm="1">
        <f t="array" ref="L163">OarForces(SUM(Input!$B$37:$B$39),$C$10,$C$34,$C$35,$C$33,E163,F163,G163, $L$136)</f>
        <v>1654.799366704432</v>
      </c>
      <c r="M163" s="67"/>
      <c r="N163" s="4" cm="1">
        <f t="array" ref="N163">OarForces(SUM(Input!$B$37:$B$39),$C$10,$C$34,$C$35,$C$33,E163,F163,G163, $N$136)</f>
        <v>7446.5971501699441</v>
      </c>
      <c r="O163" s="67" cm="1">
        <f t="array" ref="O163">$C$11*IF($C$24="Y",RudderForces($C$15,$C$16,$C$13,$C$14,$C$12,$C$23,E163,F163,G163,$O$40),0)</f>
        <v>-914.22368504863107</v>
      </c>
      <c r="P163" s="67" cm="1">
        <f t="array" ref="P163">$C$11*IF($C$24="Y",RudderForces($C$15,$C$16,$C$13,$C$14,$C$12,$C$23,E163,F163,G163,$P$40),0)</f>
        <v>-319.81072395624068</v>
      </c>
      <c r="Q163" s="67" cm="1">
        <f t="array" ref="Q163">$C$11*IF($C$24="Y",RudderForces($C$15,$C$16,$C$13,$C$14,$C$12,$C$23,E163,F163,G163,$Q$40),0)</f>
        <v>2550.5770256788282</v>
      </c>
      <c r="R163" cm="1">
        <f t="array" ref="R163">ManAcceleration($C$3,$C$4,$C$5,$C$6,$C$7,$C$8,K163,E163,F163,G163,L163,0,N163,O163,P163,Q163,$R$136)</f>
        <v>-9.8185127129676343E-3</v>
      </c>
      <c r="S163" cm="1">
        <f t="array" ref="S163">ManAcceleration($C$3,$C$4,$C$5,$C$6,$C$7,$C$8,K163,E163,F163,G163,L163,0,N163,O163,P163,Q163,$S$136)</f>
        <v>8.8496696893134016E-4</v>
      </c>
      <c r="T163" cm="1">
        <f t="array" ref="T163">ManAcceleration($C$3,$C$4,$C$5,$C$6,$C$7,$C$8,K163,E163,F163,G163,L163,0,N163,O163,P163,Q163,$T$136)</f>
        <v>-6.5441822969360762E-5</v>
      </c>
    </row>
    <row r="164" spans="1:20" x14ac:dyDescent="0.2">
      <c r="A164">
        <f t="shared" si="32"/>
        <v>27</v>
      </c>
      <c r="B164" s="21">
        <f t="shared" si="33"/>
        <v>35.092309704667649</v>
      </c>
      <c r="C164" s="21">
        <f t="shared" si="34"/>
        <v>23.59774088091261</v>
      </c>
      <c r="D164" s="21">
        <f t="shared" si="35"/>
        <v>2.3363760694729656</v>
      </c>
      <c r="E164" s="21">
        <f t="shared" si="36"/>
        <v>1.235249056797181</v>
      </c>
      <c r="F164" s="21">
        <f t="shared" si="37"/>
        <v>-0.57154424479477406</v>
      </c>
      <c r="G164" s="21">
        <f t="shared" si="38"/>
        <v>9.1728197083285432E-2</v>
      </c>
      <c r="H164" s="21">
        <f t="shared" si="39"/>
        <v>-0.32417733179023639</v>
      </c>
      <c r="I164" s="21">
        <f t="shared" si="40"/>
        <v>1.3218971645440944</v>
      </c>
      <c r="J164" s="21">
        <f t="shared" si="41"/>
        <v>9.1728197083285432E-2</v>
      </c>
      <c r="K164" s="67" cm="1">
        <f t="array" ref="K164">-Lininterp(Powering!$A$55:$A$71,Powering!$Y$55:$Y$71,E164/0.514)</f>
        <v>-131.61549703714945</v>
      </c>
      <c r="L164" s="67" cm="1">
        <f t="array" ref="L164">OarForces(SUM(Input!$B$37:$B$39),$C$10,$C$34,$C$35,$C$33,E164,F164,G164, $L$136)</f>
        <v>1657.0031188391772</v>
      </c>
      <c r="M164" s="67"/>
      <c r="N164" s="4" cm="1">
        <f t="array" ref="N164">OarForces(SUM(Input!$B$37:$B$39),$C$10,$C$34,$C$35,$C$33,E164,F164,G164, $N$136)</f>
        <v>7456.5140347762972</v>
      </c>
      <c r="O164" s="67" cm="1">
        <f t="array" ref="O164">$C$11*IF($C$24="Y",RudderForces($C$15,$C$16,$C$13,$C$14,$C$12,$C$23,E164,F164,G164,$O$40),0)</f>
        <v>-901.42629346443005</v>
      </c>
      <c r="P164" s="67" cm="1">
        <f t="array" ref="P164">$C$11*IF($C$24="Y",RudderForces($C$15,$C$16,$C$13,$C$14,$C$12,$C$23,E164,F164,G164,$P$40),0)</f>
        <v>-315.35386192995145</v>
      </c>
      <c r="Q164" s="67" cm="1">
        <f t="array" ref="Q164">$C$11*IF($C$24="Y",RudderForces($C$15,$C$16,$C$13,$C$14,$C$12,$C$23,E164,F164,G164,$Q$40),0)</f>
        <v>2515.0323455309881</v>
      </c>
      <c r="R164" cm="1">
        <f t="array" ref="R164">ManAcceleration($C$3,$C$4,$C$5,$C$6,$C$7,$C$8,K164,E164,F164,G164,L164,0,N164,O164,P164,Q164,$R$136)</f>
        <v>-8.600732665217551E-3</v>
      </c>
      <c r="S164" cm="1">
        <f t="array" ref="S164">ManAcceleration($C$3,$C$4,$C$5,$C$6,$C$7,$C$8,K164,E164,F164,G164,L164,0,N164,O164,P164,Q164,$S$136)</f>
        <v>9.7306289723164067E-4</v>
      </c>
      <c r="T164" cm="1">
        <f t="array" ref="T164">ManAcceleration($C$3,$C$4,$C$5,$C$6,$C$7,$C$8,K164,E164,F164,G164,L164,0,N164,O164,P164,Q164,$T$136)</f>
        <v>-6.669132242660381E-5</v>
      </c>
    </row>
    <row r="165" spans="1:20" x14ac:dyDescent="0.2">
      <c r="A165">
        <f t="shared" si="32"/>
        <v>28</v>
      </c>
      <c r="B165" s="21">
        <f t="shared" si="33"/>
        <v>34.653668329286411</v>
      </c>
      <c r="C165" s="21">
        <f t="shared" si="34"/>
        <v>24.877510910453609</v>
      </c>
      <c r="D165" s="21">
        <f t="shared" si="35"/>
        <v>2.4280375752338244</v>
      </c>
      <c r="E165" s="21">
        <f t="shared" si="36"/>
        <v>1.2266483241319635</v>
      </c>
      <c r="F165" s="21">
        <f t="shared" si="37"/>
        <v>-0.57057118189754241</v>
      </c>
      <c r="G165" s="21">
        <f t="shared" si="38"/>
        <v>9.1661505760858825E-2</v>
      </c>
      <c r="H165" s="21">
        <f t="shared" si="39"/>
        <v>-0.43864137538123987</v>
      </c>
      <c r="I165" s="21">
        <f t="shared" si="40"/>
        <v>1.2797700295409982</v>
      </c>
      <c r="J165" s="21">
        <f t="shared" si="41"/>
        <v>9.1661505760858825E-2</v>
      </c>
      <c r="K165" s="67" cm="1">
        <f t="array" ref="K165">-Lininterp(Powering!$A$55:$A$71,Powering!$Y$55:$Y$71,E165/0.514)</f>
        <v>-129.93065838878022</v>
      </c>
      <c r="L165" s="67" cm="1">
        <f t="array" ref="L165">OarForces(SUM(Input!$B$37:$B$39),$C$10,$C$34,$C$35,$C$33,E165,F165,G165, $L$136)</f>
        <v>1658.9427264079284</v>
      </c>
      <c r="M165" s="67"/>
      <c r="N165" s="4" cm="1">
        <f t="array" ref="N165">OarForces(SUM(Input!$B$37:$B$39),$C$10,$C$34,$C$35,$C$33,E165,F165,G165, $N$136)</f>
        <v>7465.2422688356774</v>
      </c>
      <c r="O165" s="67" cm="1">
        <f t="array" ref="O165">$C$11*IF($C$24="Y",RudderForces($C$15,$C$16,$C$13,$C$14,$C$12,$C$23,E165,F165,G165,$O$40),0)</f>
        <v>-890.28038717944321</v>
      </c>
      <c r="P165" s="67" cm="1">
        <f t="array" ref="P165">$C$11*IF($C$24="Y",RudderForces($C$15,$C$16,$C$13,$C$14,$C$12,$C$23,E165,F165,G165,$P$40),0)</f>
        <v>-311.47560320200984</v>
      </c>
      <c r="Q165" s="67" cm="1">
        <f t="array" ref="Q165">$C$11*IF($C$24="Y",RudderForces($C$15,$C$16,$C$13,$C$14,$C$12,$C$23,E165,F165,G165,$Q$40),0)</f>
        <v>2484.1021831875901</v>
      </c>
      <c r="R165" cm="1">
        <f t="array" ref="R165">ManAcceleration($C$3,$C$4,$C$5,$C$6,$C$7,$C$8,K165,E165,F165,G165,L165,0,N165,O165,P165,Q165,$R$136)</f>
        <v>-7.51556398111512E-3</v>
      </c>
      <c r="S165" cm="1">
        <f t="array" ref="S165">ManAcceleration($C$3,$C$4,$C$5,$C$6,$C$7,$C$8,K165,E165,F165,G165,L165,0,N165,O165,P165,Q165,$S$136)</f>
        <v>1.0362547693087885E-3</v>
      </c>
      <c r="T165" cm="1">
        <f t="array" ref="T165">ManAcceleration($C$3,$C$4,$C$5,$C$6,$C$7,$C$8,K165,E165,F165,G165,L165,0,N165,O165,P165,Q165,$T$136)</f>
        <v>-6.7115433404539197E-5</v>
      </c>
    </row>
    <row r="166" spans="1:20" x14ac:dyDescent="0.2">
      <c r="A166">
        <f t="shared" si="32"/>
        <v>29</v>
      </c>
      <c r="B166" s="21">
        <f t="shared" si="33"/>
        <v>34.104730716273359</v>
      </c>
      <c r="C166" s="21">
        <f t="shared" si="34"/>
        <v>26.1060556662975</v>
      </c>
      <c r="D166" s="21">
        <f t="shared" si="35"/>
        <v>2.5196319655612784</v>
      </c>
      <c r="E166" s="21">
        <f t="shared" si="36"/>
        <v>1.2191327601508484</v>
      </c>
      <c r="F166" s="21">
        <f t="shared" si="37"/>
        <v>-0.56953492712823361</v>
      </c>
      <c r="G166" s="21">
        <f t="shared" si="38"/>
        <v>9.1594390327454284E-2</v>
      </c>
      <c r="H166" s="21">
        <f t="shared" si="39"/>
        <v>-0.54893761301304966</v>
      </c>
      <c r="I166" s="21">
        <f t="shared" si="40"/>
        <v>1.22854475584389</v>
      </c>
      <c r="J166" s="21">
        <f t="shared" si="41"/>
        <v>9.1594390327454284E-2</v>
      </c>
      <c r="K166" s="67" cm="1">
        <f t="array" ref="K166">-Lininterp(Powering!$A$55:$A$71,Powering!$Y$55:$Y$71,E166/0.514)</f>
        <v>-128.45839862294855</v>
      </c>
      <c r="L166" s="67" cm="1">
        <f t="array" ref="L166">OarForces(SUM(Input!$B$37:$B$39),$C$10,$C$34,$C$35,$C$33,E166,F166,G166, $L$136)</f>
        <v>1660.6462777393394</v>
      </c>
      <c r="M166" s="67"/>
      <c r="N166" s="4" cm="1">
        <f t="array" ref="N166">OarForces(SUM(Input!$B$37:$B$39),$C$10,$C$34,$C$35,$C$33,E166,F166,G166, $N$136)</f>
        <v>7472.9082498270272</v>
      </c>
      <c r="O166" s="67" cm="1">
        <f t="array" ref="O166">$C$11*IF($C$24="Y",RudderForces($C$15,$C$16,$C$13,$C$14,$C$12,$C$23,E166,F166,G166,$O$40),0)</f>
        <v>-880.58904892607552</v>
      </c>
      <c r="P166" s="67" cm="1">
        <f t="array" ref="P166">$C$11*IF($C$24="Y",RudderForces($C$15,$C$16,$C$13,$C$14,$C$12,$C$23,E166,F166,G166,$P$40),0)</f>
        <v>-308.10649567725284</v>
      </c>
      <c r="Q166" s="67" cm="1">
        <f t="array" ref="Q166">$C$11*IF($C$24="Y",RudderForces($C$15,$C$16,$C$13,$C$14,$C$12,$C$23,E166,F166,G166,$Q$40),0)</f>
        <v>2457.2326394043657</v>
      </c>
      <c r="R166" cm="1">
        <f t="array" ref="R166">ManAcceleration($C$3,$C$4,$C$5,$C$6,$C$7,$C$8,K166,E166,F166,G166,L166,0,N166,O166,P166,Q166,$R$136)</f>
        <v>-6.5492156945598252E-3</v>
      </c>
      <c r="S166" cm="1">
        <f t="array" ref="S166">ManAcceleration($C$3,$C$4,$C$5,$C$6,$C$7,$C$8,K166,E166,F166,G166,L166,0,N166,O166,P166,Q166,$S$136)</f>
        <v>1.0784842912142066E-3</v>
      </c>
      <c r="T166" cm="1">
        <f t="array" ref="T166">ManAcceleration($C$3,$C$4,$C$5,$C$6,$C$7,$C$8,K166,E166,F166,G166,L166,0,N166,O166,P166,Q166,$T$136)</f>
        <v>-6.6868495990639047E-5</v>
      </c>
    </row>
    <row r="167" spans="1:20" x14ac:dyDescent="0.2">
      <c r="A167">
        <f t="shared" si="32"/>
        <v>30</v>
      </c>
      <c r="B167" s="21">
        <f t="shared" si="33"/>
        <v>33.450418064681031</v>
      </c>
      <c r="C167" s="21">
        <f t="shared" si="34"/>
        <v>27.274548941269721</v>
      </c>
      <c r="D167" s="21">
        <f t="shared" si="35"/>
        <v>2.611159487392742</v>
      </c>
      <c r="E167" s="21">
        <f t="shared" si="36"/>
        <v>1.2125835444562885</v>
      </c>
      <c r="F167" s="21">
        <f t="shared" si="37"/>
        <v>-0.56845644283701946</v>
      </c>
      <c r="G167" s="21">
        <f t="shared" si="38"/>
        <v>9.1527521831463649E-2</v>
      </c>
      <c r="H167" s="21">
        <f t="shared" si="39"/>
        <v>-0.65431265159232854</v>
      </c>
      <c r="I167" s="21">
        <f t="shared" si="40"/>
        <v>1.1684932749722221</v>
      </c>
      <c r="J167" s="21">
        <f t="shared" si="41"/>
        <v>9.1527521831463649E-2</v>
      </c>
      <c r="K167" s="67" cm="1">
        <f t="array" ref="K167">-Lininterp(Powering!$A$55:$A$71,Powering!$Y$55:$Y$71,E167/0.514)</f>
        <v>-127.17544144380901</v>
      </c>
      <c r="L167" s="67" cm="1">
        <f t="array" ref="L167">OarForces(SUM(Input!$B$37:$B$39),$C$10,$C$34,$C$35,$C$33,E167,F167,G167, $L$136)</f>
        <v>1662.1390072813647</v>
      </c>
      <c r="M167" s="67"/>
      <c r="N167" s="4" cm="1">
        <f t="array" ref="N167">OarForces(SUM(Input!$B$37:$B$39),$C$10,$C$34,$C$35,$C$33,E167,F167,G167, $N$136)</f>
        <v>7479.6255327661411</v>
      </c>
      <c r="O167" s="67" cm="1">
        <f t="array" ref="O167">$C$11*IF($C$24="Y",RudderForces($C$15,$C$16,$C$13,$C$14,$C$12,$C$23,E167,F167,G167,$O$40),0)</f>
        <v>-872.17962479274081</v>
      </c>
      <c r="P167" s="67" cm="1">
        <f t="array" ref="P167">$C$11*IF($C$24="Y",RudderForces($C$15,$C$16,$C$13,$C$14,$C$12,$C$23,E167,F167,G167,$P$40),0)</f>
        <v>-305.18573220797987</v>
      </c>
      <c r="Q167" s="67" cm="1">
        <f t="array" ref="Q167">$C$11*IF($C$24="Y",RudderForces($C$15,$C$16,$C$13,$C$14,$C$12,$C$23,E167,F167,G167,$Q$40),0)</f>
        <v>2433.9387607313383</v>
      </c>
      <c r="R167" cm="1">
        <f t="array" ref="R167">ManAcceleration($C$3,$C$4,$C$5,$C$6,$C$7,$C$8,K167,E167,F167,G167,L167,0,N167,O167,P167,Q167,$R$136)</f>
        <v>-5.689413906249198E-3</v>
      </c>
      <c r="S167" cm="1">
        <f t="array" ref="S167">ManAcceleration($C$3,$C$4,$C$5,$C$6,$C$7,$C$8,K167,E167,F167,G167,L167,0,N167,O167,P167,Q167,$S$136)</f>
        <v>1.1031434057148593E-3</v>
      </c>
      <c r="T167" cm="1">
        <f t="array" ref="T167">ManAcceleration($C$3,$C$4,$C$5,$C$6,$C$7,$C$8,K167,E167,F167,G167,L167,0,N167,O167,P167,Q167,$T$136)</f>
        <v>-6.6078519569600763E-5</v>
      </c>
    </row>
    <row r="168" spans="1:20" x14ac:dyDescent="0.2">
      <c r="A168">
        <f t="shared" si="32"/>
        <v>31</v>
      </c>
      <c r="B168" s="21">
        <f t="shared" si="33"/>
        <v>32.696393682950713</v>
      </c>
      <c r="C168" s="21">
        <f t="shared" si="34"/>
        <v>28.374517322855269</v>
      </c>
      <c r="D168" s="21">
        <f t="shared" si="35"/>
        <v>2.702620930704636</v>
      </c>
      <c r="E168" s="21">
        <f t="shared" si="36"/>
        <v>1.2068941305500394</v>
      </c>
      <c r="F168" s="21">
        <f t="shared" si="37"/>
        <v>-0.56735329943130464</v>
      </c>
      <c r="G168" s="21">
        <f t="shared" si="38"/>
        <v>9.1461443311894042E-2</v>
      </c>
      <c r="H168" s="21">
        <f t="shared" si="39"/>
        <v>-0.75402438173031971</v>
      </c>
      <c r="I168" s="21">
        <f t="shared" si="40"/>
        <v>1.099968381585549</v>
      </c>
      <c r="J168" s="21">
        <f t="shared" si="41"/>
        <v>9.1461443311894042E-2</v>
      </c>
      <c r="K168" s="67" cm="1">
        <f t="array" ref="K168">-Lininterp(Powering!$A$55:$A$71,Powering!$Y$55:$Y$71,E168/0.514)</f>
        <v>-126.06091494834152</v>
      </c>
      <c r="L168" s="67" cm="1">
        <f t="array" ref="L168">OarForces(SUM(Input!$B$37:$B$39),$C$10,$C$34,$C$35,$C$33,E168,F168,G168, $L$136)</f>
        <v>1663.4436003694138</v>
      </c>
      <c r="M168" s="67"/>
      <c r="N168" s="4" cm="1">
        <f t="array" ref="N168">OarForces(SUM(Input!$B$37:$B$39),$C$10,$C$34,$C$35,$C$33,E168,F168,G168, $N$136)</f>
        <v>7485.4962016623622</v>
      </c>
      <c r="O168" s="67" cm="1">
        <f t="array" ref="O168">$C$11*IF($C$24="Y",RudderForces($C$15,$C$16,$C$13,$C$14,$C$12,$C$23,E168,F168,G168,$O$40),0)</f>
        <v>-864.90032222933587</v>
      </c>
      <c r="P168" s="67" cm="1">
        <f t="array" ref="P168">$C$11*IF($C$24="Y",RudderForces($C$15,$C$16,$C$13,$C$14,$C$12,$C$23,E168,F168,G168,$P$40),0)</f>
        <v>-302.65992037240966</v>
      </c>
      <c r="Q168" s="67" cm="1">
        <f t="array" ref="Q168">$C$11*IF($C$24="Y",RudderForces($C$15,$C$16,$C$13,$C$14,$C$12,$C$23,E168,F168,G168,$Q$40),0)</f>
        <v>2413.7947281632669</v>
      </c>
      <c r="R168" cm="1">
        <f t="array" ref="R168">ManAcceleration($C$3,$C$4,$C$5,$C$6,$C$7,$C$8,K168,E168,F168,G168,L168,0,N168,O168,P168,Q168,$R$136)</f>
        <v>-4.9252031681605579E-3</v>
      </c>
      <c r="S168" cm="1">
        <f t="array" ref="S168">ManAcceleration($C$3,$C$4,$C$5,$C$6,$C$7,$C$8,K168,E168,F168,G168,L168,0,N168,O168,P168,Q168,$S$136)</f>
        <v>1.1131532197214764E-3</v>
      </c>
      <c r="T168" cm="1">
        <f t="array" ref="T168">ManAcceleration($C$3,$C$4,$C$5,$C$6,$C$7,$C$8,K168,E168,F168,G168,L168,0,N168,O168,P168,Q168,$T$136)</f>
        <v>-6.485208508196763E-5</v>
      </c>
    </row>
    <row r="169" spans="1:20" x14ac:dyDescent="0.2">
      <c r="A169">
        <f t="shared" si="32"/>
        <v>32</v>
      </c>
      <c r="B169" s="21">
        <f t="shared" si="33"/>
        <v>31.849041533150757</v>
      </c>
      <c r="C169" s="21">
        <f t="shared" si="34"/>
        <v>29.397919267255734</v>
      </c>
      <c r="D169" s="21">
        <f t="shared" si="35"/>
        <v>2.794017521931448</v>
      </c>
      <c r="E169" s="21">
        <f t="shared" si="36"/>
        <v>1.2019689273818788</v>
      </c>
      <c r="F169" s="21">
        <f t="shared" si="37"/>
        <v>-0.56624014621158314</v>
      </c>
      <c r="G169" s="21">
        <f t="shared" si="38"/>
        <v>9.1396591226812068E-2</v>
      </c>
      <c r="H169" s="21">
        <f t="shared" si="39"/>
        <v>-0.84735214979995721</v>
      </c>
      <c r="I169" s="21">
        <f t="shared" si="40"/>
        <v>1.0234019444004638</v>
      </c>
      <c r="J169" s="21">
        <f t="shared" si="41"/>
        <v>9.1396591226812068E-2</v>
      </c>
      <c r="K169" s="67" cm="1">
        <f t="array" ref="K169">-Lininterp(Powering!$A$55:$A$71,Powering!$Y$55:$Y$71,E169/0.514)</f>
        <v>-125.09609334862526</v>
      </c>
      <c r="L169" s="67" cm="1">
        <f t="array" ref="L169">OarForces(SUM(Input!$B$37:$B$39),$C$10,$C$34,$C$35,$C$33,E169,F169,G169, $L$136)</f>
        <v>1664.5804595208417</v>
      </c>
      <c r="M169" s="67"/>
      <c r="N169" s="4" cm="1">
        <f t="array" ref="N169">OarForces(SUM(Input!$B$37:$B$39),$C$10,$C$34,$C$35,$C$33,E169,F169,G169, $N$136)</f>
        <v>7490.6120678437874</v>
      </c>
      <c r="O169" s="67" cm="1">
        <f t="array" ref="O169">$C$11*IF($C$24="Y",RudderForces($C$15,$C$16,$C$13,$C$14,$C$12,$C$23,E169,F169,G169,$O$40),0)</f>
        <v>-858.61737174487894</v>
      </c>
      <c r="P169" s="67" cm="1">
        <f t="array" ref="P169">$C$11*IF($C$24="Y",RudderForces($C$15,$C$16,$C$13,$C$14,$C$12,$C$23,E169,F169,G169,$P$40),0)</f>
        <v>-300.48205981176449</v>
      </c>
      <c r="Q169" s="67" cm="1">
        <f t="array" ref="Q169">$C$11*IF($C$24="Y",RudderForces($C$15,$C$16,$C$13,$C$14,$C$12,$C$23,E169,F169,G169,$Q$40),0)</f>
        <v>2396.4257011262825</v>
      </c>
      <c r="R169" cm="1">
        <f t="array" ref="R169">ManAcceleration($C$3,$C$4,$C$5,$C$6,$C$7,$C$8,K169,E169,F169,G169,L169,0,N169,O169,P169,Q169,$R$136)</f>
        <v>-4.2467802864496924E-3</v>
      </c>
      <c r="S169" cm="1">
        <f t="array" ref="S169">ManAcceleration($C$3,$C$4,$C$5,$C$6,$C$7,$C$8,K169,E169,F169,G169,L169,0,N169,O169,P169,Q169,$S$136)</f>
        <v>1.1110300739210809E-3</v>
      </c>
      <c r="T169" cm="1">
        <f t="array" ref="T169">ManAcceleration($C$3,$C$4,$C$5,$C$6,$C$7,$C$8,K169,E169,F169,G169,L169,0,N169,O169,P169,Q169,$T$136)</f>
        <v>-6.3278240793197881E-5</v>
      </c>
    </row>
    <row r="170" spans="1:20" x14ac:dyDescent="0.2">
      <c r="A170">
        <f t="shared" si="32"/>
        <v>33</v>
      </c>
      <c r="B170" s="21">
        <f t="shared" si="33"/>
        <v>30.915435139056925</v>
      </c>
      <c r="C170" s="21">
        <f t="shared" si="34"/>
        <v>30.337221327541204</v>
      </c>
      <c r="D170" s="21">
        <f t="shared" si="35"/>
        <v>2.885350834917467</v>
      </c>
      <c r="E170" s="21">
        <f t="shared" si="36"/>
        <v>1.1977221470954291</v>
      </c>
      <c r="F170" s="21">
        <f t="shared" si="37"/>
        <v>-0.56512911613766204</v>
      </c>
      <c r="G170" s="21">
        <f t="shared" si="38"/>
        <v>9.1333312986018864E-2</v>
      </c>
      <c r="H170" s="21">
        <f t="shared" si="39"/>
        <v>-0.93360639409383217</v>
      </c>
      <c r="I170" s="21">
        <f t="shared" si="40"/>
        <v>0.93930206028547181</v>
      </c>
      <c r="J170" s="21">
        <f t="shared" si="41"/>
        <v>9.1333312986018864E-2</v>
      </c>
      <c r="K170" s="67" cm="1">
        <f t="array" ref="K170">-Lininterp(Powering!$A$55:$A$71,Powering!$Y$55:$Y$71,E170/0.514)</f>
        <v>-124.26417125125801</v>
      </c>
      <c r="L170" s="67" cm="1">
        <f t="array" ref="L170">OarForces(SUM(Input!$B$37:$B$39),$C$10,$C$34,$C$35,$C$33,E170,F170,G170, $L$136)</f>
        <v>1665.5679383331862</v>
      </c>
      <c r="M170" s="67"/>
      <c r="N170" s="4" cm="1">
        <f t="array" ref="N170">OarForces(SUM(Input!$B$37:$B$39),$C$10,$C$34,$C$35,$C$33,E170,F170,G170, $N$136)</f>
        <v>7495.0557224993381</v>
      </c>
      <c r="O170" s="67" cm="1">
        <f t="array" ref="O170">$C$11*IF($C$24="Y",RudderForces($C$15,$C$16,$C$13,$C$14,$C$12,$C$23,E170,F170,G170,$O$40),0)</f>
        <v>-853.21264511689697</v>
      </c>
      <c r="P170" s="67" cm="1">
        <f t="array" ref="P170">$C$11*IF($C$24="Y",RudderForces($C$15,$C$16,$C$13,$C$14,$C$12,$C$23,E170,F170,G170,$P$40),0)</f>
        <v>-298.61068687456407</v>
      </c>
      <c r="Q170" s="67" cm="1">
        <f t="array" ref="Q170">$C$11*IF($C$24="Y",RudderForces($C$15,$C$16,$C$13,$C$14,$C$12,$C$23,E170,F170,G170,$Q$40),0)</f>
        <v>2381.5009957847765</v>
      </c>
      <c r="R170" cm="1">
        <f t="array" ref="R170">ManAcceleration($C$3,$C$4,$C$5,$C$6,$C$7,$C$8,K170,E170,F170,G170,L170,0,N170,O170,P170,Q170,$R$136)</f>
        <v>-3.6453542988384197E-3</v>
      </c>
      <c r="S170" cm="1">
        <f t="array" ref="S170">ManAcceleration($C$3,$C$4,$C$5,$C$6,$C$7,$C$8,K170,E170,F170,G170,L170,0,N170,O170,P170,Q170,$S$136)</f>
        <v>1.0989412158865961E-3</v>
      </c>
      <c r="T170" cm="1">
        <f t="array" ref="T170">ManAcceleration($C$3,$C$4,$C$5,$C$6,$C$7,$C$8,K170,E170,F170,G170,L170,0,N170,O170,P170,Q170,$T$136)</f>
        <v>-6.143161217864415E-5</v>
      </c>
    </row>
    <row r="171" spans="1:20" x14ac:dyDescent="0.2">
      <c r="A171">
        <f t="shared" si="32"/>
        <v>34</v>
      </c>
      <c r="B171" s="21">
        <f t="shared" si="33"/>
        <v>29.903297467437774</v>
      </c>
      <c r="C171" s="21">
        <f t="shared" si="34"/>
        <v>31.185470559198414</v>
      </c>
      <c r="D171" s="21">
        <f t="shared" si="35"/>
        <v>2.976622716291307</v>
      </c>
      <c r="E171" s="21">
        <f t="shared" si="36"/>
        <v>1.1940767927965907</v>
      </c>
      <c r="F171" s="21">
        <f t="shared" si="37"/>
        <v>-0.56403017492177543</v>
      </c>
      <c r="G171" s="21">
        <f t="shared" si="38"/>
        <v>9.1271881373840222E-2</v>
      </c>
      <c r="H171" s="21">
        <f t="shared" si="39"/>
        <v>-1.0121376716191501</v>
      </c>
      <c r="I171" s="21">
        <f t="shared" si="40"/>
        <v>0.84824923165720967</v>
      </c>
      <c r="J171" s="21">
        <f t="shared" si="41"/>
        <v>9.1271881373840222E-2</v>
      </c>
      <c r="K171" s="67" cm="1">
        <f t="array" ref="K171">-Lininterp(Powering!$A$55:$A$71,Powering!$Y$55:$Y$71,E171/0.514)</f>
        <v>-123.55006536647446</v>
      </c>
      <c r="L171" s="67" cm="1">
        <f t="array" ref="L171">OarForces(SUM(Input!$B$37:$B$39),$C$10,$C$34,$C$35,$C$33,E171,F171,G171, $L$136)</f>
        <v>1666.422547919266</v>
      </c>
      <c r="M171" s="67"/>
      <c r="N171" s="4" cm="1">
        <f t="array" ref="N171">OarForces(SUM(Input!$B$37:$B$39),$C$10,$C$34,$C$35,$C$33,E171,F171,G171, $N$136)</f>
        <v>7498.9014656366971</v>
      </c>
      <c r="O171" s="67" cm="1">
        <f t="array" ref="O171">$C$11*IF($C$24="Y",RudderForces($C$15,$C$16,$C$13,$C$14,$C$12,$C$23,E171,F171,G171,$O$40),0)</f>
        <v>-848.58164540100097</v>
      </c>
      <c r="P171" s="67" cm="1">
        <f t="array" ref="P171">$C$11*IF($C$24="Y",RudderForces($C$15,$C$16,$C$13,$C$14,$C$12,$C$23,E171,F171,G171,$P$40),0)</f>
        <v>-297.00915493402567</v>
      </c>
      <c r="Q171" s="67" cm="1">
        <f t="array" ref="Q171">$C$11*IF($C$24="Y",RudderForces($C$15,$C$16,$C$13,$C$14,$C$12,$C$23,E171,F171,G171,$Q$40),0)</f>
        <v>2368.7283453780101</v>
      </c>
      <c r="R171" cm="1">
        <f t="array" ref="R171">ManAcceleration($C$3,$C$4,$C$5,$C$6,$C$7,$C$8,K171,E171,F171,G171,L171,0,N171,O171,P171,Q171,$R$136)</f>
        <v>-3.1130277135726077E-3</v>
      </c>
      <c r="S171" cm="1">
        <f t="array" ref="S171">ManAcceleration($C$3,$C$4,$C$5,$C$6,$C$7,$C$8,K171,E171,F171,G171,L171,0,N171,O171,P171,Q171,$S$136)</f>
        <v>1.0787519953684207E-3</v>
      </c>
      <c r="T171" cm="1">
        <f t="array" ref="T171">ManAcceleration($C$3,$C$4,$C$5,$C$6,$C$7,$C$8,K171,E171,F171,G171,L171,0,N171,O171,P171,Q171,$T$136)</f>
        <v>-5.9374895249723622E-5</v>
      </c>
    </row>
    <row r="172" spans="1:20" x14ac:dyDescent="0.2">
      <c r="A172">
        <f t="shared" si="32"/>
        <v>35</v>
      </c>
      <c r="B172" s="21">
        <f t="shared" si="33"/>
        <v>28.820952458136823</v>
      </c>
      <c r="C172" s="21">
        <f t="shared" si="34"/>
        <v>31.936362212605822</v>
      </c>
      <c r="D172" s="21">
        <f t="shared" si="35"/>
        <v>3.0678352227698977</v>
      </c>
      <c r="E172" s="21">
        <f t="shared" si="36"/>
        <v>1.190963765083018</v>
      </c>
      <c r="F172" s="21">
        <f t="shared" si="37"/>
        <v>-0.56295142292640699</v>
      </c>
      <c r="G172" s="21">
        <f t="shared" si="38"/>
        <v>9.1212506478590499E-2</v>
      </c>
      <c r="H172" s="21">
        <f t="shared" si="39"/>
        <v>-1.0823450093009497</v>
      </c>
      <c r="I172" s="21">
        <f t="shared" si="40"/>
        <v>0.75089165340740838</v>
      </c>
      <c r="J172" s="21">
        <f t="shared" si="41"/>
        <v>9.1212506478590499E-2</v>
      </c>
      <c r="K172" s="67" cm="1">
        <f t="array" ref="K172">-Lininterp(Powering!$A$55:$A$71,Powering!$Y$55:$Y$71,E172/0.514)</f>
        <v>-122.94023948193292</v>
      </c>
      <c r="L172" s="67" cm="1">
        <f t="array" ref="L172">OarForces(SUM(Input!$B$37:$B$39),$C$10,$C$34,$C$35,$C$33,E172,F172,G172, $L$136)</f>
        <v>1667.159139907702</v>
      </c>
      <c r="M172" s="67"/>
      <c r="N172" s="4" cm="1">
        <f t="array" ref="N172">OarForces(SUM(Input!$B$37:$B$39),$C$10,$C$34,$C$35,$C$33,E172,F172,G172, $N$136)</f>
        <v>7502.216129584659</v>
      </c>
      <c r="O172" s="67" cm="1">
        <f t="array" ref="O172">$C$11*IF($C$24="Y",RudderForces($C$15,$C$16,$C$13,$C$14,$C$12,$C$23,E172,F172,G172,$O$40),0)</f>
        <v>-844.63180139539622</v>
      </c>
      <c r="P172" s="67" cm="1">
        <f t="array" ref="P172">$C$11*IF($C$24="Y",RudderForces($C$15,$C$16,$C$13,$C$14,$C$12,$C$23,E172,F172,G172,$P$40),0)</f>
        <v>-295.64502536247983</v>
      </c>
      <c r="Q172" s="67" cm="1">
        <f t="array" ref="Q172">$C$11*IF($C$24="Y",RudderForces($C$15,$C$16,$C$13,$C$14,$C$12,$C$23,E172,F172,G172,$Q$40),0)</f>
        <v>2357.8490430763459</v>
      </c>
      <c r="R172" cm="1">
        <f t="array" ref="R172">ManAcceleration($C$3,$C$4,$C$5,$C$6,$C$7,$C$8,K172,E172,F172,G172,L172,0,N172,O172,P172,Q172,$R$136)</f>
        <v>-2.6426951218015207E-3</v>
      </c>
      <c r="S172" cm="1">
        <f t="array" ref="S172">ManAcceleration($C$3,$C$4,$C$5,$C$6,$C$7,$C$8,K172,E172,F172,G172,L172,0,N172,O172,P172,Q172,$S$136)</f>
        <v>1.0520660906220582E-3</v>
      </c>
      <c r="T172" cm="1">
        <f t="array" ref="T172">ManAcceleration($C$3,$C$4,$C$5,$C$6,$C$7,$C$8,K172,E172,F172,G172,L172,0,N172,O172,P172,Q172,$T$136)</f>
        <v>-5.7160864173341354E-5</v>
      </c>
    </row>
    <row r="173" spans="1:20" x14ac:dyDescent="0.2">
      <c r="A173">
        <f t="shared" si="32"/>
        <v>36</v>
      </c>
      <c r="B173" s="21">
        <f t="shared" si="33"/>
        <v>27.67726893656296</v>
      </c>
      <c r="C173" s="21">
        <f t="shared" si="34"/>
        <v>32.584301912737438</v>
      </c>
      <c r="D173" s="21">
        <f t="shared" si="35"/>
        <v>3.1589905683843149</v>
      </c>
      <c r="E173" s="21">
        <f t="shared" si="36"/>
        <v>1.1883210699612166</v>
      </c>
      <c r="F173" s="21">
        <f t="shared" si="37"/>
        <v>-0.56189935683578496</v>
      </c>
      <c r="G173" s="21">
        <f t="shared" si="38"/>
        <v>9.1155345614417155E-2</v>
      </c>
      <c r="H173" s="21">
        <f t="shared" si="39"/>
        <v>-1.143683521573863</v>
      </c>
      <c r="I173" s="21">
        <f t="shared" si="40"/>
        <v>0.6479397001316145</v>
      </c>
      <c r="J173" s="21">
        <f t="shared" si="41"/>
        <v>9.1155345614417155E-2</v>
      </c>
      <c r="K173" s="67" cm="1">
        <f t="array" ref="K173">-Lininterp(Powering!$A$55:$A$71,Powering!$Y$55:$Y$71,E173/0.514)</f>
        <v>-122.42254929780776</v>
      </c>
      <c r="L173" s="67" cm="1">
        <f t="array" ref="L173">OarForces(SUM(Input!$B$37:$B$39),$C$10,$C$34,$C$35,$C$33,E173,F173,G173, $L$136)</f>
        <v>1667.7910693184704</v>
      </c>
      <c r="M173" s="67"/>
      <c r="N173" s="4" cm="1">
        <f t="array" ref="N173">OarForces(SUM(Input!$B$37:$B$39),$C$10,$C$34,$C$35,$C$33,E173,F173,G173, $N$136)</f>
        <v>7505.0598119331171</v>
      </c>
      <c r="O173" s="67" cm="1">
        <f t="array" ref="O173">$C$11*IF($C$24="Y",RudderForces($C$15,$C$16,$C$13,$C$14,$C$12,$C$23,E173,F173,G173,$O$40),0)</f>
        <v>-841.281012728934</v>
      </c>
      <c r="P173" s="67" cm="1">
        <f t="array" ref="P173">$C$11*IF($C$24="Y",RudderForces($C$15,$C$16,$C$13,$C$14,$C$12,$C$23,E173,F173,G173,$P$40),0)</f>
        <v>-294.48954926505627</v>
      </c>
      <c r="Q173" s="67" cm="1">
        <f t="array" ref="Q173">$C$11*IF($C$24="Y",RudderForces($C$15,$C$16,$C$13,$C$14,$C$12,$C$23,E173,F173,G173,$Q$40),0)</f>
        <v>2348.6338086672185</v>
      </c>
      <c r="R173" cm="1">
        <f t="array" ref="R173">ManAcceleration($C$3,$C$4,$C$5,$C$6,$C$7,$C$8,K173,E173,F173,G173,L173,0,N173,O173,P173,Q173,$R$136)</f>
        <v>-2.2279560895405366E-3</v>
      </c>
      <c r="S173" cm="1">
        <f t="array" ref="S173">ManAcceleration($C$3,$C$4,$C$5,$C$6,$C$7,$C$8,K173,E173,F173,G173,L173,0,N173,O173,P173,Q173,$S$136)</f>
        <v>1.0202599625917226E-3</v>
      </c>
      <c r="T173" cm="1">
        <f t="array" ref="T173">ManAcceleration($C$3,$C$4,$C$5,$C$6,$C$7,$C$8,K173,E173,F173,G173,L173,0,N173,O173,P173,Q173,$T$136)</f>
        <v>-5.483399492388628E-5</v>
      </c>
    </row>
    <row r="174" spans="1:20" x14ac:dyDescent="0.2">
      <c r="A174">
        <f t="shared" si="32"/>
        <v>37</v>
      </c>
      <c r="B174" s="21">
        <f t="shared" si="33"/>
        <v>26.481597691439266</v>
      </c>
      <c r="C174" s="21">
        <f t="shared" si="34"/>
        <v>33.124461620293872</v>
      </c>
      <c r="D174" s="21">
        <f t="shared" si="35"/>
        <v>3.2500910800038083</v>
      </c>
      <c r="E174" s="21">
        <f t="shared" si="36"/>
        <v>1.1860931138716759</v>
      </c>
      <c r="F174" s="21">
        <f t="shared" si="37"/>
        <v>-0.56087909687319326</v>
      </c>
      <c r="G174" s="21">
        <f t="shared" si="38"/>
        <v>9.1100511619493271E-2</v>
      </c>
      <c r="H174" s="21">
        <f t="shared" si="39"/>
        <v>-1.1956712451236942</v>
      </c>
      <c r="I174" s="21">
        <f t="shared" si="40"/>
        <v>0.54015970755643394</v>
      </c>
      <c r="J174" s="21">
        <f t="shared" si="41"/>
        <v>9.1100511619493271E-2</v>
      </c>
      <c r="K174" s="67" cm="1">
        <f t="array" ref="K174">-Lininterp(Powering!$A$55:$A$71,Powering!$Y$55:$Y$71,E174/0.514)</f>
        <v>-121.98610432589177</v>
      </c>
      <c r="L174" s="67" cm="1">
        <f t="array" ref="L174">OarForces(SUM(Input!$B$37:$B$39),$C$10,$C$34,$C$35,$C$33,E174,F174,G174, $L$136)</f>
        <v>1668.330340048665</v>
      </c>
      <c r="M174" s="67"/>
      <c r="N174" s="4" cm="1">
        <f t="array" ref="N174">OarForces(SUM(Input!$B$37:$B$39),$C$10,$C$34,$C$35,$C$33,E174,F174,G174, $N$136)</f>
        <v>7507.4865302189928</v>
      </c>
      <c r="O174" s="67" cm="1">
        <f t="array" ref="O174">$C$11*IF($C$24="Y",RudderForces($C$15,$C$16,$C$13,$C$14,$C$12,$C$23,E174,F174,G174,$O$40),0)</f>
        <v>-838.45640232387404</v>
      </c>
      <c r="P174" s="67" cm="1">
        <f t="array" ref="P174">$C$11*IF($C$24="Y",RudderForces($C$15,$C$16,$C$13,$C$14,$C$12,$C$23,E174,F174,G174,$P$40),0)</f>
        <v>-293.51722405954877</v>
      </c>
      <c r="Q174" s="67" cm="1">
        <f t="array" ref="Q174">$C$11*IF($C$24="Y",RudderForces($C$15,$C$16,$C$13,$C$14,$C$12,$C$23,E174,F174,G174,$Q$40),0)</f>
        <v>2340.879252159616</v>
      </c>
      <c r="R174" cm="1">
        <f t="array" ref="R174">ManAcceleration($C$3,$C$4,$C$5,$C$6,$C$7,$C$8,K174,E174,F174,G174,L174,0,N174,O174,P174,Q174,$R$136)</f>
        <v>-1.8630398548763302E-3</v>
      </c>
      <c r="S174" cm="1">
        <f t="array" ref="S174">ManAcceleration($C$3,$C$4,$C$5,$C$6,$C$7,$C$8,K174,E174,F174,G174,L174,0,N174,O174,P174,Q174,$S$136)</f>
        <v>9.8451249430163185E-4</v>
      </c>
      <c r="T174" cm="1">
        <f t="array" ref="T174">ManAcceleration($C$3,$C$4,$C$5,$C$6,$C$7,$C$8,K174,E174,F174,G174,L174,0,N174,O174,P174,Q174,$T$136)</f>
        <v>-5.2431784491626865E-5</v>
      </c>
    </row>
    <row r="175" spans="1:20" x14ac:dyDescent="0.2">
      <c r="A175">
        <f t="shared" si="32"/>
        <v>38</v>
      </c>
      <c r="B175" s="21">
        <f t="shared" si="33"/>
        <v>25.243702540856983</v>
      </c>
      <c r="C175" s="21">
        <f t="shared" si="34"/>
        <v>33.552828764210766</v>
      </c>
      <c r="D175" s="21">
        <f t="shared" si="35"/>
        <v>3.3411391598388098</v>
      </c>
      <c r="E175" s="21">
        <f t="shared" si="36"/>
        <v>1.1842300740167997</v>
      </c>
      <c r="F175" s="21">
        <f t="shared" si="37"/>
        <v>-0.55989458437889161</v>
      </c>
      <c r="G175" s="21">
        <f t="shared" si="38"/>
        <v>9.1048079835001641E-2</v>
      </c>
      <c r="H175" s="21">
        <f t="shared" si="39"/>
        <v>-1.2378951505822822</v>
      </c>
      <c r="I175" s="21">
        <f t="shared" si="40"/>
        <v>0.42836714391689257</v>
      </c>
      <c r="J175" s="21">
        <f t="shared" si="41"/>
        <v>9.1048079835001641E-2</v>
      </c>
      <c r="K175" s="67" cm="1">
        <f t="array" ref="K175">-Lininterp(Powering!$A$55:$A$71,Powering!$Y$55:$Y$71,E175/0.514)</f>
        <v>-121.62114454012357</v>
      </c>
      <c r="L175" s="67" cm="1">
        <f t="array" ref="L175">OarForces(SUM(Input!$B$37:$B$39),$C$10,$C$34,$C$35,$C$33,E175,F175,G175, $L$136)</f>
        <v>1668.7877352424439</v>
      </c>
      <c r="M175" s="67"/>
      <c r="N175" s="4" cm="1">
        <f t="array" ref="N175">OarForces(SUM(Input!$B$37:$B$39),$C$10,$C$34,$C$35,$C$33,E175,F175,G175, $N$136)</f>
        <v>7509.5448085909975</v>
      </c>
      <c r="O175" s="67" cm="1">
        <f t="array" ref="O175">$C$11*IF($C$24="Y",RudderForces($C$15,$C$16,$C$13,$C$14,$C$12,$C$23,E175,F175,G175,$O$40),0)</f>
        <v>-836.09324132065433</v>
      </c>
      <c r="P175" s="67" cm="1">
        <f t="array" ref="P175">$C$11*IF($C$24="Y",RudderForces($C$15,$C$16,$C$13,$C$14,$C$12,$C$23,E175,F175,G175,$P$40),0)</f>
        <v>-292.70541211069792</v>
      </c>
      <c r="Q175" s="67" cm="1">
        <f t="array" ref="Q175">$C$11*IF($C$24="Y",RudderForces($C$15,$C$16,$C$13,$C$14,$C$12,$C$23,E175,F175,G175,$Q$40),0)</f>
        <v>2334.4048322893373</v>
      </c>
      <c r="R175" cm="1">
        <f t="array" ref="R175">ManAcceleration($C$3,$C$4,$C$5,$C$6,$C$7,$C$8,K175,E175,F175,G175,L175,0,N175,O175,P175,Q175,$R$136)</f>
        <v>-1.5427398420088927E-3</v>
      </c>
      <c r="S175" cm="1">
        <f t="array" ref="S175">ManAcceleration($C$3,$C$4,$C$5,$C$6,$C$7,$C$8,K175,E175,F175,G175,L175,0,N175,O175,P175,Q175,$S$136)</f>
        <v>9.4583058752537356E-4</v>
      </c>
      <c r="T175" cm="1">
        <f t="array" ref="T175">ManAcceleration($C$3,$C$4,$C$5,$C$6,$C$7,$C$8,K175,E175,F175,G175,L175,0,N175,O175,P175,Q175,$T$136)</f>
        <v>-4.9985828080287178E-5</v>
      </c>
    </row>
    <row r="176" spans="1:20" x14ac:dyDescent="0.2">
      <c r="A176">
        <f t="shared" si="32"/>
        <v>39</v>
      </c>
      <c r="B176" s="21">
        <f t="shared" si="33"/>
        <v>23.973686240812544</v>
      </c>
      <c r="C176" s="21">
        <f t="shared" si="34"/>
        <v>33.866248031971736</v>
      </c>
      <c r="D176" s="21">
        <f t="shared" si="35"/>
        <v>3.4321372538457311</v>
      </c>
      <c r="E176" s="21">
        <f t="shared" si="36"/>
        <v>1.1826873341747908</v>
      </c>
      <c r="F176" s="21">
        <f t="shared" si="37"/>
        <v>-0.55894875379136622</v>
      </c>
      <c r="G176" s="21">
        <f t="shared" si="38"/>
        <v>9.0998094006921354E-2</v>
      </c>
      <c r="H176" s="21">
        <f t="shared" si="39"/>
        <v>-1.2700163000444404</v>
      </c>
      <c r="I176" s="21">
        <f t="shared" si="40"/>
        <v>0.31341926776097362</v>
      </c>
      <c r="J176" s="21">
        <f t="shared" si="41"/>
        <v>9.0998094006921354E-2</v>
      </c>
      <c r="K176" s="67" cm="1">
        <f t="array" ref="K176">-Lininterp(Powering!$A$55:$A$71,Powering!$Y$55:$Y$71,E176/0.514)</f>
        <v>-121.31892985547148</v>
      </c>
      <c r="L176" s="67" cm="1">
        <f t="array" ref="L176">OarForces(SUM(Input!$B$37:$B$39),$C$10,$C$34,$C$35,$C$33,E176,F176,G176, $L$136)</f>
        <v>1669.1729344470557</v>
      </c>
      <c r="M176" s="67"/>
      <c r="N176" s="4" cm="1">
        <f t="array" ref="N176">OarForces(SUM(Input!$B$37:$B$39),$C$10,$C$34,$C$35,$C$33,E176,F176,G176, $N$136)</f>
        <v>7511.2782050117503</v>
      </c>
      <c r="O176" s="67" cm="1">
        <f t="array" ref="O176">$C$11*IF($C$24="Y",RudderForces($C$15,$C$16,$C$13,$C$14,$C$12,$C$23,E176,F176,G176,$O$40),0)</f>
        <v>-834.13401815391558</v>
      </c>
      <c r="P176" s="67" cm="1">
        <f t="array" ref="P176">$C$11*IF($C$24="Y",RudderForces($C$15,$C$16,$C$13,$C$14,$C$12,$C$23,E176,F176,G176,$P$40),0)</f>
        <v>-292.03401108629276</v>
      </c>
      <c r="Q176" s="67" cm="1">
        <f t="array" ref="Q176">$C$11*IF($C$24="Y",RudderForces($C$15,$C$16,$C$13,$C$14,$C$12,$C$23,E176,F176,G176,$Q$40),0)</f>
        <v>2329.0502275197382</v>
      </c>
      <c r="R176" cm="1">
        <f t="array" ref="R176">ManAcceleration($C$3,$C$4,$C$5,$C$6,$C$7,$C$8,K176,E176,F176,G176,L176,0,N176,O176,P176,Q176,$R$136)</f>
        <v>-1.2623563868770732E-3</v>
      </c>
      <c r="S176" cm="1">
        <f t="array" ref="S176">ManAcceleration($C$3,$C$4,$C$5,$C$6,$C$7,$C$8,K176,E176,F176,G176,L176,0,N176,O176,P176,Q176,$S$136)</f>
        <v>9.0507134427393902E-4</v>
      </c>
      <c r="T176" cm="1">
        <f t="array" ref="T176">ManAcceleration($C$3,$C$4,$C$5,$C$6,$C$7,$C$8,K176,E176,F176,G176,L176,0,N176,O176,P176,Q176,$T$136)</f>
        <v>-4.7522703479300173E-5</v>
      </c>
    </row>
    <row r="177" spans="1:20" x14ac:dyDescent="0.2">
      <c r="A177">
        <f t="shared" si="32"/>
        <v>40</v>
      </c>
      <c r="B177" s="21">
        <f t="shared" si="33"/>
        <v>22.681912112627071</v>
      </c>
      <c r="C177" s="21">
        <f t="shared" si="34"/>
        <v>34.062455400362794</v>
      </c>
      <c r="D177" s="21">
        <f t="shared" si="35"/>
        <v>3.5230878251491733</v>
      </c>
      <c r="E177" s="21">
        <f t="shared" si="36"/>
        <v>1.1814249777879138</v>
      </c>
      <c r="F177" s="21">
        <f t="shared" si="37"/>
        <v>-0.55804368244709224</v>
      </c>
      <c r="G177" s="21">
        <f t="shared" si="38"/>
        <v>9.0950571303442057E-2</v>
      </c>
      <c r="H177" s="21">
        <f t="shared" si="39"/>
        <v>-1.2917741281854729</v>
      </c>
      <c r="I177" s="21">
        <f t="shared" si="40"/>
        <v>0.19620736839106101</v>
      </c>
      <c r="J177" s="21">
        <f t="shared" si="41"/>
        <v>9.0950571303442057E-2</v>
      </c>
      <c r="K177" s="67" cm="1">
        <f t="array" ref="K177">-Lininterp(Powering!$A$55:$A$71,Powering!$Y$55:$Y$71,E177/0.514)</f>
        <v>-121.07164082656961</v>
      </c>
      <c r="L177" s="67" cm="1">
        <f t="array" ref="L177">OarForces(SUM(Input!$B$37:$B$39),$C$10,$C$34,$C$35,$C$33,E177,F177,G177, $L$136)</f>
        <v>1669.4946191552733</v>
      </c>
      <c r="M177" s="67"/>
      <c r="N177" s="4" cm="1">
        <f t="array" ref="N177">OarForces(SUM(Input!$B$37:$B$39),$C$10,$C$34,$C$35,$C$33,E177,F177,G177, $N$136)</f>
        <v>7512.72578619873</v>
      </c>
      <c r="O177" s="67" cm="1">
        <f t="array" ref="O177">$C$11*IF($C$24="Y",RudderForces($C$15,$C$16,$C$13,$C$14,$C$12,$C$23,E177,F177,G177,$O$40),0)</f>
        <v>-832.52762872404105</v>
      </c>
      <c r="P177" s="67" cm="1">
        <f t="array" ref="P177">$C$11*IF($C$24="Y",RudderForces($C$15,$C$16,$C$13,$C$14,$C$12,$C$23,E177,F177,G177,$P$40),0)</f>
        <v>-291.48516765036874</v>
      </c>
      <c r="Q177" s="67" cm="1">
        <f t="array" ref="Q177">$C$11*IF($C$24="Y",RudderForces($C$15,$C$16,$C$13,$C$14,$C$12,$C$23,E177,F177,G177,$Q$40),0)</f>
        <v>2324.6730526675465</v>
      </c>
      <c r="R177" cm="1">
        <f t="array" ref="R177">ManAcceleration($C$3,$C$4,$C$5,$C$6,$C$7,$C$8,K177,E177,F177,G177,L177,0,N177,O177,P177,Q177,$R$136)</f>
        <v>-1.0176463726986314E-3</v>
      </c>
      <c r="S177" cm="1">
        <f t="array" ref="S177">ManAcceleration($C$3,$C$4,$C$5,$C$6,$C$7,$C$8,K177,E177,F177,G177,L177,0,N177,O177,P177,Q177,$S$136)</f>
        <v>8.6296134697943009E-4</v>
      </c>
      <c r="T177" cm="1">
        <f t="array" ref="T177">ManAcceleration($C$3,$C$4,$C$5,$C$6,$C$7,$C$8,K177,E177,F177,G177,L177,0,N177,O177,P177,Q177,$T$136)</f>
        <v>-4.506470145841923E-5</v>
      </c>
    </row>
    <row r="178" spans="1:20" x14ac:dyDescent="0.2">
      <c r="A178">
        <f t="shared" si="32"/>
        <v>41</v>
      </c>
      <c r="B178" s="21">
        <f t="shared" si="33"/>
        <v>21.378922279246119</v>
      </c>
      <c r="C178" s="21">
        <f t="shared" si="34"/>
        <v>34.140104084384546</v>
      </c>
      <c r="D178" s="21">
        <f t="shared" si="35"/>
        <v>3.613993331751157</v>
      </c>
      <c r="E178" s="21">
        <f t="shared" si="36"/>
        <v>1.1804073314152153</v>
      </c>
      <c r="F178" s="21">
        <f t="shared" si="37"/>
        <v>-0.55718072110011285</v>
      </c>
      <c r="G178" s="21">
        <f t="shared" si="38"/>
        <v>9.0905506601983641E-2</v>
      </c>
      <c r="H178" s="21">
        <f t="shared" si="39"/>
        <v>-1.302989833380952</v>
      </c>
      <c r="I178" s="21">
        <f t="shared" si="40"/>
        <v>7.7648684021755121E-2</v>
      </c>
      <c r="J178" s="21">
        <f t="shared" si="41"/>
        <v>9.0905506601983641E-2</v>
      </c>
      <c r="K178" s="67" cm="1">
        <f t="array" ref="K178">-Lininterp(Powering!$A$55:$A$71,Powering!$Y$55:$Y$71,E178/0.514)</f>
        <v>-120.87228921248804</v>
      </c>
      <c r="L178" s="67" cm="1">
        <f t="array" ref="L178">OarForces(SUM(Input!$B$37:$B$39),$C$10,$C$34,$C$35,$C$33,E178,F178,G178, $L$136)</f>
        <v>1669.760568088996</v>
      </c>
      <c r="M178" s="67"/>
      <c r="N178" s="4" cm="1">
        <f t="array" ref="N178">OarForces(SUM(Input!$B$37:$B$39),$C$10,$C$34,$C$35,$C$33,E178,F178,G178, $N$136)</f>
        <v>7513.9225564004819</v>
      </c>
      <c r="O178" s="67" cm="1">
        <f t="array" ref="O178">$C$11*IF($C$24="Y",RudderForces($C$15,$C$16,$C$13,$C$14,$C$12,$C$23,E178,F178,G178,$O$40),0)</f>
        <v>-831.22866881033337</v>
      </c>
      <c r="P178" s="67" cm="1">
        <f t="array" ref="P178">$C$11*IF($C$24="Y",RudderForces($C$15,$C$16,$C$13,$C$14,$C$12,$C$23,E178,F178,G178,$P$40),0)</f>
        <v>-291.04302765930896</v>
      </c>
      <c r="Q178" s="67" cm="1">
        <f t="array" ref="Q178">$C$11*IF($C$24="Y",RudderForces($C$15,$C$16,$C$13,$C$14,$C$12,$C$23,E178,F178,G178,$Q$40),0)</f>
        <v>2321.1468666492028</v>
      </c>
      <c r="R178" cm="1">
        <f t="array" ref="R178">ManAcceleration($C$3,$C$4,$C$5,$C$6,$C$7,$C$8,K178,E178,F178,G178,L178,0,N178,O178,P178,Q178,$R$136)</f>
        <v>-8.0477871534774851E-4</v>
      </c>
      <c r="S178" cm="1">
        <f t="array" ref="S178">ManAcceleration($C$3,$C$4,$C$5,$C$6,$C$7,$C$8,K178,E178,F178,G178,L178,0,N178,O178,P178,Q178,$S$136)</f>
        <v>8.2011346114363795E-4</v>
      </c>
      <c r="T178" cm="1">
        <f t="array" ref="T178">ManAcceleration($C$3,$C$4,$C$5,$C$6,$C$7,$C$8,K178,E178,F178,G178,L178,0,N178,O178,P178,Q178,$T$136)</f>
        <v>-4.2630432918495733E-5</v>
      </c>
    </row>
    <row r="179" spans="1:20" x14ac:dyDescent="0.2">
      <c r="A179">
        <f t="shared" si="32"/>
        <v>42</v>
      </c>
      <c r="B179" s="21">
        <f t="shared" si="33"/>
        <v>20.075353405770848</v>
      </c>
      <c r="C179" s="21">
        <f t="shared" si="34"/>
        <v>34.098782175245901</v>
      </c>
      <c r="D179" s="21">
        <f t="shared" si="35"/>
        <v>3.7048562079202223</v>
      </c>
      <c r="E179" s="21">
        <f t="shared" si="36"/>
        <v>1.1796025526998675</v>
      </c>
      <c r="F179" s="21">
        <f t="shared" si="37"/>
        <v>-0.55636060763896922</v>
      </c>
      <c r="G179" s="21">
        <f t="shared" si="38"/>
        <v>9.0862876169065146E-2</v>
      </c>
      <c r="H179" s="21">
        <f t="shared" si="39"/>
        <v>-1.30356887347527</v>
      </c>
      <c r="I179" s="21">
        <f t="shared" si="40"/>
        <v>-4.1321909138643476E-2</v>
      </c>
      <c r="J179" s="21">
        <f t="shared" si="41"/>
        <v>9.0862876169065146E-2</v>
      </c>
      <c r="K179" s="67" cm="1">
        <f t="array" ref="K179">-Lininterp(Powering!$A$55:$A$71,Powering!$Y$55:$Y$71,E179/0.514)</f>
        <v>-120.71463726168551</v>
      </c>
      <c r="L179" s="67" cm="1">
        <f t="array" ref="L179">OarForces(SUM(Input!$B$37:$B$39),$C$10,$C$34,$C$35,$C$33,E179,F179,G179, $L$136)</f>
        <v>1669.9777433779225</v>
      </c>
      <c r="M179" s="67"/>
      <c r="N179" s="4" cm="1">
        <f t="array" ref="N179">OarForces(SUM(Input!$B$37:$B$39),$C$10,$C$34,$C$35,$C$33,E179,F179,G179, $N$136)</f>
        <v>7514.8998452006508</v>
      </c>
      <c r="O179" s="67" cm="1">
        <f t="array" ref="O179">$C$11*IF($C$24="Y",RudderForces($C$15,$C$16,$C$13,$C$14,$C$12,$C$23,E179,F179,G179,$O$40),0)</f>
        <v>-830.19681324587737</v>
      </c>
      <c r="P179" s="67" cm="1">
        <f t="array" ref="P179">$C$11*IF($C$24="Y",RudderForces($C$15,$C$16,$C$13,$C$14,$C$12,$C$23,E179,F179,G179,$P$40),0)</f>
        <v>-290.69351726652138</v>
      </c>
      <c r="Q179" s="67" cm="1">
        <f t="array" ref="Q179">$C$11*IF($C$24="Y",RudderForces($C$15,$C$16,$C$13,$C$14,$C$12,$C$23,E179,F179,G179,$Q$40),0)</f>
        <v>2318.3594267314534</v>
      </c>
      <c r="R179" cm="1">
        <f t="array" ref="R179">ManAcceleration($C$3,$C$4,$C$5,$C$6,$C$7,$C$8,K179,E179,F179,G179,L179,0,N179,O179,P179,Q179,$R$136)</f>
        <v>-6.2029483152876974E-4</v>
      </c>
      <c r="S179" cm="1">
        <f t="array" ref="S179">ManAcceleration($C$3,$C$4,$C$5,$C$6,$C$7,$C$8,K179,E179,F179,G179,L179,0,N179,O179,P179,Q179,$S$136)</f>
        <v>7.7704151223285673E-4</v>
      </c>
      <c r="T179" cm="1">
        <f t="array" ref="T179">ManAcceleration($C$3,$C$4,$C$5,$C$6,$C$7,$C$8,K179,E179,F179,G179,L179,0,N179,O179,P179,Q179,$T$136)</f>
        <v>-4.0235337134269242E-5</v>
      </c>
    </row>
    <row r="180" spans="1:20" x14ac:dyDescent="0.2">
      <c r="A180">
        <f t="shared" si="32"/>
        <v>43</v>
      </c>
      <c r="B180" s="21">
        <f t="shared" si="33"/>
        <v>18.781850837119677</v>
      </c>
      <c r="C180" s="21">
        <f t="shared" si="34"/>
        <v>33.939021829066853</v>
      </c>
      <c r="D180" s="21">
        <f t="shared" si="35"/>
        <v>3.7956788487521531</v>
      </c>
      <c r="E180" s="21">
        <f t="shared" si="36"/>
        <v>1.1789822578683387</v>
      </c>
      <c r="F180" s="21">
        <f t="shared" si="37"/>
        <v>-0.55558356612673632</v>
      </c>
      <c r="G180" s="21">
        <f t="shared" si="38"/>
        <v>9.0822640831930881E-2</v>
      </c>
      <c r="H180" s="21">
        <f t="shared" si="39"/>
        <v>-1.2935025686511714</v>
      </c>
      <c r="I180" s="21">
        <f t="shared" si="40"/>
        <v>-0.159760346179047</v>
      </c>
      <c r="J180" s="21">
        <f t="shared" si="41"/>
        <v>9.0822640831930881E-2</v>
      </c>
      <c r="K180" s="67" cm="1">
        <f t="array" ref="K180">-Lininterp(Powering!$A$55:$A$71,Powering!$Y$55:$Y$71,E180/0.514)</f>
        <v>-120.59312474104061</v>
      </c>
      <c r="L180" s="67" cm="1">
        <f t="array" ref="L180">OarForces(SUM(Input!$B$37:$B$39),$C$10,$C$34,$C$35,$C$33,E180,F180,G180, $L$136)</f>
        <v>1670.1523686221226</v>
      </c>
      <c r="M180" s="67"/>
      <c r="N180" s="4" cm="1">
        <f t="array" ref="N180">OarForces(SUM(Input!$B$37:$B$39),$C$10,$C$34,$C$35,$C$33,E180,F180,G180, $N$136)</f>
        <v>7515.6856587995517</v>
      </c>
      <c r="O180" s="67" cm="1">
        <f t="array" ref="O180">$C$11*IF($C$24="Y",RudderForces($C$15,$C$16,$C$13,$C$14,$C$12,$C$23,E180,F180,G180,$O$40),0)</f>
        <v>-829.39626909363028</v>
      </c>
      <c r="P180" s="67" cm="1">
        <f t="array" ref="P180">$C$11*IF($C$24="Y",RudderForces($C$15,$C$16,$C$13,$C$14,$C$12,$C$23,E180,F180,G180,$P$40),0)</f>
        <v>-290.42415033694357</v>
      </c>
      <c r="Q180" s="67" cm="1">
        <f t="array" ref="Q180">$C$11*IF($C$24="Y",RudderForces($C$15,$C$16,$C$13,$C$14,$C$12,$C$23,E180,F180,G180,$Q$40),0)</f>
        <v>2316.2111526099361</v>
      </c>
      <c r="R180" cm="1">
        <f t="array" ref="R180">ManAcceleration($C$3,$C$4,$C$5,$C$6,$C$7,$C$8,K180,E180,F180,G180,L180,0,N180,O180,P180,Q180,$R$136)</f>
        <v>-4.6107337751700881E-4</v>
      </c>
      <c r="S180" cm="1">
        <f t="array" ref="S180">ManAcceleration($C$3,$C$4,$C$5,$C$6,$C$7,$C$8,K180,E180,F180,G180,L180,0,N180,O180,P180,Q180,$S$136)</f>
        <v>7.341731306566865E-4</v>
      </c>
      <c r="T180" cm="1">
        <f t="array" ref="T180">ManAcceleration($C$3,$C$4,$C$5,$C$6,$C$7,$C$8,K180,E180,F180,G180,L180,0,N180,O180,P180,Q180,$T$136)</f>
        <v>-3.7892110362810906E-5</v>
      </c>
    </row>
    <row r="181" spans="1:20" x14ac:dyDescent="0.2">
      <c r="A181">
        <f t="shared" si="32"/>
        <v>44</v>
      </c>
      <c r="B181" s="21">
        <f t="shared" si="33"/>
        <v>17.508982015936869</v>
      </c>
      <c r="C181" s="21">
        <f t="shared" si="34"/>
        <v>33.662299955586533</v>
      </c>
      <c r="D181" s="21">
        <f t="shared" si="35"/>
        <v>3.8864635974737212</v>
      </c>
      <c r="E181" s="21">
        <f t="shared" si="36"/>
        <v>1.1785211844908217</v>
      </c>
      <c r="F181" s="21">
        <f t="shared" si="37"/>
        <v>-0.5548493929960796</v>
      </c>
      <c r="G181" s="21">
        <f t="shared" si="38"/>
        <v>9.0784748721568068E-2</v>
      </c>
      <c r="H181" s="21">
        <f t="shared" si="39"/>
        <v>-1.272868821182807</v>
      </c>
      <c r="I181" s="21">
        <f t="shared" si="40"/>
        <v>-0.27672187348032112</v>
      </c>
      <c r="J181" s="21">
        <f t="shared" si="41"/>
        <v>9.0784748721568068E-2</v>
      </c>
      <c r="K181" s="67" cm="1">
        <f t="array" ref="K181">-Lininterp(Powering!$A$55:$A$71,Powering!$Y$55:$Y$71,E181/0.514)</f>
        <v>-120.50280287237976</v>
      </c>
      <c r="L181" s="67" cm="1">
        <f t="array" ref="L181">OarForces(SUM(Input!$B$37:$B$39),$C$10,$C$34,$C$35,$C$33,E181,F181,G181, $L$136)</f>
        <v>1670.2899996910262</v>
      </c>
      <c r="M181" s="67"/>
      <c r="N181" s="4" cm="1">
        <f t="array" ref="N181">OarForces(SUM(Input!$B$37:$B$39),$C$10,$C$34,$C$35,$C$33,E181,F181,G181, $N$136)</f>
        <v>7516.3049986096175</v>
      </c>
      <c r="O181" s="67" cm="1">
        <f t="array" ref="O181">$C$11*IF($C$24="Y",RudderForces($C$15,$C$16,$C$13,$C$14,$C$12,$C$23,E181,F181,G181,$O$40),0)</f>
        <v>-828.79529226288855</v>
      </c>
      <c r="P181" s="67" cm="1">
        <f t="array" ref="P181">$C$11*IF($C$24="Y",RudderForces($C$15,$C$16,$C$13,$C$14,$C$12,$C$23,E181,F181,G181,$P$40),0)</f>
        <v>-290.2238583751128</v>
      </c>
      <c r="Q181" s="67" cm="1">
        <f t="array" ref="Q181">$C$11*IF($C$24="Y",RudderForces($C$15,$C$16,$C$13,$C$14,$C$12,$C$23,E181,F181,G181,$Q$40),0)</f>
        <v>2314.6137700395393</v>
      </c>
      <c r="R181" cm="1">
        <f t="array" ref="R181">ManAcceleration($C$3,$C$4,$C$5,$C$6,$C$7,$C$8,K181,E181,F181,G181,L181,0,N181,O181,P181,Q181,$R$136)</f>
        <v>-3.2429867080959412E-4</v>
      </c>
      <c r="S181" cm="1">
        <f t="array" ref="S181">ManAcceleration($C$3,$C$4,$C$5,$C$6,$C$7,$C$8,K181,E181,F181,G181,L181,0,N181,O181,P181,Q181,$S$136)</f>
        <v>6.9186101170105798E-4</v>
      </c>
      <c r="T181" cm="1">
        <f t="array" ref="T181">ManAcceleration($C$3,$C$4,$C$5,$C$6,$C$7,$C$8,K181,E181,F181,G181,L181,0,N181,O181,P181,Q181,$T$136)</f>
        <v>-3.5611070077327386E-5</v>
      </c>
    </row>
    <row r="182" spans="1:20" x14ac:dyDescent="0.2">
      <c r="A182">
        <f t="shared" si="32"/>
        <v>45</v>
      </c>
      <c r="B182" s="21">
        <f t="shared" si="33"/>
        <v>16.267150047244602</v>
      </c>
      <c r="C182" s="21">
        <f t="shared" si="34"/>
        <v>33.271030440360931</v>
      </c>
      <c r="D182" s="21">
        <f t="shared" si="35"/>
        <v>3.977212735125212</v>
      </c>
      <c r="E182" s="21">
        <f t="shared" si="36"/>
        <v>1.178196885820012</v>
      </c>
      <c r="F182" s="21">
        <f t="shared" si="37"/>
        <v>-0.55415753198437856</v>
      </c>
      <c r="G182" s="21">
        <f t="shared" si="38"/>
        <v>9.0749137651490744E-2</v>
      </c>
      <c r="H182" s="21">
        <f t="shared" si="39"/>
        <v>-1.2418319686922679</v>
      </c>
      <c r="I182" s="21">
        <f t="shared" si="40"/>
        <v>-0.39126951522560316</v>
      </c>
      <c r="J182" s="21">
        <f t="shared" si="41"/>
        <v>9.0749137651490744E-2</v>
      </c>
      <c r="K182" s="67" cm="1">
        <f t="array" ref="K182">-Lininterp(Powering!$A$55:$A$71,Powering!$Y$55:$Y$71,E182/0.514)</f>
        <v>-120.43927445503871</v>
      </c>
      <c r="L182" s="67" cm="1">
        <f t="array" ref="L182">OarForces(SUM(Input!$B$37:$B$39),$C$10,$C$34,$C$35,$C$33,E182,F182,G182, $L$136)</f>
        <v>1670.3955889982549</v>
      </c>
      <c r="M182" s="67"/>
      <c r="N182" s="4" cm="1">
        <f t="array" ref="N182">OarForces(SUM(Input!$B$37:$B$39),$C$10,$C$34,$C$35,$C$33,E182,F182,G182, $N$136)</f>
        <v>7516.7801504921472</v>
      </c>
      <c r="O182" s="67" cm="1">
        <f t="array" ref="O182">$C$11*IF($C$24="Y",RudderForces($C$15,$C$16,$C$13,$C$14,$C$12,$C$23,E182,F182,G182,$O$40),0)</f>
        <v>-828.36575879009581</v>
      </c>
      <c r="P182" s="67" cm="1">
        <f t="array" ref="P182">$C$11*IF($C$24="Y",RudderForces($C$15,$C$16,$C$13,$C$14,$C$12,$C$23,E182,F182,G182,$P$40),0)</f>
        <v>-290.08283981964553</v>
      </c>
      <c r="Q182" s="67" cm="1">
        <f t="array" ref="Q182">$C$11*IF($C$24="Y",RudderForces($C$15,$C$16,$C$13,$C$14,$C$12,$C$23,E182,F182,G182,$Q$40),0)</f>
        <v>2313.489108917111</v>
      </c>
      <c r="R182" cm="1">
        <f t="array" ref="R182">ManAcceleration($C$3,$C$4,$C$5,$C$6,$C$7,$C$8,K182,E182,F182,G182,L182,0,N182,O182,P182,Q182,$R$136)</f>
        <v>-2.074323075806663E-4</v>
      </c>
      <c r="S182" cm="1">
        <f t="array" ref="S182">ManAcceleration($C$3,$C$4,$C$5,$C$6,$C$7,$C$8,K182,E182,F182,G182,L182,0,N182,O182,P182,Q182,$S$136)</f>
        <v>6.5039279895945552E-4</v>
      </c>
      <c r="T182" cm="1">
        <f t="array" ref="T182">ManAcceleration($C$3,$C$4,$C$5,$C$6,$C$7,$C$8,K182,E182,F182,G182,L182,0,N182,O182,P182,Q182,$T$136)</f>
        <v>-3.3400466900239207E-5</v>
      </c>
    </row>
    <row r="183" spans="1:20" x14ac:dyDescent="0.2">
      <c r="A183">
        <f t="shared" si="32"/>
        <v>46</v>
      </c>
      <c r="B183" s="21">
        <f t="shared" si="33"/>
        <v>15.066508253374252</v>
      </c>
      <c r="C183" s="21">
        <f t="shared" si="34"/>
        <v>32.768548014272682</v>
      </c>
      <c r="D183" s="21">
        <f t="shared" si="35"/>
        <v>4.0679284723098021</v>
      </c>
      <c r="E183" s="21">
        <f t="shared" si="36"/>
        <v>1.1779894535124313</v>
      </c>
      <c r="F183" s="21">
        <f t="shared" si="37"/>
        <v>-0.55350713918541905</v>
      </c>
      <c r="G183" s="21">
        <f t="shared" si="38"/>
        <v>9.07157371845905E-2</v>
      </c>
      <c r="H183" s="21">
        <f t="shared" si="39"/>
        <v>-1.2006417938703497</v>
      </c>
      <c r="I183" s="21">
        <f t="shared" si="40"/>
        <v>-0.50248242608824811</v>
      </c>
      <c r="J183" s="21">
        <f t="shared" si="41"/>
        <v>9.07157371845905E-2</v>
      </c>
      <c r="K183" s="67" cm="1">
        <f t="array" ref="K183">-Lininterp(Powering!$A$55:$A$71,Powering!$Y$55:$Y$71,E183/0.514)</f>
        <v>-120.39863954841664</v>
      </c>
      <c r="L183" s="67" cm="1">
        <f t="array" ref="L183">OarForces(SUM(Input!$B$37:$B$39),$C$10,$C$34,$C$35,$C$33,E183,F183,G183, $L$136)</f>
        <v>1670.4735438974203</v>
      </c>
      <c r="M183" s="67"/>
      <c r="N183" s="4" cm="1">
        <f t="array" ref="N183">OarForces(SUM(Input!$B$37:$B$39),$C$10,$C$34,$C$35,$C$33,E183,F183,G183, $N$136)</f>
        <v>7517.1309475383914</v>
      </c>
      <c r="O183" s="67" cm="1">
        <f t="array" ref="O183">$C$11*IF($C$24="Y",RudderForces($C$15,$C$16,$C$13,$C$14,$C$12,$C$23,E183,F183,G183,$O$40),0)</f>
        <v>-828.08278346052134</v>
      </c>
      <c r="P183" s="67" cm="1">
        <f t="array" ref="P183">$C$11*IF($C$24="Y",RudderForces($C$15,$C$16,$C$13,$C$14,$C$12,$C$23,E183,F183,G183,$P$40),0)</f>
        <v>-289.99242608372919</v>
      </c>
      <c r="Q183" s="67" cm="1">
        <f t="array" ref="Q183">$C$11*IF($C$24="Y",RudderForces($C$15,$C$16,$C$13,$C$14,$C$12,$C$23,E183,F183,G183,$Q$40),0)</f>
        <v>2312.7680349181492</v>
      </c>
      <c r="R183" cm="1">
        <f t="array" ref="R183">ManAcceleration($C$3,$C$4,$C$5,$C$6,$C$7,$C$8,K183,E183,F183,G183,L183,0,N183,O183,P183,Q183,$R$136)</f>
        <v>-1.0818757023346418E-4</v>
      </c>
      <c r="S183" cm="1">
        <f t="array" ref="S183">ManAcceleration($C$3,$C$4,$C$5,$C$6,$C$7,$C$8,K183,E183,F183,G183,L183,0,N183,O183,P183,Q183,$S$136)</f>
        <v>6.0999976833781575E-4</v>
      </c>
      <c r="T183" cm="1">
        <f t="array" ref="T183">ManAcceleration($C$3,$C$4,$C$5,$C$6,$C$7,$C$8,K183,E183,F183,G183,L183,0,N183,O183,P183,Q183,$T$136)</f>
        <v>-3.1266753781268355E-5</v>
      </c>
    </row>
    <row r="184" spans="1:20" x14ac:dyDescent="0.2">
      <c r="A184">
        <f t="shared" si="32"/>
        <v>47</v>
      </c>
      <c r="B184" s="21">
        <f t="shared" si="33"/>
        <v>13.916876533901997</v>
      </c>
      <c r="C184" s="21">
        <f t="shared" si="34"/>
        <v>32.159083960356085</v>
      </c>
      <c r="D184" s="21">
        <f t="shared" si="35"/>
        <v>4.1586129427406116</v>
      </c>
      <c r="E184" s="21">
        <f t="shared" si="36"/>
        <v>1.1778812659421978</v>
      </c>
      <c r="F184" s="21">
        <f t="shared" si="37"/>
        <v>-0.55289713941708118</v>
      </c>
      <c r="G184" s="21">
        <f t="shared" si="38"/>
        <v>9.0684470430809239E-2</v>
      </c>
      <c r="H184" s="21">
        <f t="shared" si="39"/>
        <v>-1.1496317194722561</v>
      </c>
      <c r="I184" s="21">
        <f t="shared" si="40"/>
        <v>-0.60946405391659431</v>
      </c>
      <c r="J184" s="21">
        <f t="shared" si="41"/>
        <v>9.0684470430809239E-2</v>
      </c>
      <c r="K184" s="67" cm="1">
        <f t="array" ref="K184">-Lininterp(Powering!$A$55:$A$71,Powering!$Y$55:$Y$71,E184/0.514)</f>
        <v>-120.37744616795734</v>
      </c>
      <c r="L184" s="67" cm="1">
        <f t="array" ref="L184">OarForces(SUM(Input!$B$37:$B$39),$C$10,$C$34,$C$35,$C$33,E184,F184,G184, $L$136)</f>
        <v>1670.5277797649594</v>
      </c>
      <c r="M184" s="67"/>
      <c r="N184" s="4" cm="1">
        <f t="array" ref="N184">OarForces(SUM(Input!$B$37:$B$39),$C$10,$C$34,$C$35,$C$33,E184,F184,G184, $N$136)</f>
        <v>7517.3750089423174</v>
      </c>
      <c r="O184" s="67" cm="1">
        <f t="array" ref="O184">$C$11*IF($C$24="Y",RudderForces($C$15,$C$16,$C$13,$C$14,$C$12,$C$23,E184,F184,G184,$O$40),0)</f>
        <v>-827.92437963279042</v>
      </c>
      <c r="P184" s="67" cm="1">
        <f t="array" ref="P184">$C$11*IF($C$24="Y",RudderForces($C$15,$C$16,$C$13,$C$14,$C$12,$C$23,E184,F184,G184,$P$40),0)</f>
        <v>-289.94496214997429</v>
      </c>
      <c r="Q184" s="67" cm="1">
        <f t="array" ref="Q184">$C$11*IF($C$24="Y",RudderForces($C$15,$C$16,$C$13,$C$14,$C$12,$C$23,E184,F184,G184,$Q$40),0)</f>
        <v>2312.3894972084499</v>
      </c>
      <c r="R184" cm="1">
        <f t="array" ref="R184">ManAcceleration($C$3,$C$4,$C$5,$C$6,$C$7,$C$8,K184,E184,F184,G184,L184,0,N184,O184,P184,Q184,$R$136)</f>
        <v>-2.4506285414031377E-5</v>
      </c>
      <c r="S184" cm="1">
        <f t="array" ref="S184">ManAcceleration($C$3,$C$4,$C$5,$C$6,$C$7,$C$8,K184,E184,F184,G184,L184,0,N184,O184,P184,Q184,$S$136)</f>
        <v>5.7086446371991991E-4</v>
      </c>
      <c r="T184" cm="1">
        <f t="array" ref="T184">ManAcceleration($C$3,$C$4,$C$5,$C$6,$C$7,$C$8,K184,E184,F184,G184,L184,0,N184,O184,P184,Q184,$T$136)</f>
        <v>-2.9214819963313785E-5</v>
      </c>
    </row>
    <row r="185" spans="1:20" x14ac:dyDescent="0.2">
      <c r="A185">
        <f t="shared" si="32"/>
        <v>48</v>
      </c>
      <c r="B185" s="21">
        <f t="shared" si="33"/>
        <v>12.827660311131959</v>
      </c>
      <c r="C185" s="21">
        <f t="shared" si="34"/>
        <v>31.447733919709705</v>
      </c>
      <c r="D185" s="21">
        <f t="shared" si="35"/>
        <v>4.2492681983514577</v>
      </c>
      <c r="E185" s="21">
        <f t="shared" si="36"/>
        <v>1.1778567596567837</v>
      </c>
      <c r="F185" s="21">
        <f t="shared" si="37"/>
        <v>-0.55232627495336128</v>
      </c>
      <c r="G185" s="21">
        <f t="shared" si="38"/>
        <v>9.065525561084592E-2</v>
      </c>
      <c r="H185" s="21">
        <f t="shared" si="39"/>
        <v>-1.0892162227700377</v>
      </c>
      <c r="I185" s="21">
        <f t="shared" si="40"/>
        <v>-0.71135004064637986</v>
      </c>
      <c r="J185" s="21">
        <f t="shared" si="41"/>
        <v>9.065525561084592E-2</v>
      </c>
      <c r="K185" s="67" cm="1">
        <f t="array" ref="K185">-Lininterp(Powering!$A$55:$A$71,Powering!$Y$55:$Y$71,E185/0.514)</f>
        <v>-120.37264551452461</v>
      </c>
      <c r="L185" s="67" cm="1">
        <f t="array" ref="L185">OarForces(SUM(Input!$B$37:$B$39),$C$10,$C$34,$C$35,$C$33,E185,F185,G185, $L$136)</f>
        <v>1670.5617682694608</v>
      </c>
      <c r="M185" s="67"/>
      <c r="N185" s="4" cm="1">
        <f t="array" ref="N185">OarForces(SUM(Input!$B$37:$B$39),$C$10,$C$34,$C$35,$C$33,E185,F185,G185, $N$136)</f>
        <v>7517.5279572125737</v>
      </c>
      <c r="O185" s="67" cm="1">
        <f t="array" ref="O185">$C$11*IF($C$24="Y",RudderForces($C$15,$C$16,$C$13,$C$14,$C$12,$C$23,E185,F185,G185,$O$40),0)</f>
        <v>-827.87115509821751</v>
      </c>
      <c r="P185" s="67" cm="1">
        <f t="array" ref="P185">$C$11*IF($C$24="Y",RudderForces($C$15,$C$16,$C$13,$C$14,$C$12,$C$23,E185,F185,G185,$P$40),0)</f>
        <v>-289.93369987797973</v>
      </c>
      <c r="Q185" s="67" cm="1">
        <f t="array" ref="Q185">$C$11*IF($C$24="Y",RudderForces($C$15,$C$16,$C$13,$C$14,$C$12,$C$23,E185,F185,G185,$Q$40),0)</f>
        <v>2312.2996775430838</v>
      </c>
      <c r="R185" cm="1">
        <f t="array" ref="R185">ManAcceleration($C$3,$C$4,$C$5,$C$6,$C$7,$C$8,K185,E185,F185,G185,L185,0,N185,O185,P185,Q185,$R$136)</f>
        <v>4.5462153381896186E-5</v>
      </c>
      <c r="S185" cm="1">
        <f t="array" ref="S185">ManAcceleration($C$3,$C$4,$C$5,$C$6,$C$7,$C$8,K185,E185,F185,G185,L185,0,N185,O185,P185,Q185,$S$136)</f>
        <v>5.3312741379921255E-4</v>
      </c>
      <c r="T185" cm="1">
        <f t="array" ref="T185">ManAcceleration($C$3,$C$4,$C$5,$C$6,$C$7,$C$8,K185,E185,F185,G185,L185,0,N185,O185,P185,Q185,$T$136)</f>
        <v>-2.7248195694911557E-5</v>
      </c>
    </row>
    <row r="186" spans="1:20" x14ac:dyDescent="0.2">
      <c r="A186">
        <f t="shared" si="32"/>
        <v>49</v>
      </c>
      <c r="B186" s="21">
        <f t="shared" si="33"/>
        <v>11.807772802580963</v>
      </c>
      <c r="C186" s="21">
        <f t="shared" si="34"/>
        <v>30.640418125414449</v>
      </c>
      <c r="D186" s="21">
        <f t="shared" si="35"/>
        <v>4.3398962057666086</v>
      </c>
      <c r="E186" s="21">
        <f t="shared" si="36"/>
        <v>1.1779022218101656</v>
      </c>
      <c r="F186" s="21">
        <f t="shared" si="37"/>
        <v>-0.5517931475395621</v>
      </c>
      <c r="G186" s="21">
        <f t="shared" si="38"/>
        <v>9.0628007415151007E-2</v>
      </c>
      <c r="H186" s="21">
        <f t="shared" si="39"/>
        <v>-1.0198875085509962</v>
      </c>
      <c r="I186" s="21">
        <f t="shared" si="40"/>
        <v>-0.8073157942952579</v>
      </c>
      <c r="J186" s="21">
        <f t="shared" si="41"/>
        <v>9.0628007415151007E-2</v>
      </c>
      <c r="K186" s="67" cm="1">
        <f t="array" ref="K186">-Lininterp(Powering!$A$55:$A$71,Powering!$Y$55:$Y$71,E186/0.514)</f>
        <v>-120.38155131313934</v>
      </c>
      <c r="L186" s="67" cm="1">
        <f t="array" ref="L186">OarForces(SUM(Input!$B$37:$B$39),$C$10,$C$34,$C$35,$C$33,E186,F186,G186, $L$136)</f>
        <v>1670.5785812704955</v>
      </c>
      <c r="M186" s="67"/>
      <c r="N186" s="4" cm="1">
        <f t="array" ref="N186">OarForces(SUM(Input!$B$37:$B$39),$C$10,$C$34,$C$35,$C$33,E186,F186,G186, $N$136)</f>
        <v>7517.6036157172302</v>
      </c>
      <c r="O186" s="67" cm="1">
        <f t="array" ref="O186">$C$11*IF($C$24="Y",RudderForces($C$15,$C$16,$C$13,$C$14,$C$12,$C$23,E186,F186,G186,$O$40),0)</f>
        <v>-827.90603960288797</v>
      </c>
      <c r="P186" s="67" cm="1">
        <f t="array" ref="P186">$C$11*IF($C$24="Y",RudderForces($C$15,$C$16,$C$13,$C$14,$C$12,$C$23,E186,F186,G186,$P$40),0)</f>
        <v>-289.9527024694786</v>
      </c>
      <c r="Q186" s="67" cm="1">
        <f t="array" ref="Q186">$C$11*IF($C$24="Y",RudderForces($C$15,$C$16,$C$13,$C$14,$C$12,$C$23,E186,F186,G186,$Q$40),0)</f>
        <v>2312.4512283500922</v>
      </c>
      <c r="R186" cm="1">
        <f t="array" ref="R186">ManAcceleration($C$3,$C$4,$C$5,$C$6,$C$7,$C$8,K186,E186,F186,G186,L186,0,N186,O186,P186,Q186,$R$136)</f>
        <v>1.0337984059497923E-4</v>
      </c>
      <c r="S186" cm="1">
        <f t="array" ref="S186">ManAcceleration($C$3,$C$4,$C$5,$C$6,$C$7,$C$8,K186,E186,F186,G186,L186,0,N186,O186,P186,Q186,$S$136)</f>
        <v>4.9689304157199377E-4</v>
      </c>
      <c r="T186" cm="1">
        <f t="array" ref="T186">ManAcceleration($C$3,$C$4,$C$5,$C$6,$C$7,$C$8,K186,E186,F186,G186,L186,0,N186,O186,P186,Q186,$T$136)</f>
        <v>-2.5369232399870578E-5</v>
      </c>
    </row>
    <row r="187" spans="1:20" x14ac:dyDescent="0.2">
      <c r="A187">
        <f t="shared" si="32"/>
        <v>50</v>
      </c>
      <c r="B187" s="21">
        <f t="shared" si="33"/>
        <v>10.865561318369711</v>
      </c>
      <c r="C187" s="21">
        <f t="shared" si="34"/>
        <v>29.743834455719025</v>
      </c>
      <c r="D187" s="21">
        <f t="shared" si="35"/>
        <v>4.4304988439493593</v>
      </c>
      <c r="E187" s="21">
        <f t="shared" si="36"/>
        <v>1.1780056016507605</v>
      </c>
      <c r="F187" s="21">
        <f t="shared" si="37"/>
        <v>-0.55129625449799013</v>
      </c>
      <c r="G187" s="21">
        <f t="shared" si="38"/>
        <v>9.0602638182751133E-2</v>
      </c>
      <c r="H187" s="21">
        <f t="shared" si="39"/>
        <v>-0.942211484211253</v>
      </c>
      <c r="I187" s="21">
        <f t="shared" si="40"/>
        <v>-0.89658366969542247</v>
      </c>
      <c r="J187" s="21">
        <f t="shared" si="41"/>
        <v>9.0602638182751133E-2</v>
      </c>
      <c r="K187" s="67" cm="1">
        <f t="array" ref="K187">-Lininterp(Powering!$A$55:$A$71,Powering!$Y$55:$Y$71,E187/0.514)</f>
        <v>-120.40180288445035</v>
      </c>
      <c r="L187" s="67" cm="1">
        <f t="array" ref="L187">OarForces(SUM(Input!$B$37:$B$39),$C$10,$C$34,$C$35,$C$33,E187,F187,G187, $L$136)</f>
        <v>1670.5809307418403</v>
      </c>
      <c r="M187" s="67"/>
      <c r="N187" s="4" cm="1">
        <f t="array" ref="N187">OarForces(SUM(Input!$B$37:$B$39),$C$10,$C$34,$C$35,$C$33,E187,F187,G187, $N$136)</f>
        <v>7517.6141883382816</v>
      </c>
      <c r="O187" s="67" cm="1">
        <f t="array" ref="O187">$C$11*IF($C$24="Y",RudderForces($C$15,$C$16,$C$13,$C$14,$C$12,$C$23,E187,F187,G187,$O$40),0)</f>
        <v>-828.01404031503921</v>
      </c>
      <c r="P187" s="67" cm="1">
        <f t="array" ref="P187">$C$11*IF($C$24="Y",RudderForces($C$15,$C$16,$C$13,$C$14,$C$12,$C$23,E187,F187,G187,$P$40),0)</f>
        <v>-289.99675877113407</v>
      </c>
      <c r="Q187" s="67" cm="1">
        <f t="array" ref="Q187">$C$11*IF($C$24="Y",RudderForces($C$15,$C$16,$C$13,$C$14,$C$12,$C$23,E187,F187,G187,$Q$40),0)</f>
        <v>2312.8025892721048</v>
      </c>
      <c r="R187" cm="1">
        <f t="array" ref="R187">ManAcceleration($C$3,$C$4,$C$5,$C$6,$C$7,$C$8,K187,E187,F187,G187,L187,0,N187,O187,P187,Q187,$R$136)</f>
        <v>1.5073769687965589E-4</v>
      </c>
      <c r="S187" cm="1">
        <f t="array" ref="S187">ManAcceleration($C$3,$C$4,$C$5,$C$6,$C$7,$C$8,K187,E187,F187,G187,L187,0,N187,O187,P187,Q187,$S$136)</f>
        <v>4.6223486288149012E-4</v>
      </c>
      <c r="T187" cm="1">
        <f t="array" ref="T187">ManAcceleration($C$3,$C$4,$C$5,$C$6,$C$7,$C$8,K187,E187,F187,G187,L187,0,N187,O187,P187,Q187,$T$136)</f>
        <v>-2.3579262034607919E-5</v>
      </c>
    </row>
    <row r="188" spans="1:20" x14ac:dyDescent="0.2">
      <c r="A188">
        <f t="shared" si="32"/>
        <v>51</v>
      </c>
      <c r="B188" s="21">
        <f t="shared" si="33"/>
        <v>10.00873823384782</v>
      </c>
      <c r="C188" s="21">
        <f t="shared" si="34"/>
        <v>28.765404755146317</v>
      </c>
      <c r="D188" s="21">
        <f t="shared" si="35"/>
        <v>4.5210779028700756</v>
      </c>
      <c r="E188" s="21">
        <f t="shared" si="36"/>
        <v>1.1781563393476402</v>
      </c>
      <c r="F188" s="21">
        <f t="shared" si="37"/>
        <v>-0.5508340196351087</v>
      </c>
      <c r="G188" s="21">
        <f t="shared" si="38"/>
        <v>9.0579058920716521E-2</v>
      </c>
      <c r="H188" s="21">
        <f t="shared" si="39"/>
        <v>-0.85682308452189093</v>
      </c>
      <c r="I188" s="21">
        <f t="shared" si="40"/>
        <v>-0.97842970057270628</v>
      </c>
      <c r="J188" s="21">
        <f t="shared" si="41"/>
        <v>9.0579058920716521E-2</v>
      </c>
      <c r="K188" s="67" cm="1">
        <f t="array" ref="K188">-Lininterp(Powering!$A$55:$A$71,Powering!$Y$55:$Y$71,E188/0.514)</f>
        <v>-120.43133161268258</v>
      </c>
      <c r="L188" s="67" cm="1">
        <f t="array" ref="L188">OarForces(SUM(Input!$B$37:$B$39),$C$10,$C$34,$C$35,$C$33,E188,F188,G188, $L$136)</f>
        <v>1670.5712050727341</v>
      </c>
      <c r="M188" s="67"/>
      <c r="N188" s="4" cm="1">
        <f t="array" ref="N188">OarForces(SUM(Input!$B$37:$B$39),$C$10,$C$34,$C$35,$C$33,E188,F188,G188, $N$136)</f>
        <v>7517.5704228273034</v>
      </c>
      <c r="O188" s="67" cm="1">
        <f t="array" ref="O188">$C$11*IF($C$24="Y",RudderForces($C$15,$C$16,$C$13,$C$14,$C$12,$C$23,E188,F188,G188,$O$40),0)</f>
        <v>-828.18202206056674</v>
      </c>
      <c r="P188" s="67" cm="1">
        <f t="array" ref="P188">$C$11*IF($C$24="Y",RudderForces($C$15,$C$16,$C$13,$C$14,$C$12,$C$23,E188,F188,G188,$P$40),0)</f>
        <v>-290.06130628871904</v>
      </c>
      <c r="Q188" s="67" cm="1">
        <f t="array" ref="Q188">$C$11*IF($C$24="Y",RudderForces($C$15,$C$16,$C$13,$C$14,$C$12,$C$23,E188,F188,G188,$Q$40),0)</f>
        <v>2313.3173731836014</v>
      </c>
      <c r="R188" cm="1">
        <f t="array" ref="R188">ManAcceleration($C$3,$C$4,$C$5,$C$6,$C$7,$C$8,K188,E188,F188,G188,L188,0,N188,O188,P188,Q188,$R$136)</f>
        <v>1.8887126751185949E-4</v>
      </c>
      <c r="S188" cm="1">
        <f t="array" ref="S188">ManAcceleration($C$3,$C$4,$C$5,$C$6,$C$7,$C$8,K188,E188,F188,G188,L188,0,N188,O188,P188,Q188,$S$136)</f>
        <v>4.2920005767452631E-4</v>
      </c>
      <c r="T188" cm="1">
        <f t="array" ref="T188">ManAcceleration($C$3,$C$4,$C$5,$C$6,$C$7,$C$8,K188,E188,F188,G188,L188,0,N188,O188,P188,Q188,$T$136)</f>
        <v>-2.1878738598046665E-5</v>
      </c>
    </row>
    <row r="189" spans="1:20" x14ac:dyDescent="0.2">
      <c r="A189">
        <f t="shared" si="32"/>
        <v>52</v>
      </c>
      <c r="B189" s="21">
        <f t="shared" si="33"/>
        <v>9.2443172365925168</v>
      </c>
      <c r="C189" s="21">
        <f t="shared" si="34"/>
        <v>27.71321492448412</v>
      </c>
      <c r="D189" s="21">
        <f t="shared" si="35"/>
        <v>4.6116350830521942</v>
      </c>
      <c r="E189" s="21">
        <f t="shared" si="36"/>
        <v>1.178345210615152</v>
      </c>
      <c r="F189" s="21">
        <f t="shared" si="37"/>
        <v>-0.55040481957743415</v>
      </c>
      <c r="G189" s="21">
        <f t="shared" si="38"/>
        <v>9.0557180182118474E-2</v>
      </c>
      <c r="H189" s="21">
        <f t="shared" si="39"/>
        <v>-0.76442099725530421</v>
      </c>
      <c r="I189" s="21">
        <f t="shared" si="40"/>
        <v>-1.0521898306621962</v>
      </c>
      <c r="J189" s="21">
        <f t="shared" si="41"/>
        <v>9.0557180182118474E-2</v>
      </c>
      <c r="K189" s="67" cm="1">
        <f t="array" ref="K189">-Lininterp(Powering!$A$55:$A$71,Powering!$Y$55:$Y$71,E189/0.514)</f>
        <v>-120.46833050841123</v>
      </c>
      <c r="L189" s="67" cm="1">
        <f t="array" ref="L189">OarForces(SUM(Input!$B$37:$B$39),$C$10,$C$34,$C$35,$C$33,E189,F189,G189, $L$136)</f>
        <v>1670.5515020652279</v>
      </c>
      <c r="M189" s="67"/>
      <c r="N189" s="4" cm="1">
        <f t="array" ref="N189">OarForces(SUM(Input!$B$37:$B$39),$C$10,$C$34,$C$35,$C$33,E189,F189,G189, $N$136)</f>
        <v>7517.4817592935251</v>
      </c>
      <c r="O189" s="67" cm="1">
        <f t="array" ref="O189">$C$11*IF($C$24="Y",RudderForces($C$15,$C$16,$C$13,$C$14,$C$12,$C$23,E189,F189,G189,$O$40),0)</f>
        <v>-828.39850959635146</v>
      </c>
      <c r="P189" s="67" cm="1">
        <f t="array" ref="P189">$C$11*IF($C$24="Y",RudderForces($C$15,$C$16,$C$13,$C$14,$C$12,$C$23,E189,F189,G189,$P$40),0)</f>
        <v>-290.1423619463323</v>
      </c>
      <c r="Q189" s="67" cm="1">
        <f t="array" ref="Q189">$C$11*IF($C$24="Y",RudderForces($C$15,$C$16,$C$13,$C$14,$C$12,$C$23,E189,F189,G189,$Q$40),0)</f>
        <v>2313.9638139769313</v>
      </c>
      <c r="R189" cm="1">
        <f t="array" ref="R189">ManAcceleration($C$3,$C$4,$C$5,$C$6,$C$7,$C$8,K189,E189,F189,G189,L189,0,N189,O189,P189,Q189,$R$136)</f>
        <v>2.1897513333342904E-4</v>
      </c>
      <c r="S189" cm="1">
        <f t="array" ref="S189">ManAcceleration($C$3,$C$4,$C$5,$C$6,$C$7,$C$8,K189,E189,F189,G189,L189,0,N189,O189,P189,Q189,$S$136)</f>
        <v>3.9781348686175193E-4</v>
      </c>
      <c r="T189" cm="1">
        <f t="array" ref="T189">ManAcceleration($C$3,$C$4,$C$5,$C$6,$C$7,$C$8,K189,E189,F189,G189,L189,0,N189,O189,P189,Q189,$T$136)</f>
        <v>-2.026736416295829E-5</v>
      </c>
    </row>
    <row r="190" spans="1:20" x14ac:dyDescent="0.2">
      <c r="A190">
        <f t="shared" si="32"/>
        <v>53</v>
      </c>
      <c r="B190" s="21">
        <f t="shared" si="33"/>
        <v>8.5785553925295694</v>
      </c>
      <c r="C190" s="21">
        <f t="shared" si="34"/>
        <v>26.595949327740172</v>
      </c>
      <c r="D190" s="21">
        <f t="shared" si="35"/>
        <v>4.7021719958701498</v>
      </c>
      <c r="E190" s="21">
        <f t="shared" si="36"/>
        <v>1.1785641857484854</v>
      </c>
      <c r="F190" s="21">
        <f t="shared" si="37"/>
        <v>-0.5500070060905724</v>
      </c>
      <c r="G190" s="21">
        <f t="shared" si="38"/>
        <v>9.053691281795552E-2</v>
      </c>
      <c r="H190" s="21">
        <f t="shared" si="39"/>
        <v>-0.66576184406294736</v>
      </c>
      <c r="I190" s="21">
        <f t="shared" si="40"/>
        <v>-1.1172655967439475</v>
      </c>
      <c r="J190" s="21">
        <f t="shared" si="41"/>
        <v>9.053691281795552E-2</v>
      </c>
      <c r="K190" s="67" cm="1">
        <f t="array" ref="K190">-Lininterp(Powering!$A$55:$A$71,Powering!$Y$55:$Y$71,E190/0.514)</f>
        <v>-120.51122659436493</v>
      </c>
      <c r="L190" s="67" cm="1">
        <f t="array" ref="L190">OarForces(SUM(Input!$B$37:$B$39),$C$10,$C$34,$C$35,$C$33,E190,F190,G190, $L$136)</f>
        <v>1670.523658914793</v>
      </c>
      <c r="M190" s="67"/>
      <c r="N190" s="4" cm="1">
        <f t="array" ref="N190">OarForces(SUM(Input!$B$37:$B$39),$C$10,$C$34,$C$35,$C$33,E190,F190,G190, $N$136)</f>
        <v>7517.3564651165689</v>
      </c>
      <c r="O190" s="67" cm="1">
        <f t="array" ref="O190">$C$11*IF($C$24="Y",RudderForces($C$15,$C$16,$C$13,$C$14,$C$12,$C$23,E190,F190,G190,$O$40),0)</f>
        <v>-828.65350956219993</v>
      </c>
      <c r="P190" s="67" cm="1">
        <f t="array" ref="P190">$C$11*IF($C$24="Y",RudderForces($C$15,$C$16,$C$13,$C$14,$C$12,$C$23,E190,F190,G190,$P$40),0)</f>
        <v>-290.23645975685247</v>
      </c>
      <c r="Q190" s="67" cm="1">
        <f t="array" ref="Q190">$C$11*IF($C$24="Y",RudderForces($C$15,$C$16,$C$13,$C$14,$C$12,$C$23,E190,F190,G190,$Q$40),0)</f>
        <v>2314.7142694673239</v>
      </c>
      <c r="R190" cm="1">
        <f t="array" ref="R190">ManAcceleration($C$3,$C$4,$C$5,$C$6,$C$7,$C$8,K190,E190,F190,G190,L190,0,N190,O190,P190,Q190,$R$136)</f>
        <v>2.4211606661840579E-4</v>
      </c>
      <c r="S190" cm="1">
        <f t="array" ref="S190">ManAcceleration($C$3,$C$4,$C$5,$C$6,$C$7,$C$8,K190,E190,F190,G190,L190,0,N190,O190,P190,Q190,$S$136)</f>
        <v>3.6808121851454151E-4</v>
      </c>
      <c r="T190" cm="1">
        <f t="array" ref="T190">ManAcceleration($C$3,$C$4,$C$5,$C$6,$C$7,$C$8,K190,E190,F190,G190,L190,0,N190,O190,P190,Q190,$T$136)</f>
        <v>-1.8744201336498941E-5</v>
      </c>
    </row>
    <row r="191" spans="1:20" x14ac:dyDescent="0.2">
      <c r="A191">
        <f t="shared" si="32"/>
        <v>54</v>
      </c>
      <c r="B191" s="21">
        <f t="shared" si="33"/>
        <v>8.0169015187286696</v>
      </c>
      <c r="C191" s="21">
        <f t="shared" si="34"/>
        <v>25.422820105967073</v>
      </c>
      <c r="D191" s="21">
        <f t="shared" si="35"/>
        <v>4.7926901644867685</v>
      </c>
      <c r="E191" s="21">
        <f t="shared" si="36"/>
        <v>1.1788063018151038</v>
      </c>
      <c r="F191" s="21">
        <f t="shared" si="37"/>
        <v>-0.5496389248720579</v>
      </c>
      <c r="G191" s="21">
        <f t="shared" si="38"/>
        <v>9.0518168616619016E-2</v>
      </c>
      <c r="H191" s="21">
        <f t="shared" si="39"/>
        <v>-0.56165387380090015</v>
      </c>
      <c r="I191" s="21">
        <f t="shared" si="40"/>
        <v>-1.1731292217730986</v>
      </c>
      <c r="J191" s="21">
        <f t="shared" si="41"/>
        <v>9.0518168616619016E-2</v>
      </c>
      <c r="K191" s="67" cm="1">
        <f t="array" ref="K191">-Lininterp(Powering!$A$55:$A$71,Powering!$Y$55:$Y$71,E191/0.514)</f>
        <v>-120.55865586839403</v>
      </c>
      <c r="L191" s="67" cm="1">
        <f t="array" ref="L191">OarForces(SUM(Input!$B$37:$B$39),$C$10,$C$34,$C$35,$C$33,E191,F191,G191, $L$136)</f>
        <v>1670.4892794343746</v>
      </c>
      <c r="M191" s="67"/>
      <c r="N191" s="4" cm="1">
        <f t="array" ref="N191">OarForces(SUM(Input!$B$37:$B$39),$C$10,$C$34,$C$35,$C$33,E191,F191,G191, $N$136)</f>
        <v>7517.2017574546853</v>
      </c>
      <c r="O191" s="67" cm="1">
        <f t="array" ref="O191">$C$11*IF($C$24="Y",RudderForces($C$15,$C$16,$C$13,$C$14,$C$12,$C$23,E191,F191,G191,$O$40),0)</f>
        <v>-828.93835006135646</v>
      </c>
      <c r="P191" s="67" cm="1">
        <f t="array" ref="P191">$C$11*IF($C$24="Y",RudderForces($C$15,$C$16,$C$13,$C$14,$C$12,$C$23,E191,F191,G191,$P$40),0)</f>
        <v>-290.34059468003505</v>
      </c>
      <c r="Q191" s="67" cm="1">
        <f t="array" ref="Q191">$C$11*IF($C$24="Y",RudderForces($C$15,$C$16,$C$13,$C$14,$C$12,$C$23,E191,F191,G191,$Q$40),0)</f>
        <v>2315.5447736460292</v>
      </c>
      <c r="R191" cm="1">
        <f t="array" ref="R191">ManAcceleration($C$3,$C$4,$C$5,$C$6,$C$7,$C$8,K191,E191,F191,G191,L191,0,N191,O191,P191,Q191,$R$136)</f>
        <v>2.5924504765048519E-4</v>
      </c>
      <c r="S191" cm="1">
        <f t="array" ref="S191">ManAcceleration($C$3,$C$4,$C$5,$C$6,$C$7,$C$8,K191,E191,F191,G191,L191,0,N191,O191,P191,Q191,$S$136)</f>
        <v>3.3999361931502794E-4</v>
      </c>
      <c r="T191" cm="1">
        <f t="array" ref="T191">ManAcceleration($C$3,$C$4,$C$5,$C$6,$C$7,$C$8,K191,E191,F191,G191,L191,0,N191,O191,P191,Q191,$T$136)</f>
        <v>-1.7307773702941997E-5</v>
      </c>
    </row>
    <row r="192" spans="1:20" x14ac:dyDescent="0.2">
      <c r="A192">
        <f t="shared" si="32"/>
        <v>55</v>
      </c>
      <c r="B192" s="21">
        <f t="shared" si="33"/>
        <v>7.5639512908167426</v>
      </c>
      <c r="C192" s="21">
        <f t="shared" si="34"/>
        <v>24.203492024313615</v>
      </c>
      <c r="D192" s="21">
        <f t="shared" si="35"/>
        <v>4.8831910253296842</v>
      </c>
      <c r="E192" s="21">
        <f t="shared" si="36"/>
        <v>1.1790655468627542</v>
      </c>
      <c r="F192" s="21">
        <f t="shared" si="37"/>
        <v>-0.54929893125274287</v>
      </c>
      <c r="G192" s="21">
        <f t="shared" si="38"/>
        <v>9.0500860842916073E-2</v>
      </c>
      <c r="H192" s="21">
        <f t="shared" si="39"/>
        <v>-0.45295022791192663</v>
      </c>
      <c r="I192" s="21">
        <f t="shared" si="40"/>
        <v>-1.2193280816534593</v>
      </c>
      <c r="J192" s="21">
        <f t="shared" si="41"/>
        <v>9.0500860842916073E-2</v>
      </c>
      <c r="K192" s="67" cm="1">
        <f t="array" ref="K192">-Lininterp(Powering!$A$55:$A$71,Powering!$Y$55:$Y$71,E192/0.514)</f>
        <v>-120.60944062042407</v>
      </c>
      <c r="L192" s="67" cm="1">
        <f t="array" ref="L192">OarForces(SUM(Input!$B$37:$B$39),$C$10,$C$34,$C$35,$C$33,E192,F192,G192, $L$136)</f>
        <v>1670.4497587583771</v>
      </c>
      <c r="M192" s="67"/>
      <c r="N192" s="4" cm="1">
        <f t="array" ref="N192">OarForces(SUM(Input!$B$37:$B$39),$C$10,$C$34,$C$35,$C$33,E192,F192,G192, $N$136)</f>
        <v>7517.0239144126972</v>
      </c>
      <c r="O192" s="67" cm="1">
        <f t="array" ref="O192">$C$11*IF($C$24="Y",RudderForces($C$15,$C$16,$C$13,$C$14,$C$12,$C$23,E192,F192,G192,$O$40),0)</f>
        <v>-829.24553607817802</v>
      </c>
      <c r="P192" s="67" cm="1">
        <f t="array" ref="P192">$C$11*IF($C$24="Y",RudderForces($C$15,$C$16,$C$13,$C$14,$C$12,$C$23,E192,F192,G192,$P$40),0)</f>
        <v>-290.45217203673553</v>
      </c>
      <c r="Q192" s="67" cm="1">
        <f t="array" ref="Q192">$C$11*IF($C$24="Y",RudderForces($C$15,$C$16,$C$13,$C$14,$C$12,$C$23,E192,F192,G192,$Q$40),0)</f>
        <v>2316.4346332450623</v>
      </c>
      <c r="R192" cm="1">
        <f t="array" ref="R192">ManAcceleration($C$3,$C$4,$C$5,$C$6,$C$7,$C$8,K192,E192,F192,G192,L192,0,N192,O192,P192,Q192,$R$136)</f>
        <v>2.7120824398029549E-4</v>
      </c>
      <c r="S192" cm="1">
        <f t="array" ref="S192">ManAcceleration($C$3,$C$4,$C$5,$C$6,$C$7,$C$8,K192,E192,F192,G192,L192,0,N192,O192,P192,Q192,$S$136)</f>
        <v>3.1352806047145308E-4</v>
      </c>
      <c r="T192" cm="1">
        <f t="array" ref="T192">ManAcceleration($C$3,$C$4,$C$5,$C$6,$C$7,$C$8,K192,E192,F192,G192,L192,0,N192,O192,P192,Q192,$T$136)</f>
        <v>-1.5956155528881075E-5</v>
      </c>
    </row>
    <row r="193" spans="1:20" x14ac:dyDescent="0.2">
      <c r="A193">
        <f t="shared" si="32"/>
        <v>56</v>
      </c>
      <c r="B193" s="21">
        <f t="shared" si="33"/>
        <v>7.2234094513222509</v>
      </c>
      <c r="C193" s="21">
        <f t="shared" si="34"/>
        <v>22.94800350966381</v>
      </c>
      <c r="D193" s="21">
        <f t="shared" si="35"/>
        <v>4.9736759300170714</v>
      </c>
      <c r="E193" s="21">
        <f t="shared" si="36"/>
        <v>1.1793367551067344</v>
      </c>
      <c r="F193" s="21">
        <f t="shared" si="37"/>
        <v>-0.5489854031922714</v>
      </c>
      <c r="G193" s="21">
        <f t="shared" si="38"/>
        <v>9.0484904687387194E-2</v>
      </c>
      <c r="H193" s="21">
        <f t="shared" si="39"/>
        <v>-0.34054183949449179</v>
      </c>
      <c r="I193" s="21">
        <f t="shared" si="40"/>
        <v>-1.2554885146498036</v>
      </c>
      <c r="J193" s="21">
        <f t="shared" si="41"/>
        <v>9.0484904687387194E-2</v>
      </c>
      <c r="K193" s="67" cm="1">
        <f t="array" ref="K193">-Lininterp(Powering!$A$55:$A$71,Powering!$Y$55:$Y$71,E193/0.514)</f>
        <v>-120.66256890018821</v>
      </c>
      <c r="L193" s="67" cm="1">
        <f t="array" ref="L193">OarForces(SUM(Input!$B$37:$B$39),$C$10,$C$34,$C$35,$C$33,E193,F193,G193, $L$136)</f>
        <v>1670.406305742094</v>
      </c>
      <c r="M193" s="67"/>
      <c r="N193" s="4" cm="1">
        <f t="array" ref="N193">OarForces(SUM(Input!$B$37:$B$39),$C$10,$C$34,$C$35,$C$33,E193,F193,G193, $N$136)</f>
        <v>7516.8283758394227</v>
      </c>
      <c r="O193" s="67" cm="1">
        <f t="array" ref="O193">$C$11*IF($C$24="Y",RudderForces($C$15,$C$16,$C$13,$C$14,$C$12,$C$23,E193,F193,G193,$O$40),0)</f>
        <v>-829.56861915895388</v>
      </c>
      <c r="P193" s="67" cm="1">
        <f t="array" ref="P193">$C$11*IF($C$24="Y",RudderForces($C$15,$C$16,$C$13,$C$14,$C$12,$C$23,E193,F193,G193,$P$40),0)</f>
        <v>-290.56896192493747</v>
      </c>
      <c r="Q193" s="67" cm="1">
        <f t="array" ref="Q193">$C$11*IF($C$24="Y",RudderForces($C$15,$C$16,$C$13,$C$14,$C$12,$C$23,E193,F193,G193,$Q$40),0)</f>
        <v>2317.3660641927004</v>
      </c>
      <c r="R193" cm="1">
        <f t="array" ref="R193">ManAcceleration($C$3,$C$4,$C$5,$C$6,$C$7,$C$8,K193,E193,F193,G193,L193,0,N193,O193,P193,Q193,$R$136)</f>
        <v>2.787570427583274E-4</v>
      </c>
      <c r="S193" cm="1">
        <f t="array" ref="S193">ManAcceleration($C$3,$C$4,$C$5,$C$6,$C$7,$C$8,K193,E193,F193,G193,L193,0,N193,O193,P193,Q193,$S$136)</f>
        <v>2.8865128153931358E-4</v>
      </c>
      <c r="T193" cm="1">
        <f t="array" ref="T193">ManAcceleration($C$3,$C$4,$C$5,$C$6,$C$7,$C$8,K193,E193,F193,G193,L193,0,N193,O193,P193,Q193,$T$136)</f>
        <v>-1.4687051803264884E-5</v>
      </c>
    </row>
    <row r="194" spans="1:20" x14ac:dyDescent="0.2">
      <c r="A194">
        <f t="shared" si="32"/>
        <v>57</v>
      </c>
      <c r="B194" s="21">
        <f t="shared" si="33"/>
        <v>6.9980594220017558</v>
      </c>
      <c r="C194" s="21">
        <f t="shared" si="34"/>
        <v>21.666684561725262</v>
      </c>
      <c r="D194" s="21">
        <f t="shared" si="35"/>
        <v>5.0641461476526555</v>
      </c>
      <c r="E194" s="21">
        <f t="shared" si="36"/>
        <v>1.1796155121494927</v>
      </c>
      <c r="F194" s="21">
        <f t="shared" si="37"/>
        <v>-0.54869675191073208</v>
      </c>
      <c r="G194" s="21">
        <f t="shared" si="38"/>
        <v>9.0470217635583924E-2</v>
      </c>
      <c r="H194" s="21">
        <f t="shared" si="39"/>
        <v>-0.22535002932049486</v>
      </c>
      <c r="I194" s="21">
        <f t="shared" si="40"/>
        <v>-1.2813189479385487</v>
      </c>
      <c r="J194" s="21">
        <f t="shared" si="41"/>
        <v>9.0470217635583924E-2</v>
      </c>
      <c r="K194" s="67" cm="1">
        <f t="array" ref="K194">-Lininterp(Powering!$A$55:$A$71,Powering!$Y$55:$Y$71,E194/0.514)</f>
        <v>-120.71717595024145</v>
      </c>
      <c r="L194" s="67" cm="1">
        <f t="array" ref="L194">OarForces(SUM(Input!$B$37:$B$39),$C$10,$C$34,$C$35,$C$33,E194,F194,G194, $L$136)</f>
        <v>1670.3599632534508</v>
      </c>
      <c r="M194" s="67"/>
      <c r="N194" s="4" cm="1">
        <f t="array" ref="N194">OarForces(SUM(Input!$B$37:$B$39),$C$10,$C$34,$C$35,$C$33,E194,F194,G194, $N$136)</f>
        <v>7516.619834640529</v>
      </c>
      <c r="O194" s="67" cm="1">
        <f t="array" ref="O194">$C$11*IF($C$24="Y",RudderForces($C$15,$C$16,$C$13,$C$14,$C$12,$C$23,E194,F194,G194,$O$40),0)</f>
        <v>-829.90207996539266</v>
      </c>
      <c r="P194" s="67" cm="1">
        <f t="array" ref="P194">$C$11*IF($C$24="Y",RudderForces($C$15,$C$16,$C$13,$C$14,$C$12,$C$23,E194,F194,G194,$P$40),0)</f>
        <v>-290.68905814840184</v>
      </c>
      <c r="Q194" s="67" cm="1">
        <f t="array" ref="Q194">$C$11*IF($C$24="Y",RudderForces($C$15,$C$16,$C$13,$C$14,$C$12,$C$23,E194,F194,G194,$Q$40),0)</f>
        <v>2318.3238640583513</v>
      </c>
      <c r="R194" cm="1">
        <f t="array" ref="R194">ManAcceleration($C$3,$C$4,$C$5,$C$6,$C$7,$C$8,K194,E194,F194,G194,L194,0,N194,O194,P194,Q194,$R$136)</f>
        <v>2.8255721680052389E-4</v>
      </c>
      <c r="S194" cm="1">
        <f t="array" ref="S194">ManAcceleration($C$3,$C$4,$C$5,$C$6,$C$7,$C$8,K194,E194,F194,G194,L194,0,N194,O194,P194,Q194,$S$136)</f>
        <v>2.6532145059526363E-4</v>
      </c>
      <c r="T194" cm="1">
        <f t="array" ref="T194">ManAcceleration($C$3,$C$4,$C$5,$C$6,$C$7,$C$8,K194,E194,F194,G194,L194,0,N194,O194,P194,Q194,$T$136)</f>
        <v>-1.3497869525769061E-5</v>
      </c>
    </row>
    <row r="195" spans="1:20" x14ac:dyDescent="0.2">
      <c r="A195">
        <f t="shared" si="32"/>
        <v>58</v>
      </c>
      <c r="B195" s="21">
        <f t="shared" si="33"/>
        <v>6.8897405586995069</v>
      </c>
      <c r="C195" s="21">
        <f t="shared" si="34"/>
        <v>20.370072240380225</v>
      </c>
      <c r="D195" s="21">
        <f t="shared" si="35"/>
        <v>5.1546028674187134</v>
      </c>
      <c r="E195" s="21">
        <f t="shared" si="36"/>
        <v>1.1798980693662933</v>
      </c>
      <c r="F195" s="21">
        <f t="shared" si="37"/>
        <v>-0.54843143046013687</v>
      </c>
      <c r="G195" s="21">
        <f t="shared" si="38"/>
        <v>9.0456719766058152E-2</v>
      </c>
      <c r="H195" s="21">
        <f t="shared" si="39"/>
        <v>-0.10831886330224882</v>
      </c>
      <c r="I195" s="21">
        <f t="shared" si="40"/>
        <v>-1.2966123213450373</v>
      </c>
      <c r="J195" s="21">
        <f t="shared" si="41"/>
        <v>9.0456719766058152E-2</v>
      </c>
      <c r="K195" s="67" cm="1">
        <f t="array" ref="K195">-Lininterp(Powering!$A$55:$A$71,Powering!$Y$55:$Y$71,E195/0.514)</f>
        <v>-120.77252743455936</v>
      </c>
      <c r="L195" s="67" cm="1">
        <f t="array" ref="L195">OarForces(SUM(Input!$B$37:$B$39),$C$10,$C$34,$C$35,$C$33,E195,F195,G195, $L$136)</f>
        <v>1670.3116265372537</v>
      </c>
      <c r="M195" s="67"/>
      <c r="N195" s="4" cm="1">
        <f t="array" ref="N195">OarForces(SUM(Input!$B$37:$B$39),$C$10,$C$34,$C$35,$C$33,E195,F195,G195, $N$136)</f>
        <v>7516.4023194176416</v>
      </c>
      <c r="O195" s="67" cm="1">
        <f t="array" ref="O195">$C$11*IF($C$24="Y",RudderForces($C$15,$C$16,$C$13,$C$14,$C$12,$C$23,E195,F195,G195,$O$40),0)</f>
        <v>-830.24122246622619</v>
      </c>
      <c r="P195" s="67" cm="1">
        <f t="array" ref="P195">$C$11*IF($C$24="Y",RudderForces($C$15,$C$16,$C$13,$C$14,$C$12,$C$23,E195,F195,G195,$P$40),0)</f>
        <v>-290.81084122393867</v>
      </c>
      <c r="Q195" s="67" cm="1">
        <f t="array" ref="Q195">$C$11*IF($C$24="Y",RudderForces($C$15,$C$16,$C$13,$C$14,$C$12,$C$23,E195,F195,G195,$Q$40),0)</f>
        <v>2319.2951170255387</v>
      </c>
      <c r="R195" cm="1">
        <f t="array" ref="R195">ManAcceleration($C$3,$C$4,$C$5,$C$6,$C$7,$C$8,K195,E195,F195,G195,L195,0,N195,O195,P195,Q195,$R$136)</f>
        <v>2.8319729678639061E-4</v>
      </c>
      <c r="S195" cm="1">
        <f t="array" ref="S195">ManAcceleration($C$3,$C$4,$C$5,$C$6,$C$7,$C$8,K195,E195,F195,G195,L195,0,N195,O195,P195,Q195,$S$136)</f>
        <v>2.4348995487525715E-4</v>
      </c>
      <c r="T195" cm="1">
        <f t="array" ref="T195">ManAcceleration($C$3,$C$4,$C$5,$C$6,$C$7,$C$8,K195,E195,F195,G195,L195,0,N195,O195,P195,Q195,$T$136)</f>
        <v>-1.238578103570205E-5</v>
      </c>
    </row>
    <row r="196" spans="1:20" x14ac:dyDescent="0.2">
      <c r="A196">
        <f t="shared" si="32"/>
        <v>59</v>
      </c>
      <c r="B196" s="21">
        <f t="shared" si="33"/>
        <v>6.8993332219475239</v>
      </c>
      <c r="C196" s="21">
        <f t="shared" si="34"/>
        <v>19.068824446487884</v>
      </c>
      <c r="D196" s="21">
        <f t="shared" si="35"/>
        <v>5.2450472014037359</v>
      </c>
      <c r="E196" s="21">
        <f t="shared" si="36"/>
        <v>1.1801812666630798</v>
      </c>
      <c r="F196" s="21">
        <f t="shared" si="37"/>
        <v>-0.54818794050526165</v>
      </c>
      <c r="G196" s="21">
        <f t="shared" si="38"/>
        <v>9.0444333985022454E-2</v>
      </c>
      <c r="H196" s="21">
        <f t="shared" si="39"/>
        <v>9.5926632480170526E-3</v>
      </c>
      <c r="I196" s="21">
        <f t="shared" si="40"/>
        <v>-1.3012477938923399</v>
      </c>
      <c r="J196" s="21">
        <f t="shared" si="41"/>
        <v>9.0444333985022454E-2</v>
      </c>
      <c r="K196" s="67" cm="1">
        <f t="array" ref="K196">-Lininterp(Powering!$A$55:$A$71,Powering!$Y$55:$Y$71,E196/0.514)</f>
        <v>-120.8280043072064</v>
      </c>
      <c r="L196" s="67" cm="1">
        <f t="array" ref="L196">OarForces(SUM(Input!$B$37:$B$39),$C$10,$C$34,$C$35,$C$33,E196,F196,G196, $L$136)</f>
        <v>1670.2620598171272</v>
      </c>
      <c r="M196" s="67"/>
      <c r="N196" s="4" cm="1">
        <f t="array" ref="N196">OarForces(SUM(Input!$B$37:$B$39),$C$10,$C$34,$C$35,$C$33,E196,F196,G196, $N$136)</f>
        <v>7516.1792691770725</v>
      </c>
      <c r="O196" s="67" cm="1">
        <f t="array" ref="O196">$C$11*IF($C$24="Y",RudderForces($C$15,$C$16,$C$13,$C$14,$C$12,$C$23,E196,F196,G196,$O$40),0)</f>
        <v>-830.58207866552266</v>
      </c>
      <c r="P196" s="67" cm="1">
        <f t="array" ref="P196">$C$11*IF($C$24="Y",RudderForces($C$15,$C$16,$C$13,$C$14,$C$12,$C$23,E196,F196,G196,$P$40),0)</f>
        <v>-290.93294508039509</v>
      </c>
      <c r="Q196" s="67" cm="1">
        <f t="array" ref="Q196">$C$11*IF($C$24="Y",RudderForces($C$15,$C$16,$C$13,$C$14,$C$12,$C$23,E196,F196,G196,$Q$40),0)</f>
        <v>2320.2689283073241</v>
      </c>
      <c r="R196" cm="1">
        <f t="array" ref="R196">ManAcceleration($C$3,$C$4,$C$5,$C$6,$C$7,$C$8,K196,E196,F196,G196,L196,0,N196,O196,P196,Q196,$R$136)</f>
        <v>2.8119621494453873E-4</v>
      </c>
      <c r="S196" cm="1">
        <f t="array" ref="S196">ManAcceleration($C$3,$C$4,$C$5,$C$6,$C$7,$C$8,K196,E196,F196,G196,L196,0,N196,O196,P196,Q196,$S$136)</f>
        <v>2.2310295220560818E-4</v>
      </c>
      <c r="T196" cm="1">
        <f t="array" ref="T196">ManAcceleration($C$3,$C$4,$C$5,$C$6,$C$7,$C$8,K196,E196,F196,G196,L196,0,N196,O196,P196,Q196,$T$136)</f>
        <v>-1.1347780080256397E-5</v>
      </c>
    </row>
    <row r="197" spans="1:20" x14ac:dyDescent="0.2">
      <c r="A197">
        <f t="shared" si="32"/>
        <v>60</v>
      </c>
      <c r="B197" s="21">
        <f t="shared" si="33"/>
        <v>7.0267517707279774</v>
      </c>
      <c r="C197" s="21">
        <f t="shared" si="34"/>
        <v>17.773632722114506</v>
      </c>
      <c r="D197" s="21">
        <f t="shared" si="35"/>
        <v>5.3354801876086784</v>
      </c>
      <c r="E197" s="21">
        <f t="shared" si="36"/>
        <v>1.1804624628780243</v>
      </c>
      <c r="F197" s="21">
        <f t="shared" si="37"/>
        <v>-0.54796483755305603</v>
      </c>
      <c r="G197" s="21">
        <f t="shared" si="38"/>
        <v>9.0432986204942195E-2</v>
      </c>
      <c r="H197" s="21">
        <f t="shared" si="39"/>
        <v>0.12741854878045356</v>
      </c>
      <c r="I197" s="21">
        <f t="shared" si="40"/>
        <v>-1.2951917243733768</v>
      </c>
      <c r="J197" s="21">
        <f t="shared" si="41"/>
        <v>9.0432986204942195E-2</v>
      </c>
      <c r="K197" s="67" cm="1">
        <f t="array" ref="K197">-Lininterp(Powering!$A$55:$A$71,Powering!$Y$55:$Y$71,E197/0.514)</f>
        <v>-120.88308917836274</v>
      </c>
      <c r="L197" s="67" cm="1">
        <f t="array" ref="L197">OarForces(SUM(Input!$B$37:$B$39),$C$10,$C$34,$C$35,$C$33,E197,F197,G197, $L$136)</f>
        <v>1670.2119112867783</v>
      </c>
      <c r="M197" s="67"/>
      <c r="N197" s="4" cm="1">
        <f t="array" ref="N197">OarForces(SUM(Input!$B$37:$B$39),$C$10,$C$34,$C$35,$C$33,E197,F197,G197, $N$136)</f>
        <v>7515.9536007905026</v>
      </c>
      <c r="O197" s="67" cm="1">
        <f t="array" ref="O197">$C$11*IF($C$24="Y",RudderForces($C$15,$C$16,$C$13,$C$14,$C$12,$C$23,E197,F197,G197,$O$40),0)</f>
        <v>-830.92132288077141</v>
      </c>
      <c r="P197" s="67" cm="1">
        <f t="array" ref="P197">$C$11*IF($C$24="Y",RudderForces($C$15,$C$16,$C$13,$C$14,$C$12,$C$23,E197,F197,G197,$P$40),0)</f>
        <v>-291.05422710286098</v>
      </c>
      <c r="Q197" s="67" cm="1">
        <f t="array" ref="Q197">$C$11*IF($C$24="Y",RudderForces($C$15,$C$16,$C$13,$C$14,$C$12,$C$23,E197,F197,G197,$Q$40),0)</f>
        <v>2321.2361852407457</v>
      </c>
      <c r="R197" cm="1">
        <f t="array" ref="R197">ManAcceleration($C$3,$C$4,$C$5,$C$6,$C$7,$C$8,K197,E197,F197,G197,L197,0,N197,O197,P197,Q197,$R$136)</f>
        <v>2.770102795211649E-4</v>
      </c>
      <c r="S197" cm="1">
        <f t="array" ref="S197">ManAcceleration($C$3,$C$4,$C$5,$C$6,$C$7,$C$8,K197,E197,F197,G197,L197,0,N197,O197,P197,Q197,$S$136)</f>
        <v>2.0410271024294492E-4</v>
      </c>
      <c r="T197" cm="1">
        <f t="array" ref="T197">ManAcceleration($C$3,$C$4,$C$5,$C$6,$C$7,$C$8,K197,E197,F197,G197,L197,0,N197,O197,P197,Q197,$T$136)</f>
        <v>-1.0380731248940329E-5</v>
      </c>
    </row>
    <row r="198" spans="1:20" x14ac:dyDescent="0.2">
      <c r="A198">
        <f t="shared" si="32"/>
        <v>61</v>
      </c>
      <c r="B198" s="21">
        <f t="shared" si="33"/>
        <v>7.2709455209964675</v>
      </c>
      <c r="C198" s="21">
        <f t="shared" si="34"/>
        <v>16.495134799379507</v>
      </c>
      <c r="D198" s="21">
        <f t="shared" si="35"/>
        <v>5.425902793082372</v>
      </c>
      <c r="E198" s="21">
        <f t="shared" si="36"/>
        <v>1.1807394731575453</v>
      </c>
      <c r="F198" s="21">
        <f t="shared" si="37"/>
        <v>-0.54776073484281307</v>
      </c>
      <c r="G198" s="21">
        <f t="shared" si="38"/>
        <v>9.0422605473693254E-2</v>
      </c>
      <c r="H198" s="21">
        <f t="shared" si="39"/>
        <v>0.24419375026849</v>
      </c>
      <c r="I198" s="21">
        <f t="shared" si="40"/>
        <v>-1.2784979227349988</v>
      </c>
      <c r="J198" s="21">
        <f t="shared" si="41"/>
        <v>9.0422605473693254E-2</v>
      </c>
      <c r="K198" s="67" cm="1">
        <f t="array" ref="K198">-Lininterp(Powering!$A$55:$A$71,Powering!$Y$55:$Y$71,E198/0.514)</f>
        <v>-120.93735404661288</v>
      </c>
      <c r="L198" s="67" cm="1">
        <f t="array" ref="L198">OarForces(SUM(Input!$B$37:$B$39),$C$10,$C$34,$C$35,$C$33,E198,F198,G198, $L$136)</f>
        <v>1670.1617266299081</v>
      </c>
      <c r="M198" s="67"/>
      <c r="N198" s="4" cm="1">
        <f t="array" ref="N198">OarForces(SUM(Input!$B$37:$B$39),$C$10,$C$34,$C$35,$C$33,E198,F198,G198, $N$136)</f>
        <v>7515.7277698345861</v>
      </c>
      <c r="O198" s="67" cm="1">
        <f t="array" ref="O198">$C$11*IF($C$24="Y",RudderForces($C$15,$C$16,$C$13,$C$14,$C$12,$C$23,E198,F198,G198,$O$40),0)</f>
        <v>-831.25619468287925</v>
      </c>
      <c r="P198" s="67" cm="1">
        <f t="array" ref="P198">$C$11*IF($C$24="Y",RudderForces($C$15,$C$16,$C$13,$C$14,$C$12,$C$23,E198,F198,G198,$P$40),0)</f>
        <v>-291.17374121052205</v>
      </c>
      <c r="Q198" s="67" cm="1">
        <f t="array" ref="Q198">$C$11*IF($C$24="Y",RudderForces($C$15,$C$16,$C$13,$C$14,$C$12,$C$23,E198,F198,G198,$Q$40),0)</f>
        <v>2322.1893425754151</v>
      </c>
      <c r="R198" cm="1">
        <f t="array" ref="R198">ManAcceleration($C$3,$C$4,$C$5,$C$6,$C$7,$C$8,K198,E198,F198,G198,L198,0,N198,O198,P198,Q198,$R$136)</f>
        <v>2.7103953406934267E-4</v>
      </c>
      <c r="S198" cm="1">
        <f t="array" ref="S198">ManAcceleration($C$3,$C$4,$C$5,$C$6,$C$7,$C$8,K198,E198,F198,G198,L198,0,N198,O198,P198,Q198,$S$136)</f>
        <v>1.864287576259549E-4</v>
      </c>
      <c r="T198" cm="1">
        <f t="array" ref="T198">ManAcceleration($C$3,$C$4,$C$5,$C$6,$C$7,$C$8,K198,E198,F198,G198,L198,0,N198,O198,P198,Q198,$T$136)</f>
        <v>-9.4814133437586851E-6</v>
      </c>
    </row>
    <row r="199" spans="1:20" x14ac:dyDescent="0.2">
      <c r="A199">
        <f t="shared" si="32"/>
        <v>62</v>
      </c>
      <c r="B199" s="21">
        <f t="shared" si="33"/>
        <v>7.6299076451130796</v>
      </c>
      <c r="C199" s="21">
        <f t="shared" si="34"/>
        <v>15.243827624772699</v>
      </c>
      <c r="D199" s="21">
        <f t="shared" si="35"/>
        <v>5.5163159171427214</v>
      </c>
      <c r="E199" s="21">
        <f t="shared" si="36"/>
        <v>1.1810105126916146</v>
      </c>
      <c r="F199" s="21">
        <f t="shared" si="37"/>
        <v>-0.54757430608518709</v>
      </c>
      <c r="G199" s="21">
        <f t="shared" si="38"/>
        <v>9.0413124060349501E-2</v>
      </c>
      <c r="H199" s="21">
        <f t="shared" si="39"/>
        <v>0.3589621241166121</v>
      </c>
      <c r="I199" s="21">
        <f t="shared" si="40"/>
        <v>-1.2513071746068087</v>
      </c>
      <c r="J199" s="21">
        <f t="shared" si="41"/>
        <v>9.0413124060349501E-2</v>
      </c>
      <c r="K199" s="67" cm="1">
        <f t="array" ref="K199">-Lininterp(Powering!$A$55:$A$71,Powering!$Y$55:$Y$71,E199/0.514)</f>
        <v>-120.99044927698583</v>
      </c>
      <c r="L199" s="67" cm="1">
        <f t="array" ref="L199">OarForces(SUM(Input!$B$37:$B$39),$C$10,$C$34,$C$35,$C$33,E199,F199,G199, $L$136)</f>
        <v>1670.1119611968843</v>
      </c>
      <c r="M199" s="67"/>
      <c r="N199" s="4" cm="1">
        <f t="array" ref="N199">OarForces(SUM(Input!$B$37:$B$39),$C$10,$C$34,$C$35,$C$33,E199,F199,G199, $N$136)</f>
        <v>7515.5038253859793</v>
      </c>
      <c r="O199" s="67" cm="1">
        <f t="array" ref="O199">$C$11*IF($C$24="Y",RudderForces($C$15,$C$16,$C$13,$C$14,$C$12,$C$23,E199,F199,G199,$O$40),0)</f>
        <v>-831.58442969647024</v>
      </c>
      <c r="P199" s="67" cm="1">
        <f t="array" ref="P199">$C$11*IF($C$24="Y",RudderForces($C$15,$C$16,$C$13,$C$14,$C$12,$C$23,E199,F199,G199,$P$40),0)</f>
        <v>-291.29071368696901</v>
      </c>
      <c r="Q199" s="67" cm="1">
        <f t="array" ref="Q199">$C$11*IF($C$24="Y",RudderForces($C$15,$C$16,$C$13,$C$14,$C$12,$C$23,E199,F199,G199,$Q$40),0)</f>
        <v>2323.1222297136942</v>
      </c>
      <c r="R199" cm="1">
        <f t="array" ref="R199">ManAcceleration($C$3,$C$4,$C$5,$C$6,$C$7,$C$8,K199,E199,F199,G199,L199,0,N199,O199,P199,Q199,$R$136)</f>
        <v>2.6363355100347222E-4</v>
      </c>
      <c r="S199" cm="1">
        <f t="array" ref="S199">ManAcceleration($C$3,$C$4,$C$5,$C$6,$C$7,$C$8,K199,E199,F199,G199,L199,0,N199,O199,P199,Q199,$S$136)</f>
        <v>1.700188685699557E-4</v>
      </c>
      <c r="T199" cm="1">
        <f t="array" ref="T199">ManAcceleration($C$3,$C$4,$C$5,$C$6,$C$7,$C$8,K199,E199,F199,G199,L199,0,N199,O199,P199,Q199,$T$136)</f>
        <v>-8.6465572089129568E-6</v>
      </c>
    </row>
    <row r="200" spans="1:20" x14ac:dyDescent="0.2">
      <c r="A200">
        <f t="shared" si="32"/>
        <v>63</v>
      </c>
      <c r="B200" s="21">
        <f t="shared" si="33"/>
        <v>8.1006919236598609</v>
      </c>
      <c r="C200" s="21">
        <f t="shared" si="34"/>
        <v>14.029981577978647</v>
      </c>
      <c r="D200" s="21">
        <f t="shared" si="35"/>
        <v>5.6067203946458619</v>
      </c>
      <c r="E200" s="21">
        <f t="shared" si="36"/>
        <v>1.1812741462426182</v>
      </c>
      <c r="F200" s="21">
        <f t="shared" si="37"/>
        <v>-0.54740428721661716</v>
      </c>
      <c r="G200" s="21">
        <f t="shared" si="38"/>
        <v>9.0404477503140582E-2</v>
      </c>
      <c r="H200" s="21">
        <f t="shared" si="39"/>
        <v>0.47078427854678057</v>
      </c>
      <c r="I200" s="21">
        <f t="shared" si="40"/>
        <v>-1.2138460467940513</v>
      </c>
      <c r="J200" s="21">
        <f t="shared" si="41"/>
        <v>9.0404477503140582E-2</v>
      </c>
      <c r="K200" s="67" cm="1">
        <f t="array" ref="K200">-Lininterp(Powering!$A$55:$A$71,Powering!$Y$55:$Y$71,E200/0.514)</f>
        <v>-121.04209371392248</v>
      </c>
      <c r="L200" s="67" cm="1">
        <f t="array" ref="L200">OarForces(SUM(Input!$B$37:$B$39),$C$10,$C$34,$C$35,$C$33,E200,F200,G200, $L$136)</f>
        <v>1670.06299095602</v>
      </c>
      <c r="M200" s="67"/>
      <c r="N200" s="4" cm="1">
        <f t="array" ref="N200">OarForces(SUM(Input!$B$37:$B$39),$C$10,$C$34,$C$35,$C$33,E200,F200,G200, $N$136)</f>
        <v>7515.2834593020898</v>
      </c>
      <c r="O200" s="67" cm="1">
        <f t="array" ref="O200">$C$11*IF($C$24="Y",RudderForces($C$15,$C$16,$C$13,$C$14,$C$12,$C$23,E200,F200,G200,$O$40),0)</f>
        <v>-831.9041975345956</v>
      </c>
      <c r="P200" s="67" cm="1">
        <f t="array" ref="P200">$C$11*IF($C$24="Y",RudderForces($C$15,$C$16,$C$13,$C$14,$C$12,$C$23,E200,F200,G200,$P$40),0)</f>
        <v>-291.40452150840372</v>
      </c>
      <c r="Q200" s="67" cm="1">
        <f t="array" ref="Q200">$C$11*IF($C$24="Y",RudderForces($C$15,$C$16,$C$13,$C$14,$C$12,$C$23,E200,F200,G200,$Q$40),0)</f>
        <v>2324.0298778722768</v>
      </c>
      <c r="R200" cm="1">
        <f t="array" ref="R200">ManAcceleration($C$3,$C$4,$C$5,$C$6,$C$7,$C$8,K200,E200,F200,G200,L200,0,N200,O200,P200,Q200,$R$136)</f>
        <v>2.5509670480648234E-4</v>
      </c>
      <c r="S200" cm="1">
        <f t="array" ref="S200">ManAcceleration($C$3,$C$4,$C$5,$C$6,$C$7,$C$8,K200,E200,F200,G200,L200,0,N200,O200,P200,Q200,$S$136)</f>
        <v>1.5480990015729132E-4</v>
      </c>
      <c r="T200" cm="1">
        <f t="array" ref="T200">ManAcceleration($C$3,$C$4,$C$5,$C$6,$C$7,$C$8,K200,E200,F200,G200,L200,0,N200,O200,P200,Q200,$T$136)</f>
        <v>-7.8728785054904642E-6</v>
      </c>
    </row>
    <row r="201" spans="1:20" x14ac:dyDescent="0.2">
      <c r="A201">
        <f t="shared" si="32"/>
        <v>64</v>
      </c>
      <c r="B201" s="21">
        <f t="shared" si="33"/>
        <v>8.6794371976520992</v>
      </c>
      <c r="C201" s="21">
        <f t="shared" si="34"/>
        <v>12.863556591022906</v>
      </c>
      <c r="D201" s="21">
        <f t="shared" si="35"/>
        <v>5.6971169992704969</v>
      </c>
      <c r="E201" s="21">
        <f t="shared" si="36"/>
        <v>1.1815292429474247</v>
      </c>
      <c r="F201" s="21">
        <f t="shared" si="37"/>
        <v>-0.5472494773164599</v>
      </c>
      <c r="G201" s="21">
        <f t="shared" si="38"/>
        <v>9.0396604624635085E-2</v>
      </c>
      <c r="H201" s="21">
        <f t="shared" si="39"/>
        <v>0.57874527399223852</v>
      </c>
      <c r="I201" s="21">
        <f t="shared" si="40"/>
        <v>-1.1664249869557415</v>
      </c>
      <c r="J201" s="21">
        <f t="shared" si="41"/>
        <v>9.0396604624635085E-2</v>
      </c>
      <c r="K201" s="67" cm="1">
        <f t="array" ref="K201">-Lininterp(Powering!$A$55:$A$71,Powering!$Y$55:$Y$71,E201/0.514)</f>
        <v>-121.09206582723644</v>
      </c>
      <c r="L201" s="67" cm="1">
        <f t="array" ref="L201">OarForces(SUM(Input!$B$37:$B$39),$C$10,$C$34,$C$35,$C$33,E201,F201,G201, $L$136)</f>
        <v>1670.015122327892</v>
      </c>
      <c r="M201" s="67"/>
      <c r="N201" s="4" cm="1">
        <f t="array" ref="N201">OarForces(SUM(Input!$B$37:$B$39),$C$10,$C$34,$C$35,$C$33,E201,F201,G201, $N$136)</f>
        <v>7515.0680504755137</v>
      </c>
      <c r="O201" s="67" cm="1">
        <f t="array" ref="O201">$C$11*IF($C$24="Y",RudderForces($C$15,$C$16,$C$13,$C$14,$C$12,$C$23,E201,F201,G201,$O$40),0)</f>
        <v>-832.21404620876956</v>
      </c>
      <c r="P201" s="67" cm="1">
        <f t="array" ref="P201">$C$11*IF($C$24="Y",RudderForces($C$15,$C$16,$C$13,$C$14,$C$12,$C$23,E201,F201,G201,$P$40),0)</f>
        <v>-291.51467293865994</v>
      </c>
      <c r="Q201" s="67" cm="1">
        <f t="array" ref="Q201">$C$11*IF($C$24="Y",RudderForces($C$15,$C$16,$C$13,$C$14,$C$12,$C$23,E201,F201,G201,$Q$40),0)</f>
        <v>2324.9083653222337</v>
      </c>
      <c r="R201" cm="1">
        <f t="array" ref="R201">ManAcceleration($C$3,$C$4,$C$5,$C$6,$C$7,$C$8,K201,E201,F201,G201,L201,0,N201,O201,P201,Q201,$R$136)</f>
        <v>2.4569296667178601E-4</v>
      </c>
      <c r="S201" cm="1">
        <f t="array" ref="S201">ManAcceleration($C$3,$C$4,$C$5,$C$6,$C$7,$C$8,K201,E201,F201,G201,L201,0,N201,O201,P201,Q201,$S$136)</f>
        <v>1.4073849955055593E-4</v>
      </c>
      <c r="T201" cm="1">
        <f t="array" ref="T201">ManAcceleration($C$3,$C$4,$C$5,$C$6,$C$7,$C$8,K201,E201,F201,G201,L201,0,N201,O201,P201,Q201,$T$136)</f>
        <v>-7.157105883816975E-6</v>
      </c>
    </row>
    <row r="202" spans="1:20" x14ac:dyDescent="0.2">
      <c r="A202">
        <f t="shared" si="32"/>
        <v>65</v>
      </c>
      <c r="B202" s="21">
        <f t="shared" si="33"/>
        <v>9.361399307289398</v>
      </c>
      <c r="C202" s="21">
        <f t="shared" si="34"/>
        <v>11.75412085504554</v>
      </c>
      <c r="D202" s="21">
        <f t="shared" si="35"/>
        <v>5.7875064467892479</v>
      </c>
      <c r="E202" s="21">
        <f t="shared" si="36"/>
        <v>1.1817749359140965</v>
      </c>
      <c r="F202" s="21">
        <f t="shared" si="37"/>
        <v>-0.54710873881690936</v>
      </c>
      <c r="G202" s="21">
        <f t="shared" si="38"/>
        <v>9.0389447518751262E-2</v>
      </c>
      <c r="H202" s="21">
        <f t="shared" si="39"/>
        <v>0.68196210963729897</v>
      </c>
      <c r="I202" s="21">
        <f t="shared" si="40"/>
        <v>-1.1094357359773663</v>
      </c>
      <c r="J202" s="21">
        <f t="shared" si="41"/>
        <v>9.0389447518751262E-2</v>
      </c>
      <c r="K202" s="67" cm="1">
        <f t="array" ref="K202">-Lininterp(Powering!$A$55:$A$71,Powering!$Y$55:$Y$71,E202/0.514)</f>
        <v>-121.1401957973209</v>
      </c>
      <c r="L202" s="67" cm="1">
        <f t="array" ref="L202">OarForces(SUM(Input!$B$37:$B$39),$C$10,$C$34,$C$35,$C$33,E202,F202,G202, $L$136)</f>
        <v>1669.9686010024689</v>
      </c>
      <c r="M202" s="67"/>
      <c r="N202" s="4" cm="1">
        <f t="array" ref="N202">OarForces(SUM(Input!$B$37:$B$39),$C$10,$C$34,$C$35,$C$33,E202,F202,G202, $N$136)</f>
        <v>7514.8587045111099</v>
      </c>
      <c r="O202" s="67" cm="1">
        <f t="array" ref="O202">$C$11*IF($C$24="Y",RudderForces($C$15,$C$16,$C$13,$C$14,$C$12,$C$23,E202,F202,G202,$O$40),0)</f>
        <v>-832.51285241465575</v>
      </c>
      <c r="P202" s="67" cm="1">
        <f t="array" ref="P202">$C$11*IF($C$24="Y",RudderForces($C$15,$C$16,$C$13,$C$14,$C$12,$C$23,E202,F202,G202,$P$40),0)</f>
        <v>-291.62079018082648</v>
      </c>
      <c r="Q202" s="67" cm="1">
        <f t="array" ref="Q202">$C$11*IF($C$24="Y",RudderForces($C$15,$C$16,$C$13,$C$14,$C$12,$C$23,E202,F202,G202,$Q$40),0)</f>
        <v>2325.7546790310116</v>
      </c>
      <c r="R202" cm="1">
        <f t="array" ref="R202">ManAcceleration($C$3,$C$4,$C$5,$C$6,$C$7,$C$8,K202,E202,F202,G202,L202,0,N202,O202,P202,Q202,$R$136)</f>
        <v>2.3565025912603037E-4</v>
      </c>
      <c r="S202" cm="1">
        <f t="array" ref="S202">ManAcceleration($C$3,$C$4,$C$5,$C$6,$C$7,$C$8,K202,E202,F202,G202,L202,0,N202,O202,P202,Q202,$S$136)</f>
        <v>1.2774169655022379E-4</v>
      </c>
      <c r="T202" cm="1">
        <f t="array" ref="T202">ManAcceleration($C$3,$C$4,$C$5,$C$6,$C$7,$C$8,K202,E202,F202,G202,L202,0,N202,O202,P202,Q202,$T$136)</f>
        <v>-6.4960049772174121E-6</v>
      </c>
    </row>
    <row r="203" spans="1:20" x14ac:dyDescent="0.2">
      <c r="A203">
        <f t="shared" ref="A203:A209" si="42">A202+1</f>
        <v>66</v>
      </c>
      <c r="B203" s="21">
        <f t="shared" ref="B203:B209" si="43">B202+H203</f>
        <v>10.140990243550661</v>
      </c>
      <c r="C203" s="21">
        <f t="shared" ref="C203:C209" si="44">C202+I203</f>
        <v>10.710772778354144</v>
      </c>
      <c r="D203" s="21">
        <f t="shared" ref="D203:D209" si="45">D202+J203</f>
        <v>5.8778893983030223</v>
      </c>
      <c r="E203" s="21">
        <f t="shared" ref="E203:E209" si="46">E202+R202/$B$37</f>
        <v>1.1820105861732226</v>
      </c>
      <c r="F203" s="21">
        <f t="shared" ref="F203:F209" si="47">F202+S202/$B$37</f>
        <v>-0.54698099712035908</v>
      </c>
      <c r="G203" s="21">
        <f t="shared" ref="G203:G209" si="48">G202+T202/$B$37</f>
        <v>9.038295151377404E-2</v>
      </c>
      <c r="H203" s="21">
        <f t="shared" ref="H203:H209" si="49">E203*COS(D202)-F203*SIN(D202)</f>
        <v>0.77959093626126341</v>
      </c>
      <c r="I203" s="21">
        <f t="shared" ref="I203:I209" si="50">F203*COS(D202)+E203*SIN(D202)</f>
        <v>-1.0433480766913956</v>
      </c>
      <c r="J203" s="21">
        <f t="shared" ref="J203:J209" si="51">G203</f>
        <v>9.038295151377404E-2</v>
      </c>
      <c r="K203" s="67" cm="1">
        <f t="array" ref="K203">-Lininterp(Powering!$A$55:$A$71,Powering!$Y$55:$Y$71,E203/0.514)</f>
        <v>-121.18635845340248</v>
      </c>
      <c r="L203" s="67" cm="1">
        <f t="array" ref="L203">OarForces(SUM(Input!$B$37:$B$39),$C$10,$C$34,$C$35,$C$33,E203,F203,G203, $L$136)</f>
        <v>1669.9236198308461</v>
      </c>
      <c r="M203" s="67"/>
      <c r="N203" s="4" cm="1">
        <f t="array" ref="N203">OarForces(SUM(Input!$B$37:$B$39),$C$10,$C$34,$C$35,$C$33,E203,F203,G203, $N$136)</f>
        <v>7514.6562892388074</v>
      </c>
      <c r="O203" s="67" cm="1">
        <f t="array" ref="O203">$C$11*IF($C$24="Y",RudderForces($C$15,$C$16,$C$13,$C$14,$C$12,$C$23,E203,F203,G203,$O$40),0)</f>
        <v>-832.79977714682127</v>
      </c>
      <c r="P203" s="67" cm="1">
        <f t="array" ref="P203">$C$11*IF($C$24="Y",RudderForces($C$15,$C$16,$C$13,$C$14,$C$12,$C$23,E203,F203,G203,$P$40),0)</f>
        <v>-291.72259389388279</v>
      </c>
      <c r="Q203" s="67" cm="1">
        <f t="array" ref="Q203">$C$11*IF($C$24="Y",RudderForces($C$15,$C$16,$C$13,$C$14,$C$12,$C$23,E203,F203,G203,$Q$40),0)</f>
        <v>2326.5665911784158</v>
      </c>
      <c r="R203" cm="1">
        <f t="array" ref="R203">ManAcceleration($C$3,$C$4,$C$5,$C$6,$C$7,$C$8,K203,E203,F203,G203,L203,0,N203,O203,P203,Q203,$R$136)</f>
        <v>2.2516440625706643E-4</v>
      </c>
      <c r="S203" cm="1">
        <f t="array" ref="S203">ManAcceleration($C$3,$C$4,$C$5,$C$6,$C$7,$C$8,K203,E203,F203,G203,L203,0,N203,O203,P203,Q203,$S$136)</f>
        <v>1.1575739530278837E-4</v>
      </c>
      <c r="T203" cm="1">
        <f t="array" ref="T203">ManAcceleration($C$3,$C$4,$C$5,$C$6,$C$7,$C$8,K203,E203,F203,G203,L203,0,N203,O203,P203,Q203,$T$136)</f>
        <v>-5.8863986140846198E-6</v>
      </c>
    </row>
    <row r="204" spans="1:20" x14ac:dyDescent="0.2">
      <c r="A204">
        <f t="shared" si="42"/>
        <v>67</v>
      </c>
      <c r="B204" s="21">
        <f t="shared" si="43"/>
        <v>11.011824181518529</v>
      </c>
      <c r="C204" s="21">
        <f t="shared" si="44"/>
        <v>9.7420668307874205</v>
      </c>
      <c r="D204" s="21">
        <f t="shared" si="45"/>
        <v>5.9682664634181819</v>
      </c>
      <c r="E204" s="21">
        <f t="shared" si="46"/>
        <v>1.1822357505794796</v>
      </c>
      <c r="F204" s="21">
        <f t="shared" si="47"/>
        <v>-0.5468652397250563</v>
      </c>
      <c r="G204" s="21">
        <f t="shared" si="48"/>
        <v>9.0377065115159957E-2</v>
      </c>
      <c r="H204" s="21">
        <f t="shared" si="49"/>
        <v>0.8708339379678679</v>
      </c>
      <c r="I204" s="21">
        <f t="shared" si="50"/>
        <v>-0.96870594756672379</v>
      </c>
      <c r="J204" s="21">
        <f t="shared" si="51"/>
        <v>9.0377065115159957E-2</v>
      </c>
      <c r="K204" s="67" cm="1">
        <f t="array" ref="K204">-Lininterp(Powering!$A$55:$A$71,Powering!$Y$55:$Y$71,E204/0.514)</f>
        <v>-121.23046698562473</v>
      </c>
      <c r="L204" s="67" cm="1">
        <f t="array" ref="L204">OarForces(SUM(Input!$B$37:$B$39),$C$10,$C$34,$C$35,$C$33,E204,F204,G204, $L$136)</f>
        <v>1669.8803258759876</v>
      </c>
      <c r="M204" s="67"/>
      <c r="N204" s="4" cm="1">
        <f t="array" ref="N204">OarForces(SUM(Input!$B$37:$B$39),$C$10,$C$34,$C$35,$C$33,E204,F204,G204, $N$136)</f>
        <v>7514.4614664419441</v>
      </c>
      <c r="O204" s="67" cm="1">
        <f t="array" ref="O204">$C$11*IF($C$24="Y",RudderForces($C$15,$C$16,$C$13,$C$14,$C$12,$C$23,E204,F204,G204,$O$40),0)</f>
        <v>-833.07422614374116</v>
      </c>
      <c r="P204" s="67" cm="1">
        <f t="array" ref="P204">$C$11*IF($C$24="Y",RudderForces($C$15,$C$16,$C$13,$C$14,$C$12,$C$23,E204,F204,G204,$P$40),0)</f>
        <v>-291.81988939952782</v>
      </c>
      <c r="Q204" s="67" cm="1">
        <f t="array" ref="Q204">$C$11*IF($C$24="Y",RudderForces($C$15,$C$16,$C$13,$C$14,$C$12,$C$23,E204,F204,G204,$Q$40),0)</f>
        <v>2327.3425491523394</v>
      </c>
      <c r="R204" cm="1">
        <f t="array" ref="R204">ManAcceleration($C$3,$C$4,$C$5,$C$6,$C$7,$C$8,K204,E204,F204,G204,L204,0,N204,O204,P204,Q204,$R$136)</f>
        <v>2.1440271250909292E-4</v>
      </c>
      <c r="S204" cm="1">
        <f t="array" ref="S204">ManAcceleration($C$3,$C$4,$C$5,$C$6,$C$7,$C$8,K204,E204,F204,G204,L204,0,N204,O204,P204,Q204,$S$136)</f>
        <v>1.0472477751846257E-4</v>
      </c>
      <c r="T204" cm="1">
        <f t="array" ref="T204">ManAcceleration($C$3,$C$4,$C$5,$C$6,$C$7,$C$8,K204,E204,F204,G204,L204,0,N204,O204,P204,Q204,$T$136)</f>
        <v>-5.3251836204936056E-6</v>
      </c>
    </row>
    <row r="205" spans="1:20" x14ac:dyDescent="0.2">
      <c r="A205">
        <f t="shared" si="42"/>
        <v>68</v>
      </c>
      <c r="B205" s="21">
        <f t="shared" si="43"/>
        <v>11.966770009717944</v>
      </c>
      <c r="C205" s="21">
        <f t="shared" si="44"/>
        <v>8.8559438760398983</v>
      </c>
      <c r="D205" s="21">
        <f t="shared" si="45"/>
        <v>6.0586382033497213</v>
      </c>
      <c r="E205" s="21">
        <f t="shared" si="46"/>
        <v>1.1824501532919887</v>
      </c>
      <c r="F205" s="21">
        <f t="shared" si="47"/>
        <v>-0.54676051494753786</v>
      </c>
      <c r="G205" s="21">
        <f t="shared" si="48"/>
        <v>9.0371739931539463E-2</v>
      </c>
      <c r="H205" s="21">
        <f t="shared" si="49"/>
        <v>0.95494582819941476</v>
      </c>
      <c r="I205" s="21">
        <f t="shared" si="50"/>
        <v>-0.88612295474752145</v>
      </c>
      <c r="J205" s="21">
        <f t="shared" si="51"/>
        <v>9.0371739931539463E-2</v>
      </c>
      <c r="K205" s="67" cm="1">
        <f t="array" ref="K205">-Lininterp(Powering!$A$55:$A$71,Powering!$Y$55:$Y$71,E205/0.514)</f>
        <v>-121.27246735819895</v>
      </c>
      <c r="L205" s="67" cm="1">
        <f t="array" ref="L205">OarForces(SUM(Input!$B$37:$B$39),$C$10,$C$34,$C$35,$C$33,E205,F205,G205, $L$136)</f>
        <v>1669.8388267000864</v>
      </c>
      <c r="M205" s="67"/>
      <c r="N205" s="4" cm="1">
        <f t="array" ref="N205">OarForces(SUM(Input!$B$37:$B$39),$C$10,$C$34,$C$35,$C$33,E205,F205,G205, $N$136)</f>
        <v>7514.2747201503889</v>
      </c>
      <c r="O205" s="67" cm="1">
        <f t="array" ref="O205">$C$11*IF($C$24="Y",RudderForces($C$15,$C$16,$C$13,$C$14,$C$12,$C$23,E205,F205,G205,$O$40),0)</f>
        <v>-833.33581470738363</v>
      </c>
      <c r="P205" s="67" cm="1">
        <f t="array" ref="P205">$C$11*IF($C$24="Y",RudderForces($C$15,$C$16,$C$13,$C$14,$C$12,$C$23,E205,F205,G205,$P$40),0)</f>
        <v>-291.9125544195017</v>
      </c>
      <c r="Q205" s="67" cm="1">
        <f t="array" ref="Q205">$C$11*IF($C$24="Y",RudderForces($C$15,$C$16,$C$13,$C$14,$C$12,$C$23,E205,F205,G205,$Q$40),0)</f>
        <v>2328.0815777505854</v>
      </c>
      <c r="R205" cm="1">
        <f t="array" ref="R205">ManAcceleration($C$3,$C$4,$C$5,$C$6,$C$7,$C$8,K205,E205,F205,G205,L205,0,N205,O205,P205,Q205,$R$136)</f>
        <v>2.0350720057403263E-4</v>
      </c>
      <c r="S205" cm="1">
        <f t="array" ref="S205">ManAcceleration($C$3,$C$4,$C$5,$C$6,$C$7,$C$8,K205,E205,F205,G205,L205,0,N205,O205,P205,Q205,$S$136)</f>
        <v>9.4584628256794828E-5</v>
      </c>
      <c r="T205" cm="1">
        <f t="array" ref="T205">ManAcceleration($C$3,$C$4,$C$5,$C$6,$C$7,$C$8,K205,E205,F205,G205,L205,0,N205,O205,P205,Q205,$T$136)</f>
        <v>-4.8093445615946536E-6</v>
      </c>
    </row>
    <row r="206" spans="1:20" x14ac:dyDescent="0.2">
      <c r="A206">
        <f t="shared" si="42"/>
        <v>69</v>
      </c>
      <c r="B206" s="21">
        <f t="shared" si="43"/>
        <v>12.998009918352482</v>
      </c>
      <c r="C206" s="21">
        <f t="shared" si="44"/>
        <v>8.0596665556999714</v>
      </c>
      <c r="D206" s="21">
        <f t="shared" si="45"/>
        <v>6.1490051339366989</v>
      </c>
      <c r="E206" s="21">
        <f t="shared" si="46"/>
        <v>1.1826536604925626</v>
      </c>
      <c r="F206" s="21">
        <f t="shared" si="47"/>
        <v>-0.54666593031928101</v>
      </c>
      <c r="G206" s="21">
        <f t="shared" si="48"/>
        <v>9.0366930586977867E-2</v>
      </c>
      <c r="H206" s="21">
        <f t="shared" si="49"/>
        <v>1.0312399086345372</v>
      </c>
      <c r="I206" s="21">
        <f t="shared" si="50"/>
        <v>-0.79627732033992671</v>
      </c>
      <c r="J206" s="21">
        <f t="shared" si="51"/>
        <v>9.0366930586977867E-2</v>
      </c>
      <c r="K206" s="67" cm="1">
        <f t="array" ref="K206">-Lininterp(Powering!$A$55:$A$71,Powering!$Y$55:$Y$71,E206/0.514)</f>
        <v>-121.31233335684055</v>
      </c>
      <c r="L206" s="67" cm="1">
        <f t="array" ref="L206">OarForces(SUM(Input!$B$37:$B$39),$C$10,$C$34,$C$35,$C$33,E206,F206,G206, $L$136)</f>
        <v>1669.799195959818</v>
      </c>
      <c r="M206" s="67"/>
      <c r="N206" s="4" cm="1">
        <f t="array" ref="N206">OarForces(SUM(Input!$B$37:$B$39),$C$10,$C$34,$C$35,$C$33,E206,F206,G206, $N$136)</f>
        <v>7514.0963818191813</v>
      </c>
      <c r="O206" s="67" cm="1">
        <f t="array" ref="O206">$C$11*IF($C$24="Y",RudderForces($C$15,$C$16,$C$13,$C$14,$C$12,$C$23,E206,F206,G206,$O$40),0)</f>
        <v>-833.58433648089317</v>
      </c>
      <c r="P206" s="67" cm="1">
        <f t="array" ref="P206">$C$11*IF($C$24="Y",RudderForces($C$15,$C$16,$C$13,$C$14,$C$12,$C$23,E206,F206,G206,$P$40),0)</f>
        <v>-292.00052819745054</v>
      </c>
      <c r="Q206" s="67" cm="1">
        <f t="array" ref="Q206">$C$11*IF($C$24="Y",RudderForces($C$15,$C$16,$C$13,$C$14,$C$12,$C$23,E206,F206,G206,$Q$40),0)</f>
        <v>2328.7831924247985</v>
      </c>
      <c r="R206" cm="1">
        <f t="array" ref="R206">ManAcceleration($C$3,$C$4,$C$5,$C$6,$C$7,$C$8,K206,E206,F206,G206,L206,0,N206,O206,P206,Q206,$R$136)</f>
        <v>1.9259753666458736E-4</v>
      </c>
      <c r="S206" cm="1">
        <f t="array" ref="S206">ManAcceleration($C$3,$C$4,$C$5,$C$6,$C$7,$C$8,K206,E206,F206,G206,L206,0,N206,O206,P206,Q206,$S$136)</f>
        <v>8.5279594169878508E-5</v>
      </c>
      <c r="T206" cm="1">
        <f t="array" ref="T206">ManAcceleration($C$3,$C$4,$C$5,$C$6,$C$7,$C$8,K206,E206,F206,G206,L206,0,N206,O206,P206,Q206,$T$136)</f>
        <v>-4.3359647470941085E-6</v>
      </c>
    </row>
    <row r="207" spans="1:20" x14ac:dyDescent="0.2">
      <c r="A207">
        <f t="shared" si="42"/>
        <v>70</v>
      </c>
      <c r="B207" s="21">
        <f t="shared" si="43"/>
        <v>14.097103561486797</v>
      </c>
      <c r="C207" s="21">
        <f t="shared" si="44"/>
        <v>7.3597602466109855</v>
      </c>
      <c r="D207" s="21">
        <f t="shared" si="45"/>
        <v>6.2393677285589293</v>
      </c>
      <c r="E207" s="21">
        <f t="shared" si="46"/>
        <v>1.1828462580292272</v>
      </c>
      <c r="F207" s="21">
        <f t="shared" si="47"/>
        <v>-0.54658065072511108</v>
      </c>
      <c r="G207" s="21">
        <f t="shared" si="48"/>
        <v>9.0362594622230771E-2</v>
      </c>
      <c r="H207" s="21">
        <f t="shared" si="49"/>
        <v>1.0990936431343161</v>
      </c>
      <c r="I207" s="21">
        <f t="shared" si="50"/>
        <v>-0.69990630908898599</v>
      </c>
      <c r="J207" s="21">
        <f t="shared" si="51"/>
        <v>9.0362594622230771E-2</v>
      </c>
      <c r="K207" s="67" cm="1">
        <f t="array" ref="K207">-Lininterp(Powering!$A$55:$A$71,Powering!$Y$55:$Y$71,E207/0.514)</f>
        <v>-121.35006220925163</v>
      </c>
      <c r="L207" s="67" cm="1">
        <f t="array" ref="L207">OarForces(SUM(Input!$B$37:$B$39),$C$10,$C$34,$C$35,$C$33,E207,F207,G207, $L$136)</f>
        <v>1669.7614783749316</v>
      </c>
      <c r="M207" s="67"/>
      <c r="N207" s="4" cm="1">
        <f t="array" ref="N207">OarForces(SUM(Input!$B$37:$B$39),$C$10,$C$34,$C$35,$C$33,E207,F207,G207, $N$136)</f>
        <v>7513.9266526871925</v>
      </c>
      <c r="O207" s="67" cm="1">
        <f t="array" ref="O207">$C$11*IF($C$24="Y",RudderForces($C$15,$C$16,$C$13,$C$14,$C$12,$C$23,E207,F207,G207,$O$40),0)</f>
        <v>-833.81973580359227</v>
      </c>
      <c r="P207" s="67" cm="1">
        <f t="array" ref="P207">$C$11*IF($C$24="Y",RudderForces($C$15,$C$16,$C$13,$C$14,$C$12,$C$23,E207,F207,G207,$P$40),0)</f>
        <v>-292.08380187189215</v>
      </c>
      <c r="Q207" s="67" cm="1">
        <f t="array" ref="Q207">$C$11*IF($C$24="Y",RudderForces($C$15,$C$16,$C$13,$C$14,$C$12,$C$23,E207,F207,G207,$Q$40),0)</f>
        <v>2329.4473225022621</v>
      </c>
      <c r="R207" cm="1">
        <f t="array" ref="R207">ManAcceleration($C$3,$C$4,$C$5,$C$6,$C$7,$C$8,K207,E207,F207,G207,L207,0,N207,O207,P207,Q207,$R$136)</f>
        <v>1.8177366938245819E-4</v>
      </c>
      <c r="S207" cm="1">
        <f t="array" ref="S207">ManAcceleration($C$3,$C$4,$C$5,$C$6,$C$7,$C$8,K207,E207,F207,G207,L207,0,N207,O207,P207,Q207,$S$136)</f>
        <v>7.6754383037628041E-5</v>
      </c>
      <c r="T207" cm="1">
        <f t="array" ref="T207">ManAcceleration($C$3,$C$4,$C$5,$C$6,$C$7,$C$8,K207,E207,F207,G207,L207,0,N207,O207,P207,Q207,$T$136)</f>
        <v>-3.902234803914803E-6</v>
      </c>
    </row>
    <row r="208" spans="1:20" x14ac:dyDescent="0.2">
      <c r="A208">
        <f t="shared" si="42"/>
        <v>71</v>
      </c>
      <c r="B208" s="21">
        <f t="shared" si="43"/>
        <v>15.255057264300635</v>
      </c>
      <c r="C208" s="21">
        <f t="shared" si="44"/>
        <v>6.7619600670848534</v>
      </c>
      <c r="D208" s="21">
        <f t="shared" si="45"/>
        <v>6.329726420946356</v>
      </c>
      <c r="E208" s="21">
        <f t="shared" si="46"/>
        <v>1.1830280316986097</v>
      </c>
      <c r="F208" s="21">
        <f t="shared" si="47"/>
        <v>-0.54650389634207341</v>
      </c>
      <c r="G208" s="21">
        <f t="shared" si="48"/>
        <v>9.0358692387426859E-2</v>
      </c>
      <c r="H208" s="21">
        <f t="shared" si="49"/>
        <v>1.1579537028138382</v>
      </c>
      <c r="I208" s="21">
        <f t="shared" si="50"/>
        <v>-0.59780017952613207</v>
      </c>
      <c r="J208" s="21">
        <f t="shared" si="51"/>
        <v>9.0358692387426859E-2</v>
      </c>
      <c r="K208" s="67" cm="1">
        <f t="array" ref="K208">-Lininterp(Powering!$A$55:$A$71,Powering!$Y$55:$Y$71,E208/0.514)</f>
        <v>-121.38567072254381</v>
      </c>
      <c r="L208" s="67" cm="1">
        <f t="array" ref="L208">OarForces(SUM(Input!$B$37:$B$39),$C$10,$C$34,$C$35,$C$33,E208,F208,G208, $L$136)</f>
        <v>1669.7256941302076</v>
      </c>
      <c r="M208" s="67"/>
      <c r="N208" s="4" cm="1">
        <f t="array" ref="N208">OarForces(SUM(Input!$B$37:$B$39),$C$10,$C$34,$C$35,$C$33,E208,F208,G208, $N$136)</f>
        <v>7513.765623585934</v>
      </c>
      <c r="O208" s="67" cm="1">
        <f t="array" ref="O208">$C$11*IF($C$24="Y",RudderForces($C$15,$C$16,$C$13,$C$14,$C$12,$C$23,E208,F208,G208,$O$40),0)</f>
        <v>-834.04208329517905</v>
      </c>
      <c r="P208" s="67" cm="1">
        <f t="array" ref="P208">$C$11*IF($C$24="Y",RudderForces($C$15,$C$16,$C$13,$C$14,$C$12,$C$23,E208,F208,G208,$P$40),0)</f>
        <v>-292.16240997829351</v>
      </c>
      <c r="Q208" s="67" cm="1">
        <f t="array" ref="Q208">$C$11*IF($C$24="Y",RudderForces($C$15,$C$16,$C$13,$C$14,$C$12,$C$23,E208,F208,G208,$Q$40),0)</f>
        <v>2330.0742434126655</v>
      </c>
      <c r="R208" cm="1">
        <f t="array" ref="R208">ManAcceleration($C$3,$C$4,$C$5,$C$6,$C$7,$C$8,K208,E208,F208,G208,L208,0,N208,O208,P208,Q208,$R$136)</f>
        <v>1.7111820647158432E-4</v>
      </c>
      <c r="S208" cm="1">
        <f t="array" ref="S208">ManAcceleration($C$3,$C$4,$C$5,$C$6,$C$7,$C$8,K208,E208,F208,G208,L208,0,N208,O208,P208,Q208,$S$136)</f>
        <v>6.8955912480577961E-5</v>
      </c>
      <c r="T208" cm="1">
        <f t="array" ref="T208">ManAcceleration($C$3,$C$4,$C$5,$C$6,$C$7,$C$8,K208,E208,F208,G208,L208,0,N208,O208,P208,Q208,$T$136)</f>
        <v>-3.5054590970306625E-6</v>
      </c>
    </row>
    <row r="209" spans="1:20" x14ac:dyDescent="0.2">
      <c r="A209">
        <f t="shared" si="42"/>
        <v>72</v>
      </c>
      <c r="B209" s="21">
        <f t="shared" si="43"/>
        <v>16.462397706852784</v>
      </c>
      <c r="C209" s="21">
        <f t="shared" si="44"/>
        <v>6.2711643578163363</v>
      </c>
      <c r="D209" s="21">
        <f t="shared" si="45"/>
        <v>6.4200816078746854</v>
      </c>
      <c r="E209" s="21">
        <f t="shared" si="46"/>
        <v>1.1831991499050813</v>
      </c>
      <c r="F209" s="21">
        <f t="shared" si="47"/>
        <v>-0.54643494042959284</v>
      </c>
      <c r="G209" s="21">
        <f t="shared" si="48"/>
        <v>9.0355186928329834E-2</v>
      </c>
      <c r="H209" s="21">
        <f t="shared" si="49"/>
        <v>1.2073404425521466</v>
      </c>
      <c r="I209" s="21">
        <f t="shared" si="50"/>
        <v>-0.49079570926851701</v>
      </c>
      <c r="J209" s="21">
        <f t="shared" si="51"/>
        <v>9.0355186928329834E-2</v>
      </c>
      <c r="K209" s="67" cm="1">
        <f t="array" ref="K209">-Lininterp(Powering!$A$55:$A$71,Powering!$Y$55:$Y$71,E209/0.514)</f>
        <v>-121.41919188625454</v>
      </c>
      <c r="L209" s="67" cm="1">
        <f t="array" ref="L209">OarForces(SUM(Input!$B$37:$B$39),$C$10,$C$34,$C$35,$C$33,E209,F209,G209, $L$136)</f>
        <v>1669.6918427657824</v>
      </c>
      <c r="M209" s="67"/>
      <c r="N209" s="4" cm="1">
        <f t="array" ref="N209">OarForces(SUM(Input!$B$37:$B$39),$C$10,$C$34,$C$35,$C$33,E209,F209,G209, $N$136)</f>
        <v>7513.6132924460208</v>
      </c>
      <c r="O209" s="67" cm="1">
        <f t="array" ref="O209">$C$11*IF($C$24="Y",RudderForces($C$15,$C$16,$C$13,$C$14,$C$12,$C$23,E209,F209,G209,$O$40),0)</f>
        <v>-834.2515543508805</v>
      </c>
      <c r="P209" s="67" cm="1">
        <f t="array" ref="P209">$C$11*IF($C$24="Y",RudderForces($C$15,$C$16,$C$13,$C$14,$C$12,$C$23,E209,F209,G209,$P$40),0)</f>
        <v>-292.23642296875204</v>
      </c>
      <c r="Q209" s="67" cm="1">
        <f t="array" ref="Q209">$C$11*IF($C$24="Y",RudderForces($C$15,$C$16,$C$13,$C$14,$C$12,$C$23,E209,F209,G209,$Q$40),0)</f>
        <v>2330.6645170305414</v>
      </c>
      <c r="R209" cm="1">
        <f t="array" ref="R209">ManAcceleration($C$3,$C$4,$C$5,$C$6,$C$7,$C$8,K209,E209,F209,G209,L209,0,N209,O209,P209,Q209,$R$136)</f>
        <v>1.6069855195831225E-4</v>
      </c>
      <c r="S209" cm="1">
        <f t="array" ref="S209">ManAcceleration($C$3,$C$4,$C$5,$C$6,$C$7,$C$8,K209,E209,F209,G209,L209,0,N209,O209,P209,Q209,$S$136)</f>
        <v>6.1833414877086084E-5</v>
      </c>
      <c r="T209" cm="1">
        <f t="array" ref="T209">ManAcceleration($C$3,$C$4,$C$5,$C$6,$C$7,$C$8,K209,E209,F209,G209,L209,0,N209,O209,P209,Q209,$T$136)</f>
        <v>-3.1430602587657987E-6</v>
      </c>
    </row>
    <row r="210" spans="1:20" x14ac:dyDescent="0.2">
      <c r="A210">
        <f t="shared" ref="A210:A216" si="52">A209+1</f>
        <v>73</v>
      </c>
      <c r="B210" s="21">
        <f t="shared" ref="B210:B216" si="53">B209+H210</f>
        <v>17.709249480639446</v>
      </c>
      <c r="C210" s="21">
        <f t="shared" ref="C210:C216" si="54">C209+I210</f>
        <v>5.891395010430009</v>
      </c>
      <c r="D210" s="21">
        <f t="shared" ref="D210:D216" si="55">D209+J210</f>
        <v>6.5104336517427566</v>
      </c>
      <c r="E210" s="21">
        <f t="shared" ref="E210:E216" si="56">E209+R209/$B$37</f>
        <v>1.1833598484570396</v>
      </c>
      <c r="F210" s="21">
        <f t="shared" ref="F210:F216" si="57">F209+S209/$B$37</f>
        <v>-0.54637310701471575</v>
      </c>
      <c r="G210" s="21">
        <f t="shared" ref="G210:G216" si="58">G209+T209/$B$37</f>
        <v>9.0352043868071066E-2</v>
      </c>
      <c r="H210" s="21">
        <f t="shared" ref="H210:H216" si="59">E210*COS(D209)-F210*SIN(D209)</f>
        <v>1.2468517737866618</v>
      </c>
      <c r="I210" s="21">
        <f t="shared" ref="I210:I216" si="60">F210*COS(D209)+E210*SIN(D209)</f>
        <v>-0.37976934738632706</v>
      </c>
      <c r="J210" s="21">
        <f t="shared" ref="J210:J216" si="61">G210</f>
        <v>9.0352043868071066E-2</v>
      </c>
      <c r="K210" s="67" cm="1">
        <f t="array" ref="K210">-Lininterp(Powering!$A$55:$A$71,Powering!$Y$55:$Y$71,E210/0.514)</f>
        <v>-121.4506718940184</v>
      </c>
      <c r="L210" s="67" cm="1">
        <f t="array" ref="L210">OarForces(SUM(Input!$B$37:$B$39),$C$10,$C$34,$C$35,$C$33,E210,F210,G210, $L$136)</f>
        <v>1669.659906606209</v>
      </c>
      <c r="M210" s="67"/>
      <c r="N210" s="4" cm="1">
        <f t="array" ref="N210">OarForces(SUM(Input!$B$37:$B$39),$C$10,$C$34,$C$35,$C$33,E210,F210,G210, $N$136)</f>
        <v>7513.4695797279401</v>
      </c>
      <c r="O210" s="67" cm="1">
        <f t="array" ref="O210">$C$11*IF($C$24="Y",RudderForces($C$15,$C$16,$C$13,$C$14,$C$12,$C$23,E210,F210,G210,$O$40),0)</f>
        <v>-834.44841025687538</v>
      </c>
      <c r="P210" s="67" cm="1">
        <f t="array" ref="P210">$C$11*IF($C$24="Y",RudderForces($C$15,$C$16,$C$13,$C$14,$C$12,$C$23,E210,F210,G210,$P$40),0)</f>
        <v>-292.30594064742093</v>
      </c>
      <c r="Q210" s="67" cm="1">
        <f t="array" ref="Q210">$C$11*IF($C$24="Y",RudderForces($C$15,$C$16,$C$13,$C$14,$C$12,$C$23,E210,F210,G210,$Q$40),0)</f>
        <v>2331.2189393210074</v>
      </c>
      <c r="R210" cm="1">
        <f t="array" ref="R210">ManAcceleration($C$3,$C$4,$C$5,$C$6,$C$7,$C$8,K210,E210,F210,G210,L210,0,N210,O210,P210,Q210,$R$136)</f>
        <v>1.5056882450777554E-4</v>
      </c>
      <c r="S210" cm="1">
        <f t="array" ref="S210">ManAcceleration($C$3,$C$4,$C$5,$C$6,$C$7,$C$8,K210,E210,F210,G210,L210,0,N210,O210,P210,Q210,$S$136)</f>
        <v>5.5338504737840212E-5</v>
      </c>
      <c r="T210" cm="1">
        <f t="array" ref="T210">ManAcceleration($C$3,$C$4,$C$5,$C$6,$C$7,$C$8,K210,E210,F210,G210,L210,0,N210,O210,P210,Q210,$T$136)</f>
        <v>-2.8125820657087205E-6</v>
      </c>
    </row>
    <row r="211" spans="1:20" x14ac:dyDescent="0.2">
      <c r="A211">
        <f t="shared" si="52"/>
        <v>74</v>
      </c>
      <c r="B211" s="21">
        <f t="shared" si="53"/>
        <v>18.985415883878272</v>
      </c>
      <c r="C211" s="21">
        <f t="shared" si="54"/>
        <v>5.6257649608344389</v>
      </c>
      <c r="D211" s="21">
        <f t="shared" si="55"/>
        <v>6.6007828830287618</v>
      </c>
      <c r="E211" s="21">
        <f t="shared" si="56"/>
        <v>1.1835104172815474</v>
      </c>
      <c r="F211" s="21">
        <f t="shared" si="57"/>
        <v>-0.54631776850997793</v>
      </c>
      <c r="G211" s="21">
        <f t="shared" si="58"/>
        <v>9.034923128600536E-2</v>
      </c>
      <c r="H211" s="21">
        <f t="shared" si="59"/>
        <v>1.2761664032388251</v>
      </c>
      <c r="I211" s="21">
        <f t="shared" si="60"/>
        <v>-0.26563004959557035</v>
      </c>
      <c r="J211" s="21">
        <f t="shared" si="61"/>
        <v>9.034923128600536E-2</v>
      </c>
      <c r="K211" s="67" cm="1">
        <f t="array" ref="K211">-Lininterp(Powering!$A$55:$A$71,Powering!$Y$55:$Y$71,E211/0.514)</f>
        <v>-121.48016754103418</v>
      </c>
      <c r="L211" s="67" cm="1">
        <f t="array" ref="L211">OarForces(SUM(Input!$B$37:$B$39),$C$10,$C$34,$C$35,$C$33,E211,F211,G211, $L$136)</f>
        <v>1669.6298537742991</v>
      </c>
      <c r="M211" s="67"/>
      <c r="N211" s="4" cm="1">
        <f t="array" ref="N211">OarForces(SUM(Input!$B$37:$B$39),$C$10,$C$34,$C$35,$C$33,E211,F211,G211, $N$136)</f>
        <v>7513.3343419843459</v>
      </c>
      <c r="O211" s="67" cm="1">
        <f t="array" ref="O211">$C$11*IF($C$24="Y",RudderForces($C$15,$C$16,$C$13,$C$14,$C$12,$C$23,E211,F211,G211,$O$40),0)</f>
        <v>-834.63298166051186</v>
      </c>
      <c r="P211" s="67" cm="1">
        <f t="array" ref="P211">$C$11*IF($C$24="Y",RudderForces($C$15,$C$16,$C$13,$C$14,$C$12,$C$23,E211,F211,G211,$P$40),0)</f>
        <v>-292.37108642867418</v>
      </c>
      <c r="Q211" s="67" cm="1">
        <f t="array" ref="Q211">$C$11*IF($C$24="Y",RudderForces($C$15,$C$16,$C$13,$C$14,$C$12,$C$23,E211,F211,G211,$Q$40),0)</f>
        <v>2331.7384945470767</v>
      </c>
      <c r="R211" cm="1">
        <f t="array" ref="R211">ManAcceleration($C$3,$C$4,$C$5,$C$6,$C$7,$C$8,K211,E211,F211,G211,L211,0,N211,O211,P211,Q211,$R$136)</f>
        <v>1.4077157627074945E-4</v>
      </c>
      <c r="S211" cm="1">
        <f t="array" ref="S211">ManAcceleration($C$3,$C$4,$C$5,$C$6,$C$7,$C$8,K211,E211,F211,G211,L211,0,N211,O211,P211,Q211,$S$136)</f>
        <v>4.9425214091798619E-5</v>
      </c>
      <c r="T211" cm="1">
        <f t="array" ref="T211">ManAcceleration($C$3,$C$4,$C$5,$C$6,$C$7,$C$8,K211,E211,F211,G211,L211,0,N211,O211,P211,Q211,$T$136)</f>
        <v>-2.5116908830226675E-6</v>
      </c>
    </row>
    <row r="212" spans="1:20" x14ac:dyDescent="0.2">
      <c r="A212">
        <f t="shared" si="52"/>
        <v>75</v>
      </c>
      <c r="B212" s="21">
        <f t="shared" si="53"/>
        <v>20.280462296131663</v>
      </c>
      <c r="C212" s="21">
        <f t="shared" si="54"/>
        <v>5.4764531063774857</v>
      </c>
      <c r="D212" s="21">
        <f t="shared" si="55"/>
        <v>6.6911296026238842</v>
      </c>
      <c r="E212" s="21">
        <f t="shared" si="56"/>
        <v>1.1836511888578181</v>
      </c>
      <c r="F212" s="21">
        <f t="shared" si="57"/>
        <v>-0.54626834329588614</v>
      </c>
      <c r="G212" s="21">
        <f t="shared" si="58"/>
        <v>9.0346719595122332E-2</v>
      </c>
      <c r="H212" s="21">
        <f t="shared" si="59"/>
        <v>1.2950464122533925</v>
      </c>
      <c r="I212" s="21">
        <f t="shared" si="60"/>
        <v>-0.14931185445695283</v>
      </c>
      <c r="J212" s="21">
        <f t="shared" si="61"/>
        <v>9.0346719595122332E-2</v>
      </c>
      <c r="K212" s="67" cm="1">
        <f t="array" ref="K212">-Lininterp(Powering!$A$55:$A$71,Powering!$Y$55:$Y$71,E212/0.514)</f>
        <v>-121.50774395824477</v>
      </c>
      <c r="L212" s="67" cm="1">
        <f t="array" ref="L212">OarForces(SUM(Input!$B$37:$B$39),$C$10,$C$34,$C$35,$C$33,E212,F212,G212, $L$136)</f>
        <v>1669.6016408318278</v>
      </c>
      <c r="M212" s="67"/>
      <c r="N212" s="4" cm="1">
        <f t="array" ref="N212">OarForces(SUM(Input!$B$37:$B$39),$C$10,$C$34,$C$35,$C$33,E212,F212,G212, $N$136)</f>
        <v>7513.2073837432254</v>
      </c>
      <c r="O212" s="67" cm="1">
        <f t="array" ref="O212">$C$11*IF($C$24="Y",RudderForces($C$15,$C$16,$C$13,$C$14,$C$12,$C$23,E212,F212,G212,$O$40),0)</f>
        <v>-834.8056541531837</v>
      </c>
      <c r="P212" s="67" cm="1">
        <f t="array" ref="P212">$C$11*IF($C$24="Y",RudderForces($C$15,$C$16,$C$13,$C$14,$C$12,$C$23,E212,F212,G212,$P$40),0)</f>
        <v>-292.43200233317589</v>
      </c>
      <c r="Q212" s="67" cm="1">
        <f t="array" ref="Q212">$C$11*IF($C$24="Y",RudderForces($C$15,$C$16,$C$13,$C$14,$C$12,$C$23,E212,F212,G212,$Q$40),0)</f>
        <v>2332.2243153619593</v>
      </c>
      <c r="R212" cm="1">
        <f t="array" ref="R212">ManAcceleration($C$3,$C$4,$C$5,$C$6,$C$7,$C$8,K212,E212,F212,G212,L212,0,N212,O212,P212,Q212,$R$136)</f>
        <v>1.3133933003534401E-4</v>
      </c>
      <c r="S212" cm="1">
        <f t="array" ref="S212">ManAcceleration($C$3,$C$4,$C$5,$C$6,$C$7,$C$8,K212,E212,F212,G212,L212,0,N212,O212,P212,Q212,$S$136)</f>
        <v>4.4050000806418097E-5</v>
      </c>
      <c r="T212" cm="1">
        <f t="array" ref="T212">ManAcceleration($C$3,$C$4,$C$5,$C$6,$C$7,$C$8,K212,E212,F212,G212,L212,0,N212,O212,P212,Q212,$T$136)</f>
        <v>-2.238175876390468E-6</v>
      </c>
    </row>
    <row r="213" spans="1:20" x14ac:dyDescent="0.2">
      <c r="A213">
        <f t="shared" si="52"/>
        <v>76</v>
      </c>
      <c r="B213" s="21">
        <f t="shared" si="53"/>
        <v>21.583801452800742</v>
      </c>
      <c r="C213" s="21">
        <f t="shared" si="54"/>
        <v>5.4446868456331918</v>
      </c>
      <c r="D213" s="21">
        <f t="shared" si="55"/>
        <v>6.78147408404313</v>
      </c>
      <c r="E213" s="21">
        <f t="shared" si="56"/>
        <v>1.1837825281878533</v>
      </c>
      <c r="F213" s="21">
        <f t="shared" si="57"/>
        <v>-0.54622429329507971</v>
      </c>
      <c r="G213" s="21">
        <f t="shared" si="58"/>
        <v>9.0344481419245948E-2</v>
      </c>
      <c r="H213" s="21">
        <f t="shared" si="59"/>
        <v>1.3033391566690771</v>
      </c>
      <c r="I213" s="21">
        <f t="shared" si="60"/>
        <v>-3.1766260744293784E-2</v>
      </c>
      <c r="J213" s="21">
        <f t="shared" si="61"/>
        <v>9.0344481419245948E-2</v>
      </c>
      <c r="K213" s="67" cm="1">
        <f t="array" ref="K213">-Lininterp(Powering!$A$55:$A$71,Powering!$Y$55:$Y$71,E213/0.514)</f>
        <v>-121.53347264763762</v>
      </c>
      <c r="L213" s="67" cm="1">
        <f t="array" ref="L213">OarForces(SUM(Input!$B$37:$B$39),$C$10,$C$34,$C$35,$C$33,E213,F213,G213, $L$136)</f>
        <v>1669.5752150854785</v>
      </c>
      <c r="M213" s="67"/>
      <c r="N213" s="4" cm="1">
        <f t="array" ref="N213">OarForces(SUM(Input!$B$37:$B$39),$C$10,$C$34,$C$35,$C$33,E213,F213,G213, $N$136)</f>
        <v>7513.0884678846533</v>
      </c>
      <c r="O213" s="67" cm="1">
        <f t="array" ref="O213">$C$11*IF($C$24="Y",RudderForces($C$15,$C$16,$C$13,$C$14,$C$12,$C$23,E213,F213,G213,$O$40),0)</f>
        <v>-834.96685574516141</v>
      </c>
      <c r="P213" s="67" cm="1">
        <f t="array" ref="P213">$C$11*IF($C$24="Y",RudderForces($C$15,$C$16,$C$13,$C$14,$C$12,$C$23,E213,F213,G213,$P$40),0)</f>
        <v>-292.48884464454494</v>
      </c>
      <c r="Q213" s="67" cm="1">
        <f t="array" ref="Q213">$C$11*IF($C$24="Y",RudderForces($C$15,$C$16,$C$13,$C$14,$C$12,$C$23,E213,F213,G213,$Q$40),0)</f>
        <v>2332.6776481697866</v>
      </c>
      <c r="R213" cm="1">
        <f t="array" ref="R213">ManAcceleration($C$3,$C$4,$C$5,$C$6,$C$7,$C$8,K213,E213,F213,G213,L213,0,N213,O213,P213,Q213,$R$136)</f>
        <v>1.222959511351475E-4</v>
      </c>
      <c r="S213" cm="1">
        <f t="array" ref="S213">ManAcceleration($C$3,$C$4,$C$5,$C$6,$C$7,$C$8,K213,E213,F213,G213,L213,0,N213,O213,P213,Q213,$S$136)</f>
        <v>3.9171734195940787E-5</v>
      </c>
      <c r="T213" cm="1">
        <f t="array" ref="T213">ManAcceleration($C$3,$C$4,$C$5,$C$6,$C$7,$C$8,K213,E213,F213,G213,L213,0,N213,O213,P213,Q213,$T$136)</f>
        <v>-1.9899481739312729E-6</v>
      </c>
    </row>
    <row r="214" spans="1:20" x14ac:dyDescent="0.2">
      <c r="A214">
        <f t="shared" si="52"/>
        <v>77</v>
      </c>
      <c r="B214" s="21">
        <f t="shared" si="53"/>
        <v>22.884779925335948</v>
      </c>
      <c r="C214" s="21">
        <f t="shared" si="54"/>
        <v>5.5307323779634983</v>
      </c>
      <c r="D214" s="21">
        <f t="shared" si="55"/>
        <v>6.8718165755142024</v>
      </c>
      <c r="E214" s="21">
        <f t="shared" si="56"/>
        <v>1.1839048241389885</v>
      </c>
      <c r="F214" s="21">
        <f t="shared" si="57"/>
        <v>-0.54618512156088372</v>
      </c>
      <c r="G214" s="21">
        <f t="shared" si="58"/>
        <v>9.0342491471072012E-2</v>
      </c>
      <c r="H214" s="21">
        <f t="shared" si="59"/>
        <v>1.3009784725352072</v>
      </c>
      <c r="I214" s="21">
        <f t="shared" si="60"/>
        <v>8.604553233030604E-2</v>
      </c>
      <c r="J214" s="21">
        <f t="shared" si="61"/>
        <v>9.0342491471072012E-2</v>
      </c>
      <c r="K214" s="67" cm="1">
        <f t="array" ref="K214">-Lininterp(Powering!$A$55:$A$71,Powering!$Y$55:$Y$71,E214/0.514)</f>
        <v>-121.55742978629453</v>
      </c>
      <c r="L214" s="67" cm="1">
        <f t="array" ref="L214">OarForces(SUM(Input!$B$37:$B$39),$C$10,$C$34,$C$35,$C$33,E214,F214,G214, $L$136)</f>
        <v>1669.5505165930094</v>
      </c>
      <c r="M214" s="67"/>
      <c r="N214" s="4" cm="1">
        <f t="array" ref="N214">OarForces(SUM(Input!$B$37:$B$39),$C$10,$C$34,$C$35,$C$33,E214,F214,G214, $N$136)</f>
        <v>7512.9773246685427</v>
      </c>
      <c r="O214" s="67" cm="1">
        <f t="array" ref="O214">$C$11*IF($C$24="Y",RudderForces($C$15,$C$16,$C$13,$C$14,$C$12,$C$23,E214,F214,G214,$O$40),0)</f>
        <v>-835.1170460314413</v>
      </c>
      <c r="P214" s="67" cm="1">
        <f t="array" ref="P214">$C$11*IF($C$24="Y",RudderForces($C$15,$C$16,$C$13,$C$14,$C$12,$C$23,E214,F214,G214,$P$40),0)</f>
        <v>-292.54178015624353</v>
      </c>
      <c r="Q214" s="67" cm="1">
        <f t="array" ref="Q214">$C$11*IF($C$24="Y",RudderForces($C$15,$C$16,$C$13,$C$14,$C$12,$C$23,E214,F214,G214,$Q$40),0)</f>
        <v>2333.0998231935341</v>
      </c>
      <c r="R214" cm="1">
        <f t="array" ref="R214">ManAcceleration($C$3,$C$4,$C$5,$C$6,$C$7,$C$8,K214,E214,F214,G214,L214,0,N214,O214,P214,Q214,$R$136)</f>
        <v>1.1365786929182056E-4</v>
      </c>
      <c r="S214" cm="1">
        <f t="array" ref="S214">ManAcceleration($C$3,$C$4,$C$5,$C$6,$C$7,$C$8,K214,E214,F214,G214,L214,0,N214,O214,P214,Q214,$S$136)</f>
        <v>3.4751661757971541E-5</v>
      </c>
      <c r="T214" cm="1">
        <f t="array" ref="T214">ManAcceleration($C$3,$C$4,$C$5,$C$6,$C$7,$C$8,K214,E214,F214,G214,L214,0,N214,O214,P214,Q214,$T$136)</f>
        <v>-1.7650391425074095E-6</v>
      </c>
    </row>
    <row r="215" spans="1:20" x14ac:dyDescent="0.2">
      <c r="A215">
        <f t="shared" si="52"/>
        <v>78</v>
      </c>
      <c r="B215" s="21">
        <f t="shared" si="53"/>
        <v>24.172765103843808</v>
      </c>
      <c r="C215" s="21">
        <f t="shared" si="54"/>
        <v>5.7338928372616094</v>
      </c>
      <c r="D215" s="21">
        <f t="shared" si="55"/>
        <v>6.9621573019461316</v>
      </c>
      <c r="E215" s="21">
        <f t="shared" si="56"/>
        <v>1.1840184820082802</v>
      </c>
      <c r="F215" s="21">
        <f t="shared" si="57"/>
        <v>-0.5461503698991258</v>
      </c>
      <c r="G215" s="21">
        <f t="shared" si="58"/>
        <v>9.0340726431929502E-2</v>
      </c>
      <c r="H215" s="21">
        <f t="shared" si="59"/>
        <v>1.2879851785078602</v>
      </c>
      <c r="I215" s="21">
        <f t="shared" si="60"/>
        <v>0.20316045929811127</v>
      </c>
      <c r="J215" s="21">
        <f t="shared" si="61"/>
        <v>9.0340726431929502E-2</v>
      </c>
      <c r="K215" s="67" cm="1">
        <f t="array" ref="K215">-Lininterp(Powering!$A$55:$A$71,Powering!$Y$55:$Y$71,E215/0.514)</f>
        <v>-121.57969476979393</v>
      </c>
      <c r="L215" s="67" cm="1">
        <f t="array" ref="L215">OarForces(SUM(Input!$B$37:$B$39),$C$10,$C$34,$C$35,$C$33,E215,F215,G215, $L$136)</f>
        <v>1669.5274799014767</v>
      </c>
      <c r="M215" s="67"/>
      <c r="N215" s="4" cm="1">
        <f t="array" ref="N215">OarForces(SUM(Input!$B$37:$B$39),$C$10,$C$34,$C$35,$C$33,E215,F215,G215, $N$136)</f>
        <v>7512.8736595566452</v>
      </c>
      <c r="O215" s="67" cm="1">
        <f t="array" ref="O215">$C$11*IF($C$24="Y",RudderForces($C$15,$C$16,$C$13,$C$14,$C$12,$C$23,E215,F215,G215,$O$40),0)</f>
        <v>-835.25670686593469</v>
      </c>
      <c r="P215" s="67" cm="1">
        <f t="array" ref="P215">$C$11*IF($C$24="Y",RudderForces($C$15,$C$16,$C$13,$C$14,$C$12,$C$23,E215,F215,G215,$P$40),0)</f>
        <v>-292.59098294470044</v>
      </c>
      <c r="Q215" s="67" cm="1">
        <f t="array" ref="Q215">$C$11*IF($C$24="Y",RudderForces($C$15,$C$16,$C$13,$C$14,$C$12,$C$23,E215,F215,G215,$Q$40),0)</f>
        <v>2333.4922287398058</v>
      </c>
      <c r="R215" cm="1">
        <f t="array" ref="R215">ManAcceleration($C$3,$C$4,$C$5,$C$6,$C$7,$C$8,K215,E215,F215,G215,L215,0,N215,O215,P215,Q215,$R$136)</f>
        <v>1.0543516437491206E-4</v>
      </c>
      <c r="S215" cm="1">
        <f t="array" ref="S215">ManAcceleration($C$3,$C$4,$C$5,$C$6,$C$7,$C$8,K215,E215,F215,G215,L215,0,N215,O215,P215,Q215,$S$136)</f>
        <v>3.0753360417131966E-5</v>
      </c>
      <c r="T215" cm="1">
        <f t="array" ref="T215">ManAcceleration($C$3,$C$4,$C$5,$C$6,$C$7,$C$8,K215,E215,F215,G215,L215,0,N215,O215,P215,Q215,$T$136)</f>
        <v>-1.5615979270436677E-6</v>
      </c>
    </row>
    <row r="216" spans="1:20" x14ac:dyDescent="0.2">
      <c r="A216">
        <f t="shared" si="52"/>
        <v>79</v>
      </c>
      <c r="B216" s="21">
        <f t="shared" si="53"/>
        <v>25.43723197520152</v>
      </c>
      <c r="C216" s="21">
        <f t="shared" si="54"/>
        <v>6.0525142709843607</v>
      </c>
      <c r="D216" s="21">
        <f t="shared" si="55"/>
        <v>7.0524964667801342</v>
      </c>
      <c r="E216" s="21">
        <f t="shared" si="56"/>
        <v>1.1841239171726552</v>
      </c>
      <c r="F216" s="21">
        <f t="shared" si="57"/>
        <v>-0.54611961653870866</v>
      </c>
      <c r="G216" s="21">
        <f t="shared" si="58"/>
        <v>9.0339164834002464E-2</v>
      </c>
      <c r="H216" s="21">
        <f t="shared" si="59"/>
        <v>1.264466871357711</v>
      </c>
      <c r="I216" s="21">
        <f t="shared" si="60"/>
        <v>0.3186214337227512</v>
      </c>
      <c r="J216" s="21">
        <f t="shared" si="61"/>
        <v>9.0339164834002464E-2</v>
      </c>
      <c r="K216" s="67" cm="1">
        <f t="array" ref="K216">-Lininterp(Powering!$A$55:$A$71,Powering!$Y$55:$Y$71,E216/0.514)</f>
        <v>-121.60034896830825</v>
      </c>
      <c r="L216" s="67" cm="1">
        <f t="array" ref="L216">OarForces(SUM(Input!$B$37:$B$39),$C$10,$C$34,$C$35,$C$33,E216,F216,G216, $L$136)</f>
        <v>1669.5060355464409</v>
      </c>
      <c r="M216" s="67"/>
      <c r="N216" s="4" cm="1">
        <f t="array" ref="N216">OarForces(SUM(Input!$B$37:$B$39),$C$10,$C$34,$C$35,$C$33,E216,F216,G216, $N$136)</f>
        <v>7512.7771599589842</v>
      </c>
      <c r="O216" s="67" cm="1">
        <f t="array" ref="O216">$C$11*IF($C$24="Y",RudderForces($C$15,$C$16,$C$13,$C$14,$C$12,$C$23,E216,F216,G216,$O$40),0)</f>
        <v>-835.38633437806538</v>
      </c>
      <c r="P216" s="67" cm="1">
        <f t="array" ref="P216">$C$11*IF($C$24="Y",RudderForces($C$15,$C$16,$C$13,$C$14,$C$12,$C$23,E216,F216,G216,$P$40),0)</f>
        <v>-292.63663161058787</v>
      </c>
      <c r="Q216" s="67" cm="1">
        <f t="array" ref="Q216">$C$11*IF($C$24="Y",RudderForces($C$15,$C$16,$C$13,$C$14,$C$12,$C$23,E216,F216,G216,$Q$40),0)</f>
        <v>2333.8562891972692</v>
      </c>
      <c r="R216" cm="1">
        <f t="array" ref="R216">ManAcceleration($C$3,$C$4,$C$5,$C$6,$C$7,$C$8,K216,E216,F216,G216,L216,0,N216,O216,P216,Q216,$R$136)</f>
        <v>9.7632528950653273E-5</v>
      </c>
      <c r="S216" cm="1">
        <f t="array" ref="S216">ManAcceleration($C$3,$C$4,$C$5,$C$6,$C$7,$C$8,K216,E216,F216,G216,L216,0,N216,O216,P216,Q216,$S$136)</f>
        <v>2.7142675237370868E-5</v>
      </c>
      <c r="T216" cm="1">
        <f t="array" ref="T216">ManAcceleration($C$3,$C$4,$C$5,$C$6,$C$7,$C$8,K216,E216,F216,G216,L216,0,N216,O216,P216,Q216,$T$136)</f>
        <v>-1.3778883852794953E-6</v>
      </c>
    </row>
    <row r="217" spans="1:20" x14ac:dyDescent="0.2">
      <c r="A217">
        <f t="shared" ref="A217:A227" si="62">A216+1</f>
        <v>80</v>
      </c>
      <c r="B217" s="21">
        <f t="shared" ref="B217:B218" si="63">B216+H217</f>
        <v>26.667848991859145</v>
      </c>
      <c r="C217" s="21">
        <f t="shared" ref="C217:C218" si="64">C216+I217</f>
        <v>6.4839994122125191</v>
      </c>
      <c r="D217" s="21">
        <f t="shared" ref="D217:D218" si="65">D216+J217</f>
        <v>7.1428342537257512</v>
      </c>
      <c r="E217" s="21">
        <f t="shared" ref="E217:E218" si="66">E216+R216/$B$37</f>
        <v>1.1842215497016058</v>
      </c>
      <c r="F217" s="21">
        <f t="shared" ref="F217:F218" si="67">F216+S216/$B$37</f>
        <v>-0.54609247386347126</v>
      </c>
      <c r="G217" s="21">
        <f t="shared" ref="G217:G218" si="68">G216+T216/$B$37</f>
        <v>9.0337786945617185E-2</v>
      </c>
      <c r="H217" s="21">
        <f t="shared" ref="H217:H218" si="69">E217*COS(D216)-F217*SIN(D216)</f>
        <v>1.2306170166576258</v>
      </c>
      <c r="I217" s="21">
        <f t="shared" ref="I217:I218" si="70">F217*COS(D216)+E217*SIN(D216)</f>
        <v>0.43148514122815823</v>
      </c>
      <c r="J217" s="21">
        <f t="shared" ref="J217:J218" si="71">G217</f>
        <v>9.0337786945617185E-2</v>
      </c>
      <c r="K217" s="67" cm="1">
        <f t="array" ref="K217">-Lininterp(Powering!$A$55:$A$71,Powering!$Y$55:$Y$71,E217/0.514)</f>
        <v>-121.61947467125904</v>
      </c>
      <c r="L217" s="67" cm="1">
        <f t="array" ref="L217">OarForces(SUM(Input!$B$37:$B$39),$C$10,$C$34,$C$35,$C$33,E217,F217,G217, $L$136)</f>
        <v>1669.4861113384195</v>
      </c>
      <c r="M217" s="67"/>
      <c r="N217" s="4" cm="1">
        <f t="array" ref="N217">OarForces(SUM(Input!$B$37:$B$39),$C$10,$C$34,$C$35,$C$33,E217,F217,G217, $N$136)</f>
        <v>7512.6875010228878</v>
      </c>
      <c r="O217" s="67" cm="1">
        <f t="array" ref="O217">$C$11*IF($C$24="Y",RudderForces($C$15,$C$16,$C$13,$C$14,$C$12,$C$23,E217,F217,G217,$O$40),0)</f>
        <v>-835.50643218133905</v>
      </c>
      <c r="P217" s="67" cm="1">
        <f t="array" ref="P217">$C$11*IF($C$24="Y",RudderForces($C$15,$C$16,$C$13,$C$14,$C$12,$C$23,E217,F217,G217,$P$40),0)</f>
        <v>-292.67890693557683</v>
      </c>
      <c r="Q217" s="67" cm="1">
        <f t="array" ref="Q217">$C$11*IF($C$24="Y",RudderForces($C$15,$C$16,$C$13,$C$14,$C$12,$C$23,E217,F217,G217,$Q$40),0)</f>
        <v>2334.1934463486496</v>
      </c>
      <c r="R217" cm="1">
        <f t="array" ref="R217">ManAcceleration($C$3,$C$4,$C$5,$C$6,$C$7,$C$8,K217,E217,F217,G217,L217,0,N217,O217,P217,Q217,$R$136)</f>
        <v>9.0250119448096364E-5</v>
      </c>
      <c r="S217" cm="1">
        <f t="array" ref="S217">ManAcceleration($C$3,$C$4,$C$5,$C$6,$C$7,$C$8,K217,E217,F217,G217,L217,0,N217,O217,P217,Q217,$S$136)</f>
        <v>2.3887648192327853E-5</v>
      </c>
      <c r="T217" cm="1">
        <f t="array" ref="T217">ManAcceleration($C$3,$C$4,$C$5,$C$6,$C$7,$C$8,K217,E217,F217,G217,L217,0,N217,O217,P217,Q217,$T$136)</f>
        <v>-1.2122855364380929E-6</v>
      </c>
    </row>
    <row r="218" spans="1:20" x14ac:dyDescent="0.2">
      <c r="A218">
        <f t="shared" si="62"/>
        <v>81</v>
      </c>
      <c r="B218" s="21">
        <f t="shared" si="63"/>
        <v>27.854562334205898</v>
      </c>
      <c r="C218" s="21">
        <f t="shared" si="64"/>
        <v>7.0248291295383476</v>
      </c>
      <c r="D218" s="21">
        <f t="shared" si="65"/>
        <v>7.2331708283858323</v>
      </c>
      <c r="E218" s="21">
        <f t="shared" si="66"/>
        <v>1.1843117998210539</v>
      </c>
      <c r="F218" s="21">
        <f t="shared" si="67"/>
        <v>-0.54606858621527898</v>
      </c>
      <c r="G218" s="21">
        <f t="shared" si="68"/>
        <v>9.0336574660080743E-2</v>
      </c>
      <c r="H218" s="21">
        <f t="shared" si="69"/>
        <v>1.1867133423467533</v>
      </c>
      <c r="I218" s="21">
        <f t="shared" si="70"/>
        <v>0.54082971732582819</v>
      </c>
      <c r="J218" s="21">
        <f t="shared" si="71"/>
        <v>9.0336574660080743E-2</v>
      </c>
      <c r="K218" s="67" cm="1">
        <f t="array" ref="K218">-Lininterp(Powering!$A$55:$A$71,Powering!$Y$55:$Y$71,E218/0.514)</f>
        <v>-121.63715419871156</v>
      </c>
      <c r="L218" s="67" cm="1">
        <f t="array" ref="L218">OarForces(SUM(Input!$B$37:$B$39),$C$10,$C$34,$C$35,$C$33,E218,F218,G218, $L$136)</f>
        <v>1669.4676334603728</v>
      </c>
      <c r="M218" s="67"/>
      <c r="N218" s="4" cm="1">
        <f t="array" ref="N218">OarForces(SUM(Input!$B$37:$B$39),$C$10,$C$34,$C$35,$C$33,E218,F218,G218, $N$136)</f>
        <v>7512.6043505716771</v>
      </c>
      <c r="O218" s="67" cm="1">
        <f t="array" ref="O218">$C$11*IF($C$24="Y",RudderForces($C$15,$C$16,$C$13,$C$14,$C$12,$C$23,E218,F218,G218,$O$40),0)</f>
        <v>-835.61750563767248</v>
      </c>
      <c r="P218" s="67" cm="1">
        <f t="array" ref="P218">$C$11*IF($C$24="Y",RudderForces($C$15,$C$16,$C$13,$C$14,$C$12,$C$23,E218,F218,G218,$P$40),0)</f>
        <v>-292.71798990689888</v>
      </c>
      <c r="Q218" s="67" cm="1">
        <f t="array" ref="Q218">$C$11*IF($C$24="Y",RudderForces($C$15,$C$16,$C$13,$C$14,$C$12,$C$23,E218,F218,G218,$Q$40),0)</f>
        <v>2334.5051436160711</v>
      </c>
      <c r="R218" cm="1">
        <f t="array" ref="R218">ManAcceleration($C$3,$C$4,$C$5,$C$6,$C$7,$C$8,K218,E218,F218,G218,L218,0,N218,O218,P218,Q218,$R$136)</f>
        <v>8.3284306799758786E-5</v>
      </c>
      <c r="S218" cm="1">
        <f t="array" ref="S218">ManAcceleration($C$3,$C$4,$C$5,$C$6,$C$7,$C$8,K218,E218,F218,G218,L218,0,N218,O218,P218,Q218,$S$136)</f>
        <v>2.0958439246609769E-5</v>
      </c>
      <c r="T218" cm="1">
        <f t="array" ref="T218">ManAcceleration($C$3,$C$4,$C$5,$C$6,$C$7,$C$8,K218,E218,F218,G218,L218,0,N218,O218,P218,Q218,$T$136)</f>
        <v>-1.0632716286421237E-6</v>
      </c>
    </row>
    <row r="219" spans="1:20" x14ac:dyDescent="0.2">
      <c r="A219">
        <f t="shared" si="62"/>
        <v>82</v>
      </c>
      <c r="B219" s="21">
        <f t="shared" ref="B219:B227" si="72">B218+H219</f>
        <v>28.987677882650878</v>
      </c>
      <c r="C219" s="21">
        <f t="shared" ref="C219:C227" si="73">C218+I219</f>
        <v>7.6705913775664332</v>
      </c>
      <c r="D219" s="21">
        <f t="shared" ref="D219:D227" si="74">D218+J219</f>
        <v>7.3235063397742843</v>
      </c>
      <c r="E219" s="21">
        <f t="shared" ref="E219:E227" si="75">E218+R218/$B$37</f>
        <v>1.1843950841278537</v>
      </c>
      <c r="F219" s="21">
        <f t="shared" ref="F219:F227" si="76">F218+S218/$B$37</f>
        <v>-0.54604762777603233</v>
      </c>
      <c r="G219" s="21">
        <f t="shared" ref="G219:G227" si="77">G218+T218/$B$37</f>
        <v>9.0335511388452097E-2</v>
      </c>
      <c r="H219" s="21">
        <f t="shared" ref="H219:H227" si="78">E219*COS(D218)-F219*SIN(D218)</f>
        <v>1.1331155484449813</v>
      </c>
      <c r="I219" s="21">
        <f t="shared" ref="I219:I227" si="79">F219*COS(D218)+E219*SIN(D218)</f>
        <v>0.64576224802808602</v>
      </c>
      <c r="J219" s="21">
        <f t="shared" ref="J219:J227" si="80">G219</f>
        <v>9.0335511388452097E-2</v>
      </c>
      <c r="K219" s="67" cm="1">
        <f t="array" ref="K219">-Lininterp(Powering!$A$55:$A$71,Powering!$Y$55:$Y$71,E219/0.514)</f>
        <v>-121.65346915981554</v>
      </c>
      <c r="L219" s="67" cm="1">
        <f t="array" ref="L219">OarForces(SUM(Input!$B$37:$B$39),$C$10,$C$34,$C$35,$C$33,E219,F219,G219, $L$136)</f>
        <v>1669.4505273977622</v>
      </c>
      <c r="M219" s="67"/>
      <c r="N219" s="4" cm="1">
        <f t="array" ref="N219">OarForces(SUM(Input!$B$37:$B$39),$C$10,$C$34,$C$35,$C$33,E219,F219,G219, $N$136)</f>
        <v>7512.5273732899304</v>
      </c>
      <c r="O219" s="67" cm="1">
        <f t="array" ref="O219">$C$11*IF($C$24="Y",RudderForces($C$15,$C$16,$C$13,$C$14,$C$12,$C$23,E219,F219,G219,$O$40),0)</f>
        <v>-835.72005705430342</v>
      </c>
      <c r="P219" s="67" cm="1">
        <f t="array" ref="P219">$C$11*IF($C$24="Y",RudderForces($C$15,$C$16,$C$13,$C$14,$C$12,$C$23,E219,F219,G219,$P$40),0)</f>
        <v>-292.75406006662087</v>
      </c>
      <c r="Q219" s="67" cm="1">
        <f t="array" ref="Q219">$C$11*IF($C$24="Y",RudderForces($C$15,$C$16,$C$13,$C$14,$C$12,$C$23,E219,F219,G219,$Q$40),0)</f>
        <v>2334.7928128960798</v>
      </c>
      <c r="R219" cm="1">
        <f t="array" ref="R219">ManAcceleration($C$3,$C$4,$C$5,$C$6,$C$7,$C$8,K219,E219,F219,G219,L219,0,N219,O219,P219,Q219,$R$136)</f>
        <v>7.6728336512509266E-5</v>
      </c>
      <c r="S219" cm="1">
        <f t="array" ref="S219">ManAcceleration($C$3,$C$4,$C$5,$C$6,$C$7,$C$8,K219,E219,F219,G219,L219,0,N219,O219,P219,Q219,$S$136)</f>
        <v>1.8327241701222888E-5</v>
      </c>
      <c r="T219" cm="1">
        <f t="array" ref="T219">ManAcceleration($C$3,$C$4,$C$5,$C$6,$C$7,$C$8,K219,E219,F219,G219,L219,0,N219,O219,P219,Q219,$T$136)</f>
        <v>-9.2943191720965558E-7</v>
      </c>
    </row>
    <row r="220" spans="1:20" x14ac:dyDescent="0.2">
      <c r="A220">
        <f t="shared" si="62"/>
        <v>83</v>
      </c>
      <c r="B220" s="21">
        <f t="shared" si="72"/>
        <v>30.057940234323439</v>
      </c>
      <c r="C220" s="21">
        <f t="shared" si="73"/>
        <v>8.416017410219542</v>
      </c>
      <c r="D220" s="21">
        <f t="shared" si="74"/>
        <v>7.4138409217308192</v>
      </c>
      <c r="E220" s="21">
        <f t="shared" si="75"/>
        <v>1.1844718124643661</v>
      </c>
      <c r="F220" s="21">
        <f t="shared" si="76"/>
        <v>-0.54602930053433107</v>
      </c>
      <c r="G220" s="21">
        <f t="shared" si="77"/>
        <v>9.033458195653489E-2</v>
      </c>
      <c r="H220" s="21">
        <f t="shared" si="78"/>
        <v>1.0702623516725593</v>
      </c>
      <c r="I220" s="21">
        <f t="shared" si="79"/>
        <v>0.74542603265310914</v>
      </c>
      <c r="J220" s="21">
        <f t="shared" si="80"/>
        <v>9.033458195653489E-2</v>
      </c>
      <c r="K220" s="67" cm="1">
        <f t="array" ref="K220">-Lininterp(Powering!$A$55:$A$71,Powering!$Y$55:$Y$71,E220/0.514)</f>
        <v>-121.66849984055091</v>
      </c>
      <c r="L220" s="67" cm="1">
        <f t="array" ref="L220">OarForces(SUM(Input!$B$37:$B$39),$C$10,$C$34,$C$35,$C$33,E220,F220,G220, $L$136)</f>
        <v>1669.4347187206313</v>
      </c>
      <c r="M220" s="67"/>
      <c r="N220" s="4" cm="1">
        <f t="array" ref="N220">OarForces(SUM(Input!$B$37:$B$39),$C$10,$C$34,$C$35,$C$33,E220,F220,G220, $N$136)</f>
        <v>7512.4562342428408</v>
      </c>
      <c r="O220" s="67" cm="1">
        <f t="array" ref="O220">$C$11*IF($C$24="Y",RudderForces($C$15,$C$16,$C$13,$C$14,$C$12,$C$23,E220,F220,G220,$O$40),0)</f>
        <v>-835.81458170217763</v>
      </c>
      <c r="P220" s="67" cm="1">
        <f t="array" ref="P220">$C$11*IF($C$24="Y",RudderForces($C$15,$C$16,$C$13,$C$14,$C$12,$C$23,E220,F220,G220,$P$40),0)</f>
        <v>-292.7872941467582</v>
      </c>
      <c r="Q220" s="67" cm="1">
        <f t="array" ref="Q220">$C$11*IF($C$24="Y",RudderForces($C$15,$C$16,$C$13,$C$14,$C$12,$C$23,E220,F220,G220,$Q$40),0)</f>
        <v>2335.0578636743003</v>
      </c>
      <c r="R220" cm="1">
        <f t="array" ref="R220">ManAcceleration($C$3,$C$4,$C$5,$C$6,$C$7,$C$8,K220,E220,F220,G220,L220,0,N220,O220,P220,Q220,$R$136)</f>
        <v>7.0572907276134593E-5</v>
      </c>
      <c r="S220" cm="1">
        <f t="array" ref="S220">ManAcceleration($C$3,$C$4,$C$5,$C$6,$C$7,$C$8,K220,E220,F220,G220,L220,0,N220,O220,P220,Q220,$S$136)</f>
        <v>1.5968193488310122E-5</v>
      </c>
      <c r="T220" cm="1">
        <f t="array" ref="T220">ManAcceleration($C$3,$C$4,$C$5,$C$6,$C$7,$C$8,K220,E220,F220,G220,L220,0,N220,O220,P220,Q220,$T$136)</f>
        <v>-8.0945023493344189E-7</v>
      </c>
    </row>
    <row r="221" spans="1:20" x14ac:dyDescent="0.2">
      <c r="A221">
        <f t="shared" si="62"/>
        <v>84</v>
      </c>
      <c r="B221" s="21">
        <f t="shared" si="72"/>
        <v>31.056608123393513</v>
      </c>
      <c r="C221" s="21">
        <f t="shared" si="73"/>
        <v>9.2550249603501804</v>
      </c>
      <c r="D221" s="21">
        <f t="shared" si="74"/>
        <v>7.5041746942371192</v>
      </c>
      <c r="E221" s="21">
        <f t="shared" si="75"/>
        <v>1.1845423853716421</v>
      </c>
      <c r="F221" s="21">
        <f t="shared" si="76"/>
        <v>-0.54601333234084282</v>
      </c>
      <c r="G221" s="21">
        <f t="shared" si="77"/>
        <v>9.0333772506299953E-2</v>
      </c>
      <c r="H221" s="21">
        <f t="shared" si="78"/>
        <v>0.99866788907007276</v>
      </c>
      <c r="I221" s="21">
        <f t="shared" si="79"/>
        <v>0.83900755013063899</v>
      </c>
      <c r="J221" s="21">
        <f t="shared" si="80"/>
        <v>9.0333772506299953E-2</v>
      </c>
      <c r="K221" s="67" cm="1">
        <f t="array" ref="K221">-Lininterp(Powering!$A$55:$A$71,Powering!$Y$55:$Y$71,E221/0.514)</f>
        <v>-121.68232470481942</v>
      </c>
      <c r="L221" s="67" cm="1">
        <f t="array" ref="L221">OarForces(SUM(Input!$B$37:$B$39),$C$10,$C$34,$C$35,$C$33,E221,F221,G221, $L$136)</f>
        <v>1669.4201337352533</v>
      </c>
      <c r="M221" s="67"/>
      <c r="N221" s="4" cm="1">
        <f t="array" ref="N221">OarForces(SUM(Input!$B$37:$B$39),$C$10,$C$34,$C$35,$C$33,E221,F221,G221, $N$136)</f>
        <v>7512.39060180864</v>
      </c>
      <c r="O221" s="67" cm="1">
        <f t="array" ref="O221">$C$11*IF($C$24="Y",RudderForces($C$15,$C$16,$C$13,$C$14,$C$12,$C$23,E221,F221,G221,$O$40),0)</f>
        <v>-835.90156455564875</v>
      </c>
      <c r="P221" s="67" cm="1">
        <f t="array" ref="P221">$C$11*IF($C$24="Y",RudderForces($C$15,$C$16,$C$13,$C$14,$C$12,$C$23,E221,F221,G221,$P$40),0)</f>
        <v>-292.81786495520436</v>
      </c>
      <c r="Q221" s="67" cm="1">
        <f t="array" ref="Q221">$C$11*IF($C$24="Y",RudderForces($C$15,$C$16,$C$13,$C$14,$C$12,$C$23,E221,F221,G221,$Q$40),0)</f>
        <v>2335.301674140424</v>
      </c>
      <c r="R221" cm="1">
        <f t="array" ref="R221">ManAcceleration($C$3,$C$4,$C$5,$C$6,$C$7,$C$8,K221,E221,F221,G221,L221,0,N221,O221,P221,Q221,$R$136)</f>
        <v>6.4806676439169736E-5</v>
      </c>
      <c r="S221" cm="1">
        <f t="array" ref="S221">ManAcceleration($C$3,$C$4,$C$5,$C$6,$C$7,$C$8,K221,E221,F221,G221,L221,0,N221,O221,P221,Q221,$S$136)</f>
        <v>1.385728585988368E-5</v>
      </c>
      <c r="T221" cm="1">
        <f t="array" ref="T221">ManAcceleration($C$3,$C$4,$C$5,$C$6,$C$7,$C$8,K221,E221,F221,G221,L221,0,N221,O221,P221,Q221,$T$136)</f>
        <v>-7.0210442448674439E-7</v>
      </c>
    </row>
    <row r="222" spans="1:20" x14ac:dyDescent="0.2">
      <c r="A222">
        <f t="shared" si="62"/>
        <v>85</v>
      </c>
      <c r="B222" s="21">
        <f t="shared" si="72"/>
        <v>31.975525633263874</v>
      </c>
      <c r="C222" s="21">
        <f t="shared" si="73"/>
        <v>10.180768032841687</v>
      </c>
      <c r="D222" s="21">
        <f t="shared" si="74"/>
        <v>7.5945077646389949</v>
      </c>
      <c r="E222" s="21">
        <f t="shared" si="75"/>
        <v>1.1846071920480814</v>
      </c>
      <c r="F222" s="21">
        <f t="shared" si="76"/>
        <v>-0.54599947505498292</v>
      </c>
      <c r="G222" s="21">
        <f t="shared" si="77"/>
        <v>9.0333070401875465E-2</v>
      </c>
      <c r="H222" s="21">
        <f t="shared" si="78"/>
        <v>0.91891750987035992</v>
      </c>
      <c r="I222" s="21">
        <f t="shared" si="79"/>
        <v>0.925743072491506</v>
      </c>
      <c r="J222" s="21">
        <f t="shared" si="80"/>
        <v>9.0333070401875465E-2</v>
      </c>
      <c r="K222" s="67" cm="1">
        <f t="array" ref="K222">-Lininterp(Powering!$A$55:$A$71,Powering!$Y$55:$Y$71,E222/0.514)</f>
        <v>-121.69501999455662</v>
      </c>
      <c r="L222" s="67" cm="1">
        <f t="array" ref="L222">OarForces(SUM(Input!$B$37:$B$39),$C$10,$C$34,$C$35,$C$33,E222,F222,G222, $L$136)</f>
        <v>1669.4067000211546</v>
      </c>
      <c r="M222" s="67"/>
      <c r="N222" s="4" cm="1">
        <f t="array" ref="N222">OarForces(SUM(Input!$B$37:$B$39),$C$10,$C$34,$C$35,$C$33,E222,F222,G222, $N$136)</f>
        <v>7512.3301500951957</v>
      </c>
      <c r="O222" s="67" cm="1">
        <f t="array" ref="O222">$C$11*IF($C$24="Y",RudderForces($C$15,$C$16,$C$13,$C$14,$C$12,$C$23,E222,F222,G222,$O$40),0)</f>
        <v>-835.9814776634604</v>
      </c>
      <c r="P222" s="67" cm="1">
        <f t="array" ref="P222">$C$11*IF($C$24="Y",RudderForces($C$15,$C$16,$C$13,$C$14,$C$12,$C$23,E222,F222,G222,$P$40),0)</f>
        <v>-292.8459404810007</v>
      </c>
      <c r="Q222" s="67" cm="1">
        <f t="array" ref="Q222">$C$11*IF($C$24="Y",RudderForces($C$15,$C$16,$C$13,$C$14,$C$12,$C$23,E222,F222,G222,$Q$40),0)</f>
        <v>2335.5255840524937</v>
      </c>
      <c r="R222" cm="1">
        <f t="array" ref="R222">ManAcceleration($C$3,$C$4,$C$5,$C$6,$C$7,$C$8,K222,E222,F222,G222,L222,0,N222,O222,P222,Q222,$R$136)</f>
        <v>5.9416699951548946E-5</v>
      </c>
      <c r="S222" cm="1">
        <f t="array" ref="S222">ManAcceleration($C$3,$C$4,$C$5,$C$6,$C$7,$C$8,K222,E222,F222,G222,L222,0,N222,O222,P222,Q222,$S$136)</f>
        <v>1.1972270703468151E-5</v>
      </c>
      <c r="T222" cm="1">
        <f t="array" ref="T222">ManAcceleration($C$3,$C$4,$C$5,$C$6,$C$7,$C$8,K222,E222,F222,G222,L222,0,N222,O222,P222,Q222,$T$136)</f>
        <v>-6.0626169376381162E-7</v>
      </c>
    </row>
    <row r="223" spans="1:20" x14ac:dyDescent="0.2">
      <c r="A223">
        <f t="shared" si="62"/>
        <v>86</v>
      </c>
      <c r="B223" s="21">
        <f t="shared" si="72"/>
        <v>32.80718862306788</v>
      </c>
      <c r="C223" s="21">
        <f t="shared" si="73"/>
        <v>11.185692904894044</v>
      </c>
      <c r="D223" s="21">
        <f t="shared" si="74"/>
        <v>7.6848402287791764</v>
      </c>
      <c r="E223" s="21">
        <f t="shared" si="75"/>
        <v>1.1846666087480329</v>
      </c>
      <c r="F223" s="21">
        <f t="shared" si="76"/>
        <v>-0.54598750278427943</v>
      </c>
      <c r="G223" s="21">
        <f t="shared" si="77"/>
        <v>9.0332464140181701E-2</v>
      </c>
      <c r="H223" s="21">
        <f t="shared" si="78"/>
        <v>0.83166298980400377</v>
      </c>
      <c r="I223" s="21">
        <f t="shared" si="79"/>
        <v>1.0049248720523558</v>
      </c>
      <c r="J223" s="21">
        <f t="shared" si="80"/>
        <v>9.0332464140181701E-2</v>
      </c>
      <c r="K223" s="67" cm="1">
        <f t="array" ref="K223">-Lininterp(Powering!$A$55:$A$71,Powering!$Y$55:$Y$71,E223/0.514)</f>
        <v>-121.70665941602613</v>
      </c>
      <c r="L223" s="67" cm="1">
        <f t="array" ref="L223">OarForces(SUM(Input!$B$37:$B$39),$C$10,$C$34,$C$35,$C$33,E223,F223,G223, $L$136)</f>
        <v>1669.3943468677107</v>
      </c>
      <c r="M223" s="67"/>
      <c r="N223" s="4" cm="1">
        <f t="array" ref="N223">OarForces(SUM(Input!$B$37:$B$39),$C$10,$C$34,$C$35,$C$33,E223,F223,G223, $N$136)</f>
        <v>7512.2745609046979</v>
      </c>
      <c r="O223" s="67" cm="1">
        <f t="array" ref="O223">$C$11*IF($C$24="Y",RudderForces($C$15,$C$16,$C$13,$C$14,$C$12,$C$23,E223,F223,G223,$O$40),0)</f>
        <v>-836.05477807016518</v>
      </c>
      <c r="P223" s="67" cm="1">
        <f t="array" ref="P223">$C$11*IF($C$24="Y",RudderForces($C$15,$C$16,$C$13,$C$14,$C$12,$C$23,E223,F223,G223,$P$40),0)</f>
        <v>-292.87168319069838</v>
      </c>
      <c r="Q223" s="67" cm="1">
        <f t="array" ref="Q223">$C$11*IF($C$24="Y",RudderForces($C$15,$C$16,$C$13,$C$14,$C$12,$C$23,E223,F223,G223,$Q$40),0)</f>
        <v>2335.7308891251987</v>
      </c>
      <c r="R223" cm="1">
        <f t="array" ref="R223">ManAcceleration($C$3,$C$4,$C$5,$C$6,$C$7,$C$8,K223,E223,F223,G223,L223,0,N223,O223,P223,Q223,$R$136)</f>
        <v>5.4388813700810983E-5</v>
      </c>
      <c r="S223" cm="1">
        <f t="array" ref="S223">ManAcceleration($C$3,$C$4,$C$5,$C$6,$C$7,$C$8,K223,E223,F223,G223,L223,0,N223,O223,P223,Q223,$S$136)</f>
        <v>1.0292567527205448E-5</v>
      </c>
      <c r="T223" cm="1">
        <f t="array" ref="T223">ManAcceleration($C$3,$C$4,$C$5,$C$6,$C$7,$C$8,K223,E223,F223,G223,L223,0,N223,O223,P223,Q223,$T$136)</f>
        <v>-5.208739462635994E-7</v>
      </c>
    </row>
    <row r="224" spans="1:20" x14ac:dyDescent="0.2">
      <c r="A224">
        <f t="shared" si="62"/>
        <v>87</v>
      </c>
      <c r="B224" s="21">
        <f t="shared" si="72"/>
        <v>33.544805829750892</v>
      </c>
      <c r="C224" s="21">
        <f t="shared" si="73"/>
        <v>12.261599876962208</v>
      </c>
      <c r="D224" s="21">
        <f t="shared" si="74"/>
        <v>7.7751721720454121</v>
      </c>
      <c r="E224" s="21">
        <f t="shared" si="75"/>
        <v>1.1847209975617337</v>
      </c>
      <c r="F224" s="21">
        <f t="shared" si="76"/>
        <v>-0.54597721021675227</v>
      </c>
      <c r="G224" s="21">
        <f t="shared" si="77"/>
        <v>9.0331943266235434E-2</v>
      </c>
      <c r="H224" s="21">
        <f t="shared" si="78"/>
        <v>0.73761720668301378</v>
      </c>
      <c r="I224" s="21">
        <f t="shared" si="79"/>
        <v>1.0759069720681642</v>
      </c>
      <c r="J224" s="21">
        <f t="shared" si="80"/>
        <v>9.0331943266235434E-2</v>
      </c>
      <c r="K224" s="67" cm="1">
        <f t="array" ref="K224">-Lininterp(Powering!$A$55:$A$71,Powering!$Y$55:$Y$71,E224/0.514)</f>
        <v>-121.71731390081581</v>
      </c>
      <c r="L224" s="67" cm="1">
        <f t="array" ref="L224">OarForces(SUM(Input!$B$37:$B$39),$C$10,$C$34,$C$35,$C$33,E224,F224,G224, $L$136)</f>
        <v>1669.3830056230663</v>
      </c>
      <c r="M224" s="67"/>
      <c r="N224" s="4" cm="1">
        <f t="array" ref="N224">OarForces(SUM(Input!$B$37:$B$39),$C$10,$C$34,$C$35,$C$33,E224,F224,G224, $N$136)</f>
        <v>7512.2235253037979</v>
      </c>
      <c r="O224" s="67" cm="1">
        <f t="array" ref="O224">$C$11*IF($C$24="Y",RudderForces($C$15,$C$16,$C$13,$C$14,$C$12,$C$23,E224,F224,G224,$O$40),0)</f>
        <v>-836.12190621560876</v>
      </c>
      <c r="P224" s="67" cm="1">
        <f t="array" ref="P224">$C$11*IF($C$24="Y",RudderForces($C$15,$C$16,$C$13,$C$14,$C$12,$C$23,E224,F224,G224,$P$40),0)</f>
        <v>-292.89524949051918</v>
      </c>
      <c r="Q224" s="67" cm="1">
        <f t="array" ref="Q224">$C$11*IF($C$24="Y",RudderForces($C$15,$C$16,$C$13,$C$14,$C$12,$C$23,E224,F224,G224,$Q$40),0)</f>
        <v>2335.9188367404618</v>
      </c>
      <c r="R224" cm="1">
        <f t="array" ref="R224">ManAcceleration($C$3,$C$4,$C$5,$C$6,$C$7,$C$8,K224,E224,F224,G224,L224,0,N224,O224,P224,Q224,$R$136)</f>
        <v>4.9707962542677802E-5</v>
      </c>
      <c r="S224" cm="1">
        <f t="array" ref="S224">ManAcceleration($C$3,$C$4,$C$5,$C$6,$C$7,$C$8,K224,E224,F224,G224,L224,0,N224,O224,P224,Q224,$S$136)</f>
        <v>8.7991709902147597E-6</v>
      </c>
      <c r="T224" cm="1">
        <f t="array" ref="T224">ManAcceleration($C$3,$C$4,$C$5,$C$6,$C$7,$C$8,K224,E224,F224,G224,L224,0,N224,O224,P224,Q224,$T$136)</f>
        <v>-4.4497313059468607E-7</v>
      </c>
    </row>
    <row r="225" spans="1:20" x14ac:dyDescent="0.2">
      <c r="A225">
        <f t="shared" si="62"/>
        <v>88</v>
      </c>
      <c r="B225" s="21">
        <f t="shared" si="72"/>
        <v>34.18235415021536</v>
      </c>
      <c r="C225" s="21">
        <f t="shared" si="73"/>
        <v>13.399710271256744</v>
      </c>
      <c r="D225" s="21">
        <f t="shared" si="74"/>
        <v>7.8655036703385166</v>
      </c>
      <c r="E225" s="21">
        <f t="shared" si="75"/>
        <v>1.1847707055242764</v>
      </c>
      <c r="F225" s="21">
        <f t="shared" si="76"/>
        <v>-0.5459684110457621</v>
      </c>
      <c r="G225" s="21">
        <f t="shared" si="77"/>
        <v>9.0331498293104842E-2</v>
      </c>
      <c r="H225" s="21">
        <f t="shared" si="78"/>
        <v>0.63754832046446674</v>
      </c>
      <c r="I225" s="21">
        <f t="shared" si="79"/>
        <v>1.1381103942945356</v>
      </c>
      <c r="J225" s="21">
        <f t="shared" si="80"/>
        <v>9.0331498293104842E-2</v>
      </c>
      <c r="K225" s="67" cm="1">
        <f t="array" ref="K225">-Lininterp(Powering!$A$55:$A$71,Powering!$Y$55:$Y$71,E225/0.514)</f>
        <v>-121.72705143128955</v>
      </c>
      <c r="L225" s="67" cm="1">
        <f t="array" ref="L225">OarForces(SUM(Input!$B$37:$B$39),$C$10,$C$34,$C$35,$C$33,E225,F225,G225, $L$136)</f>
        <v>1669.372609966797</v>
      </c>
      <c r="M225" s="67"/>
      <c r="N225" s="4" cm="1">
        <f t="array" ref="N225">OarForces(SUM(Input!$B$37:$B$39),$C$10,$C$34,$C$35,$C$33,E225,F225,G225, $N$136)</f>
        <v>7512.1767448505861</v>
      </c>
      <c r="O225" s="67" cm="1">
        <f t="array" ref="O225">$C$11*IF($C$24="Y",RudderForces($C$15,$C$16,$C$13,$C$14,$C$12,$C$23,E225,F225,G225,$O$40),0)</f>
        <v>-836.18328474770487</v>
      </c>
      <c r="P225" s="67" cm="1">
        <f t="array" ref="P225">$C$11*IF($C$24="Y",RudderForces($C$15,$C$16,$C$13,$C$14,$C$12,$C$23,E225,F225,G225,$P$40),0)</f>
        <v>-292.91678933171477</v>
      </c>
      <c r="Q225" s="67" cm="1">
        <f t="array" ref="Q225">$C$11*IF($C$24="Y",RudderForces($C$15,$C$16,$C$13,$C$14,$C$12,$C$23,E225,F225,G225,$Q$40),0)</f>
        <v>2336.0906228000745</v>
      </c>
      <c r="R225" cm="1">
        <f t="array" ref="R225">ManAcceleration($C$3,$C$4,$C$5,$C$6,$C$7,$C$8,K225,E225,F225,G225,L225,0,N225,O225,P225,Q225,$R$136)</f>
        <v>4.5358482754858429E-5</v>
      </c>
      <c r="S225" cm="1">
        <f t="array" ref="S225">ManAcceleration($C$3,$C$4,$C$5,$C$6,$C$7,$C$8,K225,E225,F225,G225,L225,0,N225,O225,P225,Q225,$S$136)</f>
        <v>7.4745597054738228E-6</v>
      </c>
      <c r="T225" cm="1">
        <f t="array" ref="T225">ManAcceleration($C$3,$C$4,$C$5,$C$6,$C$7,$C$8,K225,E225,F225,G225,L225,0,N225,O225,P225,Q225,$T$136)</f>
        <v>-3.7766664625465186E-7</v>
      </c>
    </row>
    <row r="226" spans="1:20" x14ac:dyDescent="0.2">
      <c r="A226">
        <f t="shared" si="62"/>
        <v>89</v>
      </c>
      <c r="B226" s="21">
        <f t="shared" si="72"/>
        <v>34.714627655226202</v>
      </c>
      <c r="C226" s="21">
        <f t="shared" si="73"/>
        <v>14.590738132207662</v>
      </c>
      <c r="D226" s="21">
        <f t="shared" si="74"/>
        <v>7.9558347909649756</v>
      </c>
      <c r="E226" s="21">
        <f t="shared" si="75"/>
        <v>1.1848160640070313</v>
      </c>
      <c r="F226" s="21">
        <f t="shared" si="76"/>
        <v>-0.54596093648605659</v>
      </c>
      <c r="G226" s="21">
        <f t="shared" si="77"/>
        <v>9.0331120626458594E-2</v>
      </c>
      <c r="H226" s="21">
        <f t="shared" si="78"/>
        <v>0.53227350501084247</v>
      </c>
      <c r="I226" s="21">
        <f t="shared" si="79"/>
        <v>1.1910278609509177</v>
      </c>
      <c r="J226" s="21">
        <f t="shared" si="80"/>
        <v>9.0331120626458594E-2</v>
      </c>
      <c r="K226" s="67" cm="1">
        <f t="array" ref="K226">-Lininterp(Powering!$A$55:$A$71,Powering!$Y$55:$Y$71,E226/0.514)</f>
        <v>-121.73593692136947</v>
      </c>
      <c r="L226" s="67" cm="1">
        <f t="array" ref="L226">OarForces(SUM(Input!$B$37:$B$39),$C$10,$C$34,$C$35,$C$33,E226,F226,G226, $L$136)</f>
        <v>1669.363096116512</v>
      </c>
      <c r="M226" s="67"/>
      <c r="N226" s="4" cm="1">
        <f t="array" ref="N226">OarForces(SUM(Input!$B$37:$B$39),$C$10,$C$34,$C$35,$C$33,E226,F226,G226, $N$136)</f>
        <v>7512.1339325243043</v>
      </c>
      <c r="O226" s="67" cm="1">
        <f t="array" ref="O226">$C$11*IF($C$24="Y",RudderForces($C$15,$C$16,$C$13,$C$14,$C$12,$C$23,E226,F226,G226,$O$40),0)</f>
        <v>-836.23931769081662</v>
      </c>
      <c r="P226" s="67" cm="1">
        <f t="array" ref="P226">$C$11*IF($C$24="Y",RudderForces($C$15,$C$16,$C$13,$C$14,$C$12,$C$23,E226,F226,G226,$P$40),0)</f>
        <v>-292.93644593897329</v>
      </c>
      <c r="Q226" s="67" cm="1">
        <f t="array" ref="Q226">$C$11*IF($C$24="Y",RudderForces($C$15,$C$16,$C$13,$C$14,$C$12,$C$23,E226,F226,G226,$Q$40),0)</f>
        <v>2336.2473895596631</v>
      </c>
      <c r="R226" cm="1">
        <f t="array" ref="R226">ManAcceleration($C$3,$C$4,$C$5,$C$6,$C$7,$C$8,K226,E226,F226,G226,L226,0,N226,O226,P226,Q226,$R$136)</f>
        <v>4.1324343103994054E-5</v>
      </c>
      <c r="S226" cm="1">
        <f t="array" ref="S226">ManAcceleration($C$3,$C$4,$C$5,$C$6,$C$7,$C$8,K226,E226,F226,G226,L226,0,N226,O226,P226,Q226,$S$136)</f>
        <v>6.3026069126885269E-6</v>
      </c>
      <c r="T226" cm="1">
        <f t="array" ref="T226">ManAcceleration($C$3,$C$4,$C$5,$C$6,$C$7,$C$8,K226,E226,F226,G226,L226,0,N226,O226,P226,Q226,$T$136)</f>
        <v>-3.1813283659219956E-7</v>
      </c>
    </row>
    <row r="227" spans="1:20" x14ac:dyDescent="0.2">
      <c r="A227">
        <f t="shared" si="62"/>
        <v>90</v>
      </c>
      <c r="B227" s="21">
        <f t="shared" si="72"/>
        <v>35.137279937628982</v>
      </c>
      <c r="C227" s="21">
        <f t="shared" si="73"/>
        <v>15.82496604518068</v>
      </c>
      <c r="D227" s="21">
        <f t="shared" si="74"/>
        <v>8.0461655934585981</v>
      </c>
      <c r="E227" s="21">
        <f t="shared" si="75"/>
        <v>1.1848573883501352</v>
      </c>
      <c r="F227" s="21">
        <f t="shared" si="76"/>
        <v>-0.54595463387914389</v>
      </c>
      <c r="G227" s="21">
        <f t="shared" si="77"/>
        <v>9.0330802493622006E-2</v>
      </c>
      <c r="H227" s="21">
        <f t="shared" si="78"/>
        <v>0.42265228240278163</v>
      </c>
      <c r="I227" s="21">
        <f t="shared" si="79"/>
        <v>1.2342279129730183</v>
      </c>
      <c r="J227" s="21">
        <f t="shared" si="80"/>
        <v>9.0330802493622006E-2</v>
      </c>
      <c r="K227" s="67" cm="1">
        <f t="array" ref="K227">-Lininterp(Powering!$A$55:$A$71,Powering!$Y$55:$Y$71,E227/0.514)</f>
        <v>-121.74403214454289</v>
      </c>
      <c r="L227" s="67" cm="1">
        <f t="array" ref="L227">OarForces(SUM(Input!$B$37:$B$39),$C$10,$C$34,$C$35,$C$33,E227,F227,G227, $L$136)</f>
        <v>1669.3544029775092</v>
      </c>
      <c r="M227" s="67"/>
      <c r="N227" s="4" cm="1">
        <f t="array" ref="N227">OarForces(SUM(Input!$B$37:$B$39),$C$10,$C$34,$C$35,$C$33,E227,F227,G227, $N$136)</f>
        <v>7512.0948133987913</v>
      </c>
      <c r="O227" s="67" cm="1">
        <f t="array" ref="O227">$C$11*IF($C$24="Y",RudderForces($C$15,$C$16,$C$13,$C$14,$C$12,$C$23,E227,F227,G227,$O$40),0)</f>
        <v>-836.29038991833215</v>
      </c>
      <c r="P227" s="67" cm="1">
        <f t="array" ref="P227">$C$11*IF($C$24="Y",RudderForces($C$15,$C$16,$C$13,$C$14,$C$12,$C$23,E227,F227,G227,$P$40),0)</f>
        <v>-292.95435564395166</v>
      </c>
      <c r="Q227" s="67" cm="1">
        <f t="array" ref="Q227">$C$11*IF($C$24="Y",RudderForces($C$15,$C$16,$C$13,$C$14,$C$12,$C$23,E227,F227,G227,$Q$40),0)</f>
        <v>2336.3902243010671</v>
      </c>
      <c r="R227" cm="1">
        <f t="array" ref="R227">ManAcceleration($C$3,$C$4,$C$5,$C$6,$C$7,$C$8,K227,E227,F227,G227,L227,0,N227,O227,P227,Q227,$R$136)</f>
        <v>3.7589349231726059E-5</v>
      </c>
      <c r="S227" cm="1">
        <f t="array" ref="S227">ManAcceleration($C$3,$C$4,$C$5,$C$6,$C$7,$C$8,K227,E227,F227,G227,L227,0,N227,O227,P227,Q227,$S$136)</f>
        <v>5.2684935040302228E-6</v>
      </c>
      <c r="T227" cm="1">
        <f t="array" ref="T227">ManAcceleration($C$3,$C$4,$C$5,$C$6,$C$7,$C$8,K227,E227,F227,G227,L227,0,N227,O227,P227,Q227,$T$136)</f>
        <v>-2.6561659405966203E-7</v>
      </c>
    </row>
  </sheetData>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3F808-808B-40EF-93F6-D6989A98C825}">
  <sheetPr codeName="Sheet7"/>
  <dimension ref="A1:Y146"/>
  <sheetViews>
    <sheetView topLeftCell="A7" zoomScaleNormal="100" workbookViewId="0">
      <selection activeCell="P22" sqref="P22"/>
    </sheetView>
  </sheetViews>
  <sheetFormatPr defaultRowHeight="12.75" x14ac:dyDescent="0.2"/>
  <cols>
    <col min="14" max="14" width="6" customWidth="1"/>
    <col min="15" max="19" width="4.5703125" customWidth="1"/>
    <col min="20" max="24" width="4.7109375" customWidth="1"/>
    <col min="25" max="25" width="4.140625" customWidth="1"/>
    <col min="26" max="26" width="8.85546875" customWidth="1"/>
    <col min="27" max="27" width="9" customWidth="1"/>
  </cols>
  <sheetData>
    <row r="1" spans="1:25" ht="13.5" thickBot="1" x14ac:dyDescent="0.25">
      <c r="A1" s="237" t="s">
        <v>383</v>
      </c>
    </row>
    <row r="2" spans="1:25" ht="13.5" thickBot="1" x14ac:dyDescent="0.25">
      <c r="B2" s="249" t="s">
        <v>248</v>
      </c>
      <c r="C2" s="253"/>
      <c r="D2" s="253"/>
      <c r="E2" s="253"/>
      <c r="F2" s="253"/>
      <c r="G2" s="250"/>
      <c r="H2" s="249" t="s">
        <v>173</v>
      </c>
      <c r="I2" s="253"/>
      <c r="J2" s="253"/>
      <c r="K2" s="253"/>
      <c r="L2" s="253"/>
      <c r="M2" s="250"/>
      <c r="N2" s="249" t="s">
        <v>248</v>
      </c>
      <c r="O2" s="253"/>
      <c r="P2" s="253"/>
      <c r="Q2" s="253"/>
      <c r="R2" s="253"/>
      <c r="S2" s="251"/>
      <c r="T2" s="249" t="s">
        <v>173</v>
      </c>
      <c r="U2" s="253"/>
      <c r="V2" s="253"/>
      <c r="W2" s="253"/>
      <c r="X2" s="253"/>
      <c r="Y2" s="251"/>
    </row>
    <row r="3" spans="1:25" ht="13.5" thickBot="1" x14ac:dyDescent="0.25">
      <c r="B3" s="249" t="s">
        <v>279</v>
      </c>
      <c r="C3" s="253"/>
      <c r="D3" s="293"/>
      <c r="E3" s="253" t="s">
        <v>278</v>
      </c>
      <c r="F3" s="253"/>
      <c r="G3" s="250"/>
      <c r="H3" s="249" t="s">
        <v>279</v>
      </c>
      <c r="I3" s="253"/>
      <c r="J3" s="293"/>
      <c r="K3" s="253" t="s">
        <v>278</v>
      </c>
      <c r="L3" s="253"/>
      <c r="M3" s="250"/>
      <c r="N3" s="249" t="s">
        <v>279</v>
      </c>
      <c r="O3" s="253"/>
      <c r="P3" s="293"/>
      <c r="Q3" s="249" t="s">
        <v>278</v>
      </c>
      <c r="R3" s="253"/>
      <c r="S3" s="251"/>
      <c r="T3" s="249" t="s">
        <v>279</v>
      </c>
      <c r="U3" s="253"/>
      <c r="V3" s="293"/>
      <c r="W3" s="249" t="s">
        <v>278</v>
      </c>
      <c r="X3" s="253"/>
      <c r="Y3" s="251"/>
    </row>
    <row r="4" spans="1:25" ht="13.5" thickBot="1" x14ac:dyDescent="0.25">
      <c r="A4" s="287" t="s">
        <v>382</v>
      </c>
      <c r="B4" s="248" t="s">
        <v>301</v>
      </c>
      <c r="C4" s="260" t="s">
        <v>50</v>
      </c>
      <c r="D4" s="294" t="s">
        <v>49</v>
      </c>
      <c r="E4" s="248" t="s">
        <v>301</v>
      </c>
      <c r="F4" s="260" t="s">
        <v>50</v>
      </c>
      <c r="G4" s="294" t="s">
        <v>49</v>
      </c>
      <c r="H4" s="248" t="s">
        <v>301</v>
      </c>
      <c r="I4" s="260" t="s">
        <v>50</v>
      </c>
      <c r="J4" s="294" t="s">
        <v>49</v>
      </c>
      <c r="K4" s="248" t="s">
        <v>301</v>
      </c>
      <c r="L4" s="260" t="s">
        <v>50</v>
      </c>
      <c r="M4" s="261" t="s">
        <v>49</v>
      </c>
      <c r="N4" s="252" t="s">
        <v>301</v>
      </c>
      <c r="O4" s="254" t="s">
        <v>50</v>
      </c>
      <c r="P4" s="299" t="s">
        <v>49</v>
      </c>
      <c r="Q4" s="252" t="s">
        <v>301</v>
      </c>
      <c r="R4" s="254" t="s">
        <v>50</v>
      </c>
      <c r="S4" s="299" t="s">
        <v>49</v>
      </c>
      <c r="T4" s="252" t="s">
        <v>301</v>
      </c>
      <c r="U4" s="254" t="s">
        <v>50</v>
      </c>
      <c r="V4" s="299" t="s">
        <v>49</v>
      </c>
      <c r="W4" s="252" t="s">
        <v>301</v>
      </c>
      <c r="X4" s="254" t="s">
        <v>50</v>
      </c>
      <c r="Y4" s="299" t="s">
        <v>49</v>
      </c>
    </row>
    <row r="5" spans="1:25" x14ac:dyDescent="0.2">
      <c r="A5" s="288">
        <v>0</v>
      </c>
      <c r="B5" s="255">
        <v>0</v>
      </c>
      <c r="C5" s="276">
        <v>0</v>
      </c>
      <c r="D5" s="295">
        <v>0</v>
      </c>
      <c r="E5" s="262">
        <v>1.7622108162741534</v>
      </c>
      <c r="F5" s="262">
        <v>0</v>
      </c>
      <c r="G5" s="278">
        <v>0</v>
      </c>
      <c r="H5" s="276">
        <v>0</v>
      </c>
      <c r="I5" s="256">
        <v>0</v>
      </c>
      <c r="J5" s="256">
        <v>0</v>
      </c>
      <c r="K5" s="256">
        <v>1.6506309348835591</v>
      </c>
      <c r="L5" s="256">
        <v>0</v>
      </c>
      <c r="M5" s="256">
        <v>0</v>
      </c>
      <c r="N5" s="300">
        <v>46.55769579327945</v>
      </c>
      <c r="O5" s="300">
        <v>81.466226683198343</v>
      </c>
      <c r="P5" s="300">
        <v>2.957808178681367</v>
      </c>
      <c r="Q5" s="300">
        <v>1.6163904133709059</v>
      </c>
      <c r="R5" s="300">
        <v>-0.42283287762346872</v>
      </c>
      <c r="S5" s="300">
        <v>4.3054883537778782E-2</v>
      </c>
      <c r="T5" s="300">
        <v>67.99772660110709</v>
      </c>
      <c r="U5" s="300">
        <v>64.932198739065143</v>
      </c>
      <c r="V5" s="300">
        <v>1.9679058674195375</v>
      </c>
      <c r="W5" s="300">
        <v>1.3421356530804398</v>
      </c>
      <c r="X5" s="300">
        <v>-0.17098975512470049</v>
      </c>
      <c r="Y5" s="300">
        <v>2.7364780803653108E-2</v>
      </c>
    </row>
    <row r="6" spans="1:25" x14ac:dyDescent="0.2">
      <c r="A6" s="227">
        <f>A5+1</f>
        <v>1</v>
      </c>
      <c r="B6" s="257">
        <v>1.7745825851967372</v>
      </c>
      <c r="C6" s="214">
        <v>-1.7320212474884293E-2</v>
      </c>
      <c r="D6" s="296">
        <v>4.0086957738386273E-3</v>
      </c>
      <c r="E6" s="263">
        <v>1.7745825851967372</v>
      </c>
      <c r="F6" s="263">
        <v>-1.7320212474884293E-2</v>
      </c>
      <c r="G6" s="137">
        <v>4.0086957738386273E-3</v>
      </c>
      <c r="H6" s="214">
        <v>1.6240281286266571</v>
      </c>
      <c r="I6" s="258">
        <v>-1.4168621196726232E-2</v>
      </c>
      <c r="J6" s="258">
        <v>3.7011282179304698E-3</v>
      </c>
      <c r="K6" s="258">
        <v>1.6240281286266571</v>
      </c>
      <c r="L6" s="258">
        <v>-1.4168621196726232E-2</v>
      </c>
      <c r="M6" s="258">
        <v>3.7011282179304698E-3</v>
      </c>
      <c r="N6" s="126">
        <v>45.046203579736186</v>
      </c>
      <c r="O6" s="126">
        <v>82.177643482963362</v>
      </c>
      <c r="P6" s="126">
        <v>3.0008783381252098</v>
      </c>
      <c r="Q6" s="126">
        <v>1.6160499171606029</v>
      </c>
      <c r="R6" s="126">
        <v>-0.42320827004563144</v>
      </c>
      <c r="S6" s="126">
        <v>4.3070159443842952E-2</v>
      </c>
      <c r="T6" s="126">
        <v>67.636440378333617</v>
      </c>
      <c r="U6" s="126">
        <v>66.23599150860511</v>
      </c>
      <c r="V6" s="126">
        <v>1.9952757959007255</v>
      </c>
      <c r="W6" s="126">
        <v>1.3420642392626891</v>
      </c>
      <c r="X6" s="126">
        <v>-0.17107570944721992</v>
      </c>
      <c r="Y6" s="126">
        <v>2.7369928481188008E-2</v>
      </c>
    </row>
    <row r="7" spans="1:25" x14ac:dyDescent="0.2">
      <c r="A7" s="227">
        <f t="shared" ref="A7:A70" si="0">A6+1</f>
        <v>2</v>
      </c>
      <c r="B7" s="257">
        <v>3.5588336083282184</v>
      </c>
      <c r="C7" s="214">
        <v>-4.4580206630958789E-2</v>
      </c>
      <c r="D7" s="296">
        <v>1.1667521782303531E-2</v>
      </c>
      <c r="E7" s="263">
        <v>1.7841274102825666</v>
      </c>
      <c r="F7" s="263">
        <v>-3.4412275506702242E-2</v>
      </c>
      <c r="G7" s="137">
        <v>7.6588260084649046E-3</v>
      </c>
      <c r="H7" s="214">
        <v>3.2242134523728891</v>
      </c>
      <c r="I7" s="258">
        <v>-3.5035074712947582E-2</v>
      </c>
      <c r="J7" s="258">
        <v>1.0561324168254628E-2</v>
      </c>
      <c r="K7" s="258">
        <v>1.600097134565762</v>
      </c>
      <c r="L7" s="258">
        <v>-2.6788788132643841E-2</v>
      </c>
      <c r="M7" s="258">
        <v>6.8601959503241574E-3</v>
      </c>
      <c r="N7" s="126">
        <v>43.505852002551592</v>
      </c>
      <c r="O7" s="126">
        <v>82.823627874704968</v>
      </c>
      <c r="P7" s="126">
        <v>3.0439629888998239</v>
      </c>
      <c r="Q7" s="126">
        <v>1.6157264164760856</v>
      </c>
      <c r="R7" s="126">
        <v>-0.42356459107223737</v>
      </c>
      <c r="S7" s="126">
        <v>4.3084650774614035E-2</v>
      </c>
      <c r="T7" s="126">
        <v>67.239711344139693</v>
      </c>
      <c r="U7" s="126">
        <v>67.529380794690894</v>
      </c>
      <c r="V7" s="126">
        <v>2.0226506069943424</v>
      </c>
      <c r="W7" s="126">
        <v>1.3419966363654801</v>
      </c>
      <c r="X7" s="126">
        <v>-0.17115723740953037</v>
      </c>
      <c r="Y7" s="126">
        <v>2.7374811093617061E-2</v>
      </c>
    </row>
    <row r="8" spans="1:25" x14ac:dyDescent="0.2">
      <c r="A8" s="227">
        <f t="shared" si="0"/>
        <v>3</v>
      </c>
      <c r="B8" s="257">
        <v>5.3504235398028621</v>
      </c>
      <c r="C8" s="214">
        <v>-7.4889189116271251E-2</v>
      </c>
      <c r="D8" s="296">
        <v>2.2631125951728587E-2</v>
      </c>
      <c r="E8" s="263">
        <v>1.7911143646456755</v>
      </c>
      <c r="F8" s="263">
        <v>-5.120985979800842E-2</v>
      </c>
      <c r="G8" s="137">
        <v>1.0963604169425057E-2</v>
      </c>
      <c r="H8" s="214">
        <v>4.8029792638129445</v>
      </c>
      <c r="I8" s="258">
        <v>-5.6439956574369177E-2</v>
      </c>
      <c r="J8" s="258">
        <v>2.0113962800688036E-2</v>
      </c>
      <c r="K8" s="258">
        <v>1.5784517035577172</v>
      </c>
      <c r="L8" s="258">
        <v>-3.8077235656208394E-2</v>
      </c>
      <c r="M8" s="258">
        <v>9.5526386324334082E-3</v>
      </c>
      <c r="N8" s="126">
        <v>41.939445311987363</v>
      </c>
      <c r="O8" s="126">
        <v>83.402974461508904</v>
      </c>
      <c r="P8" s="126">
        <v>3.0870613870237884</v>
      </c>
      <c r="Q8" s="126">
        <v>1.6154190780680766</v>
      </c>
      <c r="R8" s="126">
        <v>-0.42390280737385666</v>
      </c>
      <c r="S8" s="126">
        <v>4.3098398123964737E-2</v>
      </c>
      <c r="T8" s="126">
        <v>66.807826601856604</v>
      </c>
      <c r="U8" s="126">
        <v>68.811402649235148</v>
      </c>
      <c r="V8" s="126">
        <v>2.0500300493450458</v>
      </c>
      <c r="W8" s="126">
        <v>1.3419326320116016</v>
      </c>
      <c r="X8" s="126">
        <v>-0.1712345680300798</v>
      </c>
      <c r="Y8" s="126">
        <v>2.737944235070338E-2</v>
      </c>
    </row>
    <row r="9" spans="1:25" x14ac:dyDescent="0.2">
      <c r="A9" s="227">
        <f t="shared" si="0"/>
        <v>4</v>
      </c>
      <c r="B9" s="257">
        <v>7.1473209138464897</v>
      </c>
      <c r="C9" s="214">
        <v>-0.10188797346551663</v>
      </c>
      <c r="D9" s="296">
        <v>3.6573148669592145E-2</v>
      </c>
      <c r="E9" s="263">
        <v>1.7958262764064417</v>
      </c>
      <c r="F9" s="263">
        <v>-6.7654210285816807E-2</v>
      </c>
      <c r="G9" s="137">
        <v>1.3942022717863562E-2</v>
      </c>
      <c r="H9" s="214">
        <v>6.3624331084956518</v>
      </c>
      <c r="I9" s="258">
        <v>-7.3293048634773178E-2</v>
      </c>
      <c r="J9" s="258">
        <v>3.1959688412345838E-2</v>
      </c>
      <c r="K9" s="258">
        <v>1.5587994404175718</v>
      </c>
      <c r="L9" s="258">
        <v>-4.8214364680439568E-2</v>
      </c>
      <c r="M9" s="258">
        <v>1.1845725611657806E-2</v>
      </c>
      <c r="N9" s="126">
        <v>40.349841027105562</v>
      </c>
      <c r="O9" s="126">
        <v>83.914598988666313</v>
      </c>
      <c r="P9" s="126">
        <v>3.1301728269800084</v>
      </c>
      <c r="Q9" s="126">
        <v>1.6151271081774117</v>
      </c>
      <c r="R9" s="126">
        <v>-0.42422383682922443</v>
      </c>
      <c r="S9" s="126">
        <v>4.3111439956219806E-2</v>
      </c>
      <c r="T9" s="126">
        <v>66.341100101444866</v>
      </c>
      <c r="U9" s="126">
        <v>70.081100767912176</v>
      </c>
      <c r="V9" s="126">
        <v>2.077413884590857</v>
      </c>
      <c r="W9" s="126">
        <v>1.3418720266353434</v>
      </c>
      <c r="X9" s="126">
        <v>-0.17130791835791212</v>
      </c>
      <c r="Y9" s="126">
        <v>2.7383835245811214E-2</v>
      </c>
    </row>
    <row r="10" spans="1:25" x14ac:dyDescent="0.2">
      <c r="A10" s="227">
        <f t="shared" si="0"/>
        <v>5</v>
      </c>
      <c r="B10" s="257">
        <v>8.9477255883171534</v>
      </c>
      <c r="C10" s="214">
        <v>-0.11976325163711361</v>
      </c>
      <c r="D10" s="296">
        <v>5.3190002703976572E-2</v>
      </c>
      <c r="E10" s="263">
        <v>1.7985470928808311</v>
      </c>
      <c r="F10" s="263">
        <v>-8.3695114047577207E-2</v>
      </c>
      <c r="G10" s="137">
        <v>1.6616854034384423E-2</v>
      </c>
      <c r="H10" s="214">
        <v>7.9043910251691161</v>
      </c>
      <c r="I10" s="258">
        <v>-8.1376522774601112E-2</v>
      </c>
      <c r="J10" s="258">
        <v>4.5758355508998573E-2</v>
      </c>
      <c r="K10" s="258">
        <v>1.5409121877388949</v>
      </c>
      <c r="L10" s="258">
        <v>-5.735145180265494E-2</v>
      </c>
      <c r="M10" s="258">
        <v>1.3798667096652733E-2</v>
      </c>
      <c r="N10" s="126">
        <v>38.739944510495036</v>
      </c>
      <c r="O10" s="126">
        <v>84.357540761362728</v>
      </c>
      <c r="P10" s="126">
        <v>3.1732966397008138</v>
      </c>
      <c r="Q10" s="126">
        <v>1.6148497507836179</v>
      </c>
      <c r="R10" s="126">
        <v>-0.42452855096945363</v>
      </c>
      <c r="S10" s="126">
        <v>4.3123812720805232E-2</v>
      </c>
      <c r="T10" s="126">
        <v>65.839872409664352</v>
      </c>
      <c r="U10" s="126">
        <v>71.337527269847158</v>
      </c>
      <c r="V10" s="126">
        <v>2.1048018866851295</v>
      </c>
      <c r="W10" s="126">
        <v>1.3418146326092137</v>
      </c>
      <c r="X10" s="126">
        <v>-0.17137749411166264</v>
      </c>
      <c r="Y10" s="126">
        <v>2.7388002094272567E-2</v>
      </c>
    </row>
    <row r="11" spans="1:25" x14ac:dyDescent="0.2">
      <c r="A11" s="227">
        <f t="shared" si="0"/>
        <v>6</v>
      </c>
      <c r="B11" s="257">
        <v>10.750011419349352</v>
      </c>
      <c r="C11" s="214">
        <v>-0.12324105568261577</v>
      </c>
      <c r="D11" s="296">
        <v>7.2202944491132223E-2</v>
      </c>
      <c r="E11" s="263">
        <v>1.7995520426039799</v>
      </c>
      <c r="F11" s="263">
        <v>-9.9291277664494096E-2</v>
      </c>
      <c r="G11" s="137">
        <v>1.9012941787155655E-2</v>
      </c>
      <c r="H11" s="214">
        <v>9.4303976924179729</v>
      </c>
      <c r="I11" s="258">
        <v>-7.7185052352309089E-2</v>
      </c>
      <c r="J11" s="258">
        <v>6.1221348977404326E-2</v>
      </c>
      <c r="K11" s="258">
        <v>1.5246010768004237</v>
      </c>
      <c r="L11" s="258">
        <v>-6.5616107254633446E-2</v>
      </c>
      <c r="M11" s="258">
        <v>1.5462993468405753E-2</v>
      </c>
      <c r="N11" s="126">
        <v>37.112703440701807</v>
      </c>
      <c r="O11" s="126">
        <v>84.73096480902592</v>
      </c>
      <c r="P11" s="126">
        <v>3.216432190661231</v>
      </c>
      <c r="Q11" s="126">
        <v>1.6145862859208415</v>
      </c>
      <c r="R11" s="126">
        <v>-0.42481777730141668</v>
      </c>
      <c r="S11" s="126">
        <v>4.3135550960417372E-2</v>
      </c>
      <c r="T11" s="126">
        <v>65.304510458269633</v>
      </c>
      <c r="U11" s="126">
        <v>72.579743467914156</v>
      </c>
      <c r="V11" s="126">
        <v>2.1321938412547023</v>
      </c>
      <c r="W11" s="126">
        <v>1.3417602734396292</v>
      </c>
      <c r="X11" s="126">
        <v>-0.17144349028293931</v>
      </c>
      <c r="Y11" s="126">
        <v>2.7391954569573027E-2</v>
      </c>
    </row>
    <row r="12" spans="1:25" x14ac:dyDescent="0.2">
      <c r="A12" s="227">
        <f t="shared" si="0"/>
        <v>7</v>
      </c>
      <c r="B12" s="257">
        <v>12.552677984101022</v>
      </c>
      <c r="C12" s="214">
        <v>-0.10756565930371334</v>
      </c>
      <c r="D12" s="296">
        <v>9.3358771912800967E-2</v>
      </c>
      <c r="E12" s="263">
        <v>1.7991005429750579</v>
      </c>
      <c r="F12" s="263">
        <v>-0.11441021804050697</v>
      </c>
      <c r="G12" s="137">
        <v>2.1155827421668744E-2</v>
      </c>
      <c r="H12" s="214">
        <v>10.941687199378165</v>
      </c>
      <c r="I12" s="258">
        <v>-5.7799789778164176E-2</v>
      </c>
      <c r="J12" s="258">
        <v>7.8104467969046437E-2</v>
      </c>
      <c r="K12" s="258">
        <v>1.5096442451395022</v>
      </c>
      <c r="L12" s="258">
        <v>-7.3116450749681913E-2</v>
      </c>
      <c r="M12" s="258">
        <v>1.6883118991642115E-2</v>
      </c>
      <c r="N12" s="126">
        <v>35.471102194191189</v>
      </c>
      <c r="O12" s="126">
        <v>85.034163792786913</v>
      </c>
      <c r="P12" s="126">
        <v>3.2595788780743438</v>
      </c>
      <c r="Q12" s="126">
        <v>1.6143360280594079</v>
      </c>
      <c r="R12" s="126">
        <v>-0.42509230151613497</v>
      </c>
      <c r="S12" s="126">
        <v>4.3146687413112735E-2</v>
      </c>
      <c r="T12" s="126">
        <v>64.735407270604952</v>
      </c>
      <c r="U12" s="126">
        <v>73.806820629191975</v>
      </c>
      <c r="V12" s="126">
        <v>2.1595895449922007</v>
      </c>
      <c r="W12" s="126">
        <v>1.341708783025358</v>
      </c>
      <c r="X12" s="126">
        <v>-0.17150609170624129</v>
      </c>
      <c r="Y12" s="126">
        <v>2.7395703737498469E-2</v>
      </c>
    </row>
    <row r="13" spans="1:25" x14ac:dyDescent="0.2">
      <c r="A13" s="227">
        <f t="shared" si="0"/>
        <v>8</v>
      </c>
      <c r="B13" s="257">
        <v>14.354310546641758</v>
      </c>
      <c r="C13" s="214">
        <v>-6.8469215116830823E-2</v>
      </c>
      <c r="D13" s="296">
        <v>0.11642948275468525</v>
      </c>
      <c r="E13" s="263">
        <v>1.7974315708440201</v>
      </c>
      <c r="F13" s="263">
        <v>-0.1290277895972588</v>
      </c>
      <c r="G13" s="137">
        <v>2.3070710841884279E-2</v>
      </c>
      <c r="H13" s="214">
        <v>12.439290518732896</v>
      </c>
      <c r="I13" s="258">
        <v>-2.0780064522515171E-2</v>
      </c>
      <c r="J13" s="258">
        <v>9.6201399582509256E-2</v>
      </c>
      <c r="K13" s="258">
        <v>1.4959261874311245</v>
      </c>
      <c r="L13" s="258">
        <v>-7.9943754966183139E-2</v>
      </c>
      <c r="M13" s="258">
        <v>1.8096931613462826E-2</v>
      </c>
      <c r="N13" s="126">
        <v>33.818156148753182</v>
      </c>
      <c r="O13" s="126">
        <v>85.266559653026704</v>
      </c>
      <c r="P13" s="126">
        <v>3.3027361311830341</v>
      </c>
      <c r="Q13" s="126">
        <v>1.6140983245512712</v>
      </c>
      <c r="R13" s="126">
        <v>-0.42535286958774443</v>
      </c>
      <c r="S13" s="126">
        <v>4.3157253108690292E-2</v>
      </c>
      <c r="T13" s="126">
        <v>64.132981666975013</v>
      </c>
      <c r="U13" s="126">
        <v>75.017840725130213</v>
      </c>
      <c r="V13" s="126">
        <v>2.1869888050805733</v>
      </c>
      <c r="W13" s="126">
        <v>1.3416600049731096</v>
      </c>
      <c r="X13" s="126">
        <v>-0.17156547359741817</v>
      </c>
      <c r="Y13" s="126">
        <v>2.7399260088372679E-2</v>
      </c>
    </row>
    <row r="14" spans="1:25" x14ac:dyDescent="0.2">
      <c r="A14" s="227">
        <f t="shared" si="0"/>
        <v>9</v>
      </c>
      <c r="B14" s="257">
        <v>16.153547275976255</v>
      </c>
      <c r="C14" s="214">
        <v>-2.1363586161169401E-3</v>
      </c>
      <c r="D14" s="296">
        <v>0.1412111973464002</v>
      </c>
      <c r="E14" s="263">
        <v>1.7947610938308911</v>
      </c>
      <c r="F14" s="263">
        <v>-0.1431274680443676</v>
      </c>
      <c r="G14" s="137">
        <v>2.4781714591714965E-2</v>
      </c>
      <c r="H14" s="214">
        <v>13.924054345642627</v>
      </c>
      <c r="I14" s="258">
        <v>3.592204263169807E-2</v>
      </c>
      <c r="J14" s="258">
        <v>0.1153380766125477</v>
      </c>
      <c r="K14" s="258">
        <v>1.4833450073805849</v>
      </c>
      <c r="L14" s="258">
        <v>-8.6176213275183391E-2</v>
      </c>
      <c r="M14" s="258">
        <v>1.9136677030038452E-2</v>
      </c>
      <c r="N14" s="126">
        <v>32.156905920325528</v>
      </c>
      <c r="O14" s="126">
        <v>85.427704994499763</v>
      </c>
      <c r="P14" s="126">
        <v>3.3459034086427457</v>
      </c>
      <c r="Q14" s="126">
        <v>1.6138725541375756</v>
      </c>
      <c r="R14" s="126">
        <v>-0.42560018976834457</v>
      </c>
      <c r="S14" s="126">
        <v>4.3167277459711731E-2</v>
      </c>
      <c r="T14" s="126">
        <v>63.497677949170608</v>
      </c>
      <c r="U14" s="126">
        <v>76.211897170981231</v>
      </c>
      <c r="V14" s="126">
        <v>2.2143914386480787</v>
      </c>
      <c r="W14" s="126">
        <v>1.3416137919652149</v>
      </c>
      <c r="X14" s="126">
        <v>-0.1716218020625376</v>
      </c>
      <c r="Y14" s="126">
        <v>2.7402633567505458E-2</v>
      </c>
    </row>
    <row r="15" spans="1:25" ht="13.5" thickBot="1" x14ac:dyDescent="0.25">
      <c r="A15" s="289">
        <f t="shared" si="0"/>
        <v>10</v>
      </c>
      <c r="B15" s="273">
        <v>17.949052702403918</v>
      </c>
      <c r="C15" s="274">
        <v>9.4833023708598335E-2</v>
      </c>
      <c r="D15" s="297">
        <v>0.16752260244598022</v>
      </c>
      <c r="E15" s="275">
        <v>1.7912811241070397</v>
      </c>
      <c r="F15" s="275">
        <v>-0.15669949539625005</v>
      </c>
      <c r="G15" s="187">
        <v>2.6311405099580021E-2</v>
      </c>
      <c r="H15" s="274">
        <v>15.396658473920864</v>
      </c>
      <c r="I15" s="286">
        <v>0.11403096550247555</v>
      </c>
      <c r="J15" s="286">
        <v>0.13536773285208942</v>
      </c>
      <c r="K15" s="286">
        <v>1.4718090219052571</v>
      </c>
      <c r="L15" s="286">
        <v>-9.1881039896306443E-2</v>
      </c>
      <c r="M15" s="286">
        <v>2.0029656239541723E-2</v>
      </c>
      <c r="N15" s="301">
        <v>30.490411545251796</v>
      </c>
      <c r="O15" s="301">
        <v>85.517284207043645</v>
      </c>
      <c r="P15" s="301">
        <v>3.3890801969902267</v>
      </c>
      <c r="Q15" s="301">
        <v>1.6136581255165403</v>
      </c>
      <c r="R15" s="301">
        <v>-0.42583493448379089</v>
      </c>
      <c r="S15" s="301">
        <v>4.3176788347481142E-2</v>
      </c>
      <c r="T15" s="301">
        <v>62.82996556453179</v>
      </c>
      <c r="U15" s="301">
        <v>77.388095554058026</v>
      </c>
      <c r="V15" s="301">
        <v>2.2417972722520401</v>
      </c>
      <c r="W15" s="301">
        <v>1.3415700051748343</v>
      </c>
      <c r="X15" s="301">
        <v>-0.1716752345789033</v>
      </c>
      <c r="Y15" s="301">
        <v>2.7405833603961524E-2</v>
      </c>
    </row>
    <row r="16" spans="1:25" x14ac:dyDescent="0.2">
      <c r="A16" s="288">
        <f t="shared" si="0"/>
        <v>11</v>
      </c>
      <c r="B16" s="255">
        <v>19.739496467873522</v>
      </c>
      <c r="C16" s="277">
        <v>0.2254605824772983</v>
      </c>
      <c r="D16" s="278">
        <v>0.19520312189885658</v>
      </c>
      <c r="E16" s="262">
        <v>1.7871599757992183</v>
      </c>
      <c r="F16" s="256">
        <v>-0.16973996971892136</v>
      </c>
      <c r="G16" s="278">
        <v>2.7680519452876366E-2</v>
      </c>
      <c r="H16" s="276">
        <v>16.857631644497047</v>
      </c>
      <c r="I16" s="277">
        <v>0.21500366500717616</v>
      </c>
      <c r="J16" s="256">
        <v>0.15616662466781156</v>
      </c>
      <c r="K16" s="256">
        <v>1.4612345925901891</v>
      </c>
      <c r="L16" s="256">
        <v>-9.7116201565297766E-2</v>
      </c>
      <c r="M16" s="278">
        <v>2.0798891815722156E-2</v>
      </c>
    </row>
    <row r="17" spans="1:16" x14ac:dyDescent="0.2">
      <c r="A17" s="227">
        <f t="shared" si="0"/>
        <v>12</v>
      </c>
      <c r="B17" s="257">
        <v>21.523536537718822</v>
      </c>
      <c r="C17" s="85">
        <v>0.39242433341185223</v>
      </c>
      <c r="D17" s="137">
        <v>0.22411097002459329</v>
      </c>
      <c r="E17" s="263">
        <v>1.7825433582063919</v>
      </c>
      <c r="F17" s="258">
        <v>-0.1822499411633445</v>
      </c>
      <c r="G17" s="137">
        <v>2.8907848125736713E-2</v>
      </c>
      <c r="H17" s="214">
        <v>18.307365910741673</v>
      </c>
      <c r="I17" s="85">
        <v>0.34007482034214659</v>
      </c>
      <c r="J17" s="258">
        <v>0.17763036583309422</v>
      </c>
      <c r="K17" s="258">
        <v>1.4515447405854784</v>
      </c>
      <c r="L17" s="258">
        <v>-0.10193185321237246</v>
      </c>
      <c r="M17" s="137">
        <v>2.1463741165282664E-2</v>
      </c>
    </row>
    <row r="18" spans="1:16" x14ac:dyDescent="0.2">
      <c r="A18" s="227">
        <f t="shared" si="0"/>
        <v>13</v>
      </c>
      <c r="B18" s="257">
        <v>23.299806163750418</v>
      </c>
      <c r="C18" s="85">
        <v>0.59809061033482069</v>
      </c>
      <c r="D18" s="137">
        <v>0.25412120002724214</v>
      </c>
      <c r="E18" s="263">
        <v>1.7775560016657115</v>
      </c>
      <c r="F18" s="258">
        <v>-0.19423455606042817</v>
      </c>
      <c r="G18" s="137">
        <v>3.0010230002648835E-2</v>
      </c>
      <c r="H18" s="214">
        <v>19.746129622885032</v>
      </c>
      <c r="I18" s="85">
        <v>0.49029322155647459</v>
      </c>
      <c r="J18" s="258">
        <v>0.19967081197627037</v>
      </c>
      <c r="K18" s="258">
        <v>1.44266825168674</v>
      </c>
      <c r="L18" s="258">
        <v>-0.10637153293554411</v>
      </c>
      <c r="M18" s="137">
        <v>2.2040446143176153E-2</v>
      </c>
    </row>
    <row r="19" spans="1:16" x14ac:dyDescent="0.2">
      <c r="A19" s="227">
        <f t="shared" si="0"/>
        <v>14</v>
      </c>
      <c r="B19" s="257">
        <v>25.066904004764371</v>
      </c>
      <c r="C19" s="85">
        <v>0.84454267977845854</v>
      </c>
      <c r="D19" s="137">
        <v>0.28512382365407751</v>
      </c>
      <c r="E19" s="263">
        <v>1.7723035791009123</v>
      </c>
      <c r="F19" s="258">
        <v>-0.20570227455066939</v>
      </c>
      <c r="G19" s="137">
        <v>3.1002623626835358E-2</v>
      </c>
      <c r="H19" s="214">
        <v>21.174079158781112</v>
      </c>
      <c r="I19" s="85">
        <v>0.66655103499834367</v>
      </c>
      <c r="J19" s="258">
        <v>0.22221342800579838</v>
      </c>
      <c r="K19" s="258">
        <v>1.4345390809867127</v>
      </c>
      <c r="L19" s="258">
        <v>-0.11047315957703396</v>
      </c>
      <c r="M19" s="137">
        <v>2.2542616029527996E-2</v>
      </c>
    </row>
    <row r="20" spans="1:16" x14ac:dyDescent="0.2">
      <c r="A20" s="227">
        <f t="shared" si="0"/>
        <v>15</v>
      </c>
      <c r="B20" s="257">
        <v>26.823386912184297</v>
      </c>
      <c r="C20" s="85">
        <v>1.1336058767588972</v>
      </c>
      <c r="D20" s="137">
        <v>0.31702205000510797</v>
      </c>
      <c r="E20" s="263">
        <v>1.7668747469207478</v>
      </c>
      <c r="F20" s="258">
        <v>-0.21666417470513671</v>
      </c>
      <c r="G20" s="137">
        <v>3.1898226351030484E-2</v>
      </c>
      <c r="H20" s="214">
        <v>22.591269533766059</v>
      </c>
      <c r="I20" s="85">
        <v>0.86960731457086904</v>
      </c>
      <c r="J20" s="258">
        <v>0.24519507373128541</v>
      </c>
      <c r="K20" s="258">
        <v>1.4270959354586823</v>
      </c>
      <c r="L20" s="258">
        <v>-0.11426986751162287</v>
      </c>
      <c r="M20" s="137">
        <v>2.2981645725487013E-2</v>
      </c>
    </row>
    <row r="21" spans="1:16" x14ac:dyDescent="0.2">
      <c r="A21" s="227">
        <f t="shared" si="0"/>
        <v>16</v>
      </c>
      <c r="B21" s="257">
        <v>28.567764973557111</v>
      </c>
      <c r="C21" s="85">
        <v>1.466869340216737</v>
      </c>
      <c r="D21" s="137">
        <v>0.3497306701270641</v>
      </c>
      <c r="E21" s="263">
        <v>1.7613431805639053</v>
      </c>
      <c r="F21" s="258">
        <v>-0.22713334707990174</v>
      </c>
      <c r="G21" s="137">
        <v>3.2708620121956133E-2</v>
      </c>
      <c r="H21" s="214">
        <v>23.997664016967295</v>
      </c>
      <c r="I21" s="85">
        <v>1.1001068805044658</v>
      </c>
      <c r="J21" s="258">
        <v>0.26856214756295488</v>
      </c>
      <c r="K21" s="258">
        <v>1.4202819585183513</v>
      </c>
      <c r="L21" s="258">
        <v>-0.11779070668660013</v>
      </c>
      <c r="M21" s="137">
        <v>2.3367073831669478E-2</v>
      </c>
      <c r="P21" s="21"/>
    </row>
    <row r="22" spans="1:16" x14ac:dyDescent="0.2">
      <c r="A22" s="227">
        <f t="shared" si="0"/>
        <v>17</v>
      </c>
      <c r="B22" s="257">
        <v>30.298498475788179</v>
      </c>
      <c r="C22" s="85">
        <v>1.8457045652432564</v>
      </c>
      <c r="D22" s="137">
        <v>0.38317459872265469</v>
      </c>
      <c r="E22" s="263">
        <v>1.7557695216133549</v>
      </c>
      <c r="F22" s="258">
        <v>-0.23712437757330851</v>
      </c>
      <c r="G22" s="137">
        <v>3.3443928595590561E-2</v>
      </c>
      <c r="H22" s="214">
        <v>25.393142870607921</v>
      </c>
      <c r="I22" s="85">
        <v>1.3585954779078717</v>
      </c>
      <c r="J22" s="258">
        <v>0.29226903422261924</v>
      </c>
      <c r="K22" s="258">
        <v>1.4140444704231681</v>
      </c>
      <c r="L22" s="258">
        <v>-0.1210612308354525</v>
      </c>
      <c r="M22" s="137">
        <v>2.3706886659664361E-2</v>
      </c>
      <c r="P22" s="21"/>
    </row>
    <row r="23" spans="1:16" x14ac:dyDescent="0.2">
      <c r="A23" s="227">
        <f t="shared" si="0"/>
        <v>18</v>
      </c>
      <c r="B23" s="257">
        <v>32.013996505478907</v>
      </c>
      <c r="C23" s="85">
        <v>2.2712810682955431</v>
      </c>
      <c r="D23" s="137">
        <v>0.41728757378617731</v>
      </c>
      <c r="E23" s="263">
        <v>1.7502031854857869</v>
      </c>
      <c r="F23" s="258">
        <v>-0.24665291268985065</v>
      </c>
      <c r="G23" s="137">
        <v>3.4112975063522649E-2</v>
      </c>
      <c r="H23" s="214">
        <v>26.777511315946413</v>
      </c>
      <c r="I23" s="85">
        <v>1.6455319541806737</v>
      </c>
      <c r="J23" s="258">
        <v>0.31627680890689491</v>
      </c>
      <c r="K23" s="258">
        <v>1.4083347375032267</v>
      </c>
      <c r="L23" s="258">
        <v>-0.12410399270966826</v>
      </c>
      <c r="M23" s="137">
        <v>2.4007774684275649E-2</v>
      </c>
      <c r="P23" s="21"/>
    </row>
    <row r="24" spans="1:16" x14ac:dyDescent="0.2">
      <c r="A24" s="227">
        <f t="shared" si="0"/>
        <v>19</v>
      </c>
      <c r="B24" s="257">
        <v>33.712616948017839</v>
      </c>
      <c r="C24" s="85">
        <v>2.7445794982968534</v>
      </c>
      <c r="D24" s="137">
        <v>0.45201100813180906</v>
      </c>
      <c r="E24" s="263">
        <v>1.7446840024388062</v>
      </c>
      <c r="F24" s="258">
        <v>-0.25573529925876726</v>
      </c>
      <c r="G24" s="137">
        <v>3.4723434345631771E-2</v>
      </c>
      <c r="H24" s="214">
        <v>28.150506816405041</v>
      </c>
      <c r="I24" s="85">
        <v>1.9612980521701968</v>
      </c>
      <c r="J24" s="258">
        <v>0.34055215673678046</v>
      </c>
      <c r="K24" s="258">
        <v>1.403107755262391</v>
      </c>
      <c r="L24" s="258">
        <v>-0.12693896187423509</v>
      </c>
      <c r="M24" s="137">
        <v>2.4275347829885562E-2</v>
      </c>
    </row>
    <row r="25" spans="1:16" ht="13.5" thickBot="1" x14ac:dyDescent="0.25">
      <c r="A25" s="289">
        <f t="shared" si="0"/>
        <v>20</v>
      </c>
      <c r="B25" s="273">
        <v>35.392667682523545</v>
      </c>
      <c r="C25" s="186">
        <v>3.2664025342981833</v>
      </c>
      <c r="D25" s="187">
        <v>0.48729298265706467</v>
      </c>
      <c r="E25" s="275">
        <v>1.7392436814978416</v>
      </c>
      <c r="F25" s="286">
        <v>-0.26438828980242263</v>
      </c>
      <c r="G25" s="187">
        <v>3.5281974525255624E-2</v>
      </c>
      <c r="H25" s="274">
        <v>29.511805756184945</v>
      </c>
      <c r="I25" s="186">
        <v>2.3062062998621267</v>
      </c>
      <c r="J25" s="286">
        <v>0.36506647228398237</v>
      </c>
      <c r="K25" s="286">
        <v>1.3983220377850778</v>
      </c>
      <c r="L25" s="286">
        <v>-0.12958387791849504</v>
      </c>
      <c r="M25" s="187">
        <v>2.4514315547201921E-2</v>
      </c>
    </row>
    <row r="26" spans="1:16" x14ac:dyDescent="0.2">
      <c r="A26" s="288">
        <f t="shared" si="0"/>
        <v>21</v>
      </c>
      <c r="B26" s="255">
        <v>37.052408798333104</v>
      </c>
      <c r="C26" s="277">
        <v>3.8373838994362357</v>
      </c>
      <c r="D26" s="278">
        <v>0.5230873690053679</v>
      </c>
      <c r="E26" s="262">
        <v>1.7339070983456495</v>
      </c>
      <c r="F26" s="256">
        <v>-0.27262880469652839</v>
      </c>
      <c r="G26" s="278">
        <v>3.5794386348303231E-2</v>
      </c>
      <c r="H26" s="276">
        <v>30.861029581703608</v>
      </c>
      <c r="I26" s="277">
        <v>2.6805063830550386</v>
      </c>
      <c r="J26" s="256">
        <v>0.38979510932568256</v>
      </c>
      <c r="K26" s="256">
        <v>1.3939394102769249</v>
      </c>
      <c r="L26" s="256">
        <v>-0.13205454972192579</v>
      </c>
      <c r="M26" s="278">
        <v>2.4728637041700217E-2</v>
      </c>
    </row>
    <row r="27" spans="1:16" x14ac:dyDescent="0.2">
      <c r="A27" s="227">
        <f t="shared" si="0"/>
        <v>22</v>
      </c>
      <c r="B27" s="257">
        <v>38.690055682060404</v>
      </c>
      <c r="C27" s="85">
        <v>4.4579957987090566</v>
      </c>
      <c r="D27" s="137">
        <v>0.55935306845418054</v>
      </c>
      <c r="E27" s="263">
        <v>1.7286934155459666</v>
      </c>
      <c r="F27" s="258">
        <v>-0.28047374270823333</v>
      </c>
      <c r="G27" s="137">
        <v>3.6265699448812659E-2</v>
      </c>
      <c r="H27" s="214">
        <v>32.197750463661457</v>
      </c>
      <c r="I27" s="85">
        <v>3.0843903110930224</v>
      </c>
      <c r="J27" s="258">
        <v>0.41471675569244115</v>
      </c>
      <c r="K27" s="258">
        <v>1.3899248040501211</v>
      </c>
      <c r="L27" s="258">
        <v>-0.13436510959247622</v>
      </c>
      <c r="M27" s="137">
        <v>2.4921646366758584E-2</v>
      </c>
    </row>
    <row r="28" spans="1:16" x14ac:dyDescent="0.2">
      <c r="A28" s="227">
        <f t="shared" si="0"/>
        <v>23</v>
      </c>
      <c r="B28" s="257">
        <v>40.303782843530705</v>
      </c>
      <c r="C28" s="85">
        <v>5.1285550598665584</v>
      </c>
      <c r="D28" s="137">
        <v>0.59605335390391745</v>
      </c>
      <c r="E28" s="263">
        <v>1.7236170477839996</v>
      </c>
      <c r="F28" s="258">
        <v>-0.28793983222099917</v>
      </c>
      <c r="G28" s="137">
        <v>3.6700285449736969E-2</v>
      </c>
      <c r="H28" s="214">
        <v>33.521496529410612</v>
      </c>
      <c r="I28" s="85">
        <v>3.5179966240796627</v>
      </c>
      <c r="J28" s="258">
        <v>0.4398129121477885</v>
      </c>
      <c r="K28" s="258">
        <v>1.3862460545562159</v>
      </c>
      <c r="L28" s="258">
        <v>-0.13652822959214117</v>
      </c>
      <c r="M28" s="137">
        <v>2.5096156455347338E-2</v>
      </c>
    </row>
    <row r="29" spans="1:16" x14ac:dyDescent="0.2">
      <c r="A29" s="227">
        <f t="shared" si="0"/>
        <v>24</v>
      </c>
      <c r="B29" s="257">
        <v>41.891728365043797</v>
      </c>
      <c r="C29" s="85">
        <v>5.8492282260687762</v>
      </c>
      <c r="D29" s="137">
        <v>0.63315530244586837</v>
      </c>
      <c r="E29" s="263">
        <v>1.7186884869756696</v>
      </c>
      <c r="F29" s="258">
        <v>-0.29504351630681303</v>
      </c>
      <c r="G29" s="137">
        <v>3.7101948541950917E-2</v>
      </c>
      <c r="H29" s="214">
        <v>34.831756708435286</v>
      </c>
      <c r="I29" s="85">
        <v>3.9814138403469972</v>
      </c>
      <c r="J29" s="258">
        <v>0.46506745771650743</v>
      </c>
      <c r="K29" s="258">
        <v>1.3828737036388095</v>
      </c>
      <c r="L29" s="258">
        <v>-0.13855530612367853</v>
      </c>
      <c r="M29" s="137">
        <v>2.5254545568718943E-2</v>
      </c>
    </row>
    <row r="30" spans="1:16" x14ac:dyDescent="0.2">
      <c r="A30" s="227">
        <f t="shared" si="0"/>
        <v>25</v>
      </c>
      <c r="B30" s="257">
        <v>43.451998872100951</v>
      </c>
      <c r="C30" s="85">
        <v>6.6200358182483345</v>
      </c>
      <c r="D30" s="137">
        <v>0.67062930690888833</v>
      </c>
      <c r="E30" s="263">
        <v>1.7139150028003147</v>
      </c>
      <c r="F30" s="258">
        <v>-0.30180086568801118</v>
      </c>
      <c r="G30" s="137">
        <v>3.7474004463019947E-2</v>
      </c>
      <c r="H30" s="214">
        <v>36.127985227999133</v>
      </c>
      <c r="I30" s="85">
        <v>4.4746833030408979</v>
      </c>
      <c r="J30" s="258">
        <v>0.49046628682189097</v>
      </c>
      <c r="K30" s="258">
        <v>1.3797808073260969</v>
      </c>
      <c r="L30" s="258">
        <v>-0.14045661782754884</v>
      </c>
      <c r="M30" s="137">
        <v>2.5398829105383536E-2</v>
      </c>
    </row>
    <row r="31" spans="1:16" x14ac:dyDescent="0.2">
      <c r="A31" s="227">
        <f t="shared" si="0"/>
        <v>26</v>
      </c>
      <c r="B31" s="257">
        <v>44.982674935447953</v>
      </c>
      <c r="C31" s="85">
        <v>7.4408559557781864</v>
      </c>
      <c r="D31" s="137">
        <v>0.7084486558623343</v>
      </c>
      <c r="E31" s="263">
        <v>1.709301233953344</v>
      </c>
      <c r="F31" s="258">
        <v>-0.30822751448171143</v>
      </c>
      <c r="G31" s="137">
        <v>3.7819348953445943E-2</v>
      </c>
      <c r="H31" s="214">
        <v>37.409605791204527</v>
      </c>
      <c r="I31" s="85">
        <v>4.9978015526453738</v>
      </c>
      <c r="J31" s="258">
        <v>0.51599700606605603</v>
      </c>
      <c r="K31" s="258">
        <v>1.3769427503985794</v>
      </c>
      <c r="L31" s="258">
        <v>-0.14224146099137278</v>
      </c>
      <c r="M31" s="137">
        <v>2.5530719244165084E-2</v>
      </c>
    </row>
    <row r="32" spans="1:16" x14ac:dyDescent="0.2">
      <c r="A32" s="227">
        <f t="shared" si="0"/>
        <v>27</v>
      </c>
      <c r="B32" s="257">
        <v>46.481816824404518</v>
      </c>
      <c r="C32" s="85">
        <v>8.3114274969163766</v>
      </c>
      <c r="D32" s="137">
        <v>0.74658917267842184</v>
      </c>
      <c r="E32" s="263">
        <v>1.7048496845640073</v>
      </c>
      <c r="F32" s="258">
        <v>-0.31433861440487926</v>
      </c>
      <c r="G32" s="137">
        <v>3.8140516816087523E-2</v>
      </c>
      <c r="H32" s="214">
        <v>38.676015465687357</v>
      </c>
      <c r="I32" s="85">
        <v>5.5507223265784003</v>
      </c>
      <c r="J32" s="258">
        <v>0.54164868055627502</v>
      </c>
      <c r="K32" s="258">
        <v>1.3743370687678436</v>
      </c>
      <c r="L32" s="258">
        <v>-0.14391826597419405</v>
      </c>
      <c r="M32" s="137">
        <v>2.5651674490218972E-2</v>
      </c>
    </row>
    <row r="33" spans="1:13" x14ac:dyDescent="0.2">
      <c r="A33" s="227">
        <f t="shared" si="0"/>
        <v>28</v>
      </c>
      <c r="B33" s="257">
        <v>47.947470540245853</v>
      </c>
      <c r="C33" s="85">
        <v>9.2313528359738157</v>
      </c>
      <c r="D33" s="137">
        <v>0.78502890536176728</v>
      </c>
      <c r="E33" s="263">
        <v>1.7005611390396209</v>
      </c>
      <c r="F33" s="258">
        <v>-0.32014880382054067</v>
      </c>
      <c r="G33" s="137">
        <v>3.843973268334544E-2</v>
      </c>
      <c r="H33" s="214">
        <v>39.926588307800635</v>
      </c>
      <c r="I33" s="85">
        <v>6.1333582664117774</v>
      </c>
      <c r="J33" s="258">
        <v>0.56741162140421653</v>
      </c>
      <c r="K33" s="258">
        <v>1.3719432804588449</v>
      </c>
      <c r="L33" s="258">
        <v>-0.14549469756880121</v>
      </c>
      <c r="M33" s="137">
        <v>2.5762940847941559E-2</v>
      </c>
    </row>
    <row r="34" spans="1:13" x14ac:dyDescent="0.2">
      <c r="A34" s="227">
        <f t="shared" si="0"/>
        <v>29</v>
      </c>
      <c r="B34" s="257">
        <v>49.377674066085717</v>
      </c>
      <c r="C34" s="85">
        <v>10.200100472345188</v>
      </c>
      <c r="D34" s="137">
        <v>0.82374785989583299</v>
      </c>
      <c r="E34" s="263">
        <v>1.6964350072605503</v>
      </c>
      <c r="F34" s="258">
        <v>-0.32567218862037839</v>
      </c>
      <c r="G34" s="137">
        <v>3.8718954534065757E-2</v>
      </c>
      <c r="H34" s="214">
        <v>41.16067874430378</v>
      </c>
      <c r="I34" s="85">
        <v>6.7455823967936892</v>
      </c>
      <c r="J34" s="258">
        <v>0.59327720745768753</v>
      </c>
      <c r="K34" s="258">
        <v>1.3697427257414632</v>
      </c>
      <c r="L34" s="258">
        <v>-0.14697774174600464</v>
      </c>
      <c r="M34" s="137">
        <v>2.5865586053471019E-2</v>
      </c>
    </row>
    <row r="35" spans="1:13" ht="13.5" thickBot="1" x14ac:dyDescent="0.25">
      <c r="A35" s="228">
        <f t="shared" si="0"/>
        <v>30</v>
      </c>
      <c r="B35" s="259">
        <v>50.770463776447713</v>
      </c>
      <c r="C35" s="89">
        <v>11.217007447396664</v>
      </c>
      <c r="D35" s="140">
        <v>0.86272777081274321</v>
      </c>
      <c r="E35" s="264">
        <v>1.6924696106792132</v>
      </c>
      <c r="F35" s="279">
        <v>-0.33092233246781999</v>
      </c>
      <c r="G35" s="140">
        <v>3.8979910916910269E-2</v>
      </c>
      <c r="H35" s="212">
        <v>42.377624731172872</v>
      </c>
      <c r="I35" s="89">
        <v>7.3872294269751473</v>
      </c>
      <c r="J35" s="279">
        <v>0.6192377355129135</v>
      </c>
      <c r="K35" s="279">
        <v>1.3677184167292702</v>
      </c>
      <c r="L35" s="279">
        <v>-0.148373780827532</v>
      </c>
      <c r="M35" s="140">
        <v>2.596052805522598E-2</v>
      </c>
    </row>
    <row r="36" spans="1:13" x14ac:dyDescent="0.2">
      <c r="A36" s="226">
        <f t="shared" si="0"/>
        <v>31</v>
      </c>
      <c r="B36" s="280">
        <v>52.123880955636146</v>
      </c>
      <c r="C36" s="281">
        <v>12.281281728552543</v>
      </c>
      <c r="D36" s="269">
        <v>0.90195190355461563</v>
      </c>
      <c r="E36" s="21">
        <v>1.6886624185470291</v>
      </c>
      <c r="F36" s="21">
        <v>-0.33591225437476024</v>
      </c>
      <c r="G36" s="282">
        <v>3.9224132741872419E-2</v>
      </c>
      <c r="H36" s="281">
        <v>43.576750707100004</v>
      </c>
      <c r="I36" s="21">
        <v>8.0580969153079618</v>
      </c>
      <c r="J36" s="21">
        <v>0.6452862942399874</v>
      </c>
      <c r="K36" s="21">
        <v>1.3658548965649504</v>
      </c>
      <c r="L36" s="21">
        <v>-0.14968865880463622</v>
      </c>
      <c r="M36" s="282">
        <v>2.604855872707388E-2</v>
      </c>
    </row>
    <row r="37" spans="1:13" x14ac:dyDescent="0.2">
      <c r="A37" s="226">
        <f t="shared" si="0"/>
        <v>32</v>
      </c>
      <c r="B37" s="273">
        <v>53.435978379239337</v>
      </c>
      <c r="C37" s="274">
        <v>13.39200460554707</v>
      </c>
      <c r="D37" s="297">
        <v>0.94140488395951516</v>
      </c>
      <c r="E37" s="275">
        <v>1.6850102422506474</v>
      </c>
      <c r="F37" s="275">
        <v>-0.34065443196229078</v>
      </c>
      <c r="G37" s="187">
        <v>3.9452980404899481E-2</v>
      </c>
      <c r="H37" s="274">
        <v>44.757370357490615</v>
      </c>
      <c r="I37" s="275">
        <v>8.7579463286678347</v>
      </c>
      <c r="J37" s="275">
        <v>0.67141665786917482</v>
      </c>
      <c r="K37" s="275">
        <v>1.3641381081461812</v>
      </c>
      <c r="L37" s="275">
        <v>-0.15092773824571751</v>
      </c>
      <c r="M37" s="187">
        <v>2.6130363629187411E-2</v>
      </c>
    </row>
    <row r="38" spans="1:13" x14ac:dyDescent="0.2">
      <c r="A38" s="226">
        <f t="shared" si="0"/>
        <v>33</v>
      </c>
      <c r="B38" s="273">
        <v>54.704826917709838</v>
      </c>
      <c r="C38" s="274">
        <v>14.548133151466528</v>
      </c>
      <c r="D38" s="297">
        <v>0.98107255087681433</v>
      </c>
      <c r="E38" s="275">
        <v>1.6815093946067312</v>
      </c>
      <c r="F38" s="275">
        <v>-0.34516080907000379</v>
      </c>
      <c r="G38" s="187">
        <v>3.9667666917299137E-2</v>
      </c>
      <c r="H38" s="274">
        <v>45.918789203243946</v>
      </c>
      <c r="I38" s="275">
        <v>9.4865040220403838</v>
      </c>
      <c r="J38" s="275">
        <v>0.6976231963601921</v>
      </c>
      <c r="K38" s="275">
        <v>1.3625552722125991</v>
      </c>
      <c r="L38" s="275">
        <v>-0.15209595000846726</v>
      </c>
      <c r="M38" s="187">
        <v>2.6206538491017246E-2</v>
      </c>
    </row>
    <row r="39" spans="1:13" x14ac:dyDescent="0.2">
      <c r="A39" s="226">
        <f t="shared" si="0"/>
        <v>34</v>
      </c>
      <c r="B39" s="273">
        <v>55.928522125046868</v>
      </c>
      <c r="C39" s="274">
        <v>15.748502790657927</v>
      </c>
      <c r="D39" s="297">
        <v>1.0209418285015002</v>
      </c>
      <c r="E39" s="275">
        <v>1.6781558199526303</v>
      </c>
      <c r="F39" s="275">
        <v>-0.34944280663825816</v>
      </c>
      <c r="G39" s="187">
        <v>3.9869277624685763E-2</v>
      </c>
      <c r="H39" s="274">
        <v>47.060307027270561</v>
      </c>
      <c r="I39" s="275">
        <v>10.243462158152258</v>
      </c>
      <c r="J39" s="275">
        <v>0.72390079933455442</v>
      </c>
      <c r="K39" s="275">
        <v>1.3610947745111897</v>
      </c>
      <c r="L39" s="275">
        <v>-0.15319783678222257</v>
      </c>
      <c r="M39" s="187">
        <v>2.627760297436231E-2</v>
      </c>
    </row>
    <row r="40" spans="1:13" x14ac:dyDescent="0.2">
      <c r="A40" s="226">
        <f t="shared" si="0"/>
        <v>35</v>
      </c>
      <c r="B40" s="273">
        <v>57.105190779226</v>
      </c>
      <c r="C40" s="274">
        <v>16.99183000659335</v>
      </c>
      <c r="D40" s="297">
        <v>1.0610006155226333</v>
      </c>
      <c r="E40" s="275">
        <v>1.6749451999787923</v>
      </c>
      <c r="F40" s="275">
        <v>-0.35351133600136514</v>
      </c>
      <c r="G40" s="187">
        <v>4.0058787021133101E-2</v>
      </c>
      <c r="H40" s="274">
        <v>48.181220150528581</v>
      </c>
      <c r="I40" s="275">
        <v>11.028479582762856</v>
      </c>
      <c r="J40" s="275">
        <v>0.75024481151276567</v>
      </c>
      <c r="K40" s="275">
        <v>1.3597460616805301</v>
      </c>
      <c r="L40" s="275">
        <v>-0.1542375913277764</v>
      </c>
      <c r="M40" s="187">
        <v>2.6344012178211286E-2</v>
      </c>
    </row>
    <row r="41" spans="1:13" x14ac:dyDescent="0.2">
      <c r="A41" s="226">
        <f t="shared" si="0"/>
        <v>36</v>
      </c>
      <c r="B41" s="273">
        <v>58.232997344239443</v>
      </c>
      <c r="C41" s="274">
        <v>18.276715215140612</v>
      </c>
      <c r="D41" s="297">
        <v>1.1012376886161068</v>
      </c>
      <c r="E41" s="275">
        <v>1.6718730394723726</v>
      </c>
      <c r="F41" s="275">
        <v>-0.35737681390428938</v>
      </c>
      <c r="G41" s="187">
        <v>4.0237073093473567E-2</v>
      </c>
      <c r="H41" s="274">
        <v>49.280823568319917</v>
      </c>
      <c r="I41" s="275">
        <v>11.841182667836957</v>
      </c>
      <c r="J41" s="275">
        <v>0.77665097778020098</v>
      </c>
      <c r="K41" s="275">
        <v>1.3584995454399427</v>
      </c>
      <c r="L41" s="275">
        <v>-0.1552190901494068</v>
      </c>
      <c r="M41" s="187">
        <v>2.6406166267435287E-2</v>
      </c>
    </row>
    <row r="42" spans="1:13" x14ac:dyDescent="0.2">
      <c r="A42" s="226">
        <f t="shared" si="0"/>
        <v>37</v>
      </c>
      <c r="B42" s="273">
        <v>59.310150326481164</v>
      </c>
      <c r="C42" s="274">
        <v>19.60164582221018</v>
      </c>
      <c r="D42" s="297">
        <v>1.1416426181843558</v>
      </c>
      <c r="E42" s="275">
        <v>1.6689347354716237</v>
      </c>
      <c r="F42" s="275">
        <v>-0.36104917869762287</v>
      </c>
      <c r="G42" s="187">
        <v>4.040492956824903E-2</v>
      </c>
      <c r="H42" s="274">
        <v>50.358412956657887</v>
      </c>
      <c r="I42" s="275">
        <v>12.681166132120477</v>
      </c>
      <c r="J42" s="275">
        <v>0.80311539632185647</v>
      </c>
      <c r="K42" s="275">
        <v>1.3573465146340506</v>
      </c>
      <c r="L42" s="275">
        <v>-0.15614592322291246</v>
      </c>
      <c r="M42" s="187">
        <v>2.6464418541655432E-2</v>
      </c>
    </row>
    <row r="43" spans="1:13" x14ac:dyDescent="0.2">
      <c r="A43" s="226">
        <f t="shared" si="0"/>
        <v>38</v>
      </c>
      <c r="B43" s="273">
        <v>60.334908500780458</v>
      </c>
      <c r="C43" s="274">
        <v>20.964999479256516</v>
      </c>
      <c r="D43" s="297">
        <v>1.182205694563603</v>
      </c>
      <c r="E43" s="275">
        <v>1.666125632757067</v>
      </c>
      <c r="F43" s="275">
        <v>-0.36453790728084329</v>
      </c>
      <c r="G43" s="187">
        <v>4.0563076379247311E-2</v>
      </c>
      <c r="H43" s="274">
        <v>51.413286557681438</v>
      </c>
      <c r="I43" s="275">
        <v>13.547993846500601</v>
      </c>
      <c r="J43" s="275">
        <v>0.8296344785281462</v>
      </c>
      <c r="K43" s="275">
        <v>1.3562790546630139</v>
      </c>
      <c r="L43" s="275">
        <v>-0.15702142031031235</v>
      </c>
      <c r="M43" s="187">
        <v>2.6519082206289749E-2</v>
      </c>
    </row>
    <row r="44" spans="1:13" x14ac:dyDescent="0.2">
      <c r="A44" s="226">
        <f t="shared" si="0"/>
        <v>39</v>
      </c>
      <c r="B44" s="273">
        <v>61.305586983696948</v>
      </c>
      <c r="C44" s="274">
        <v>22.365047545461927</v>
      </c>
      <c r="D44" s="297">
        <v>1.2229178631898336</v>
      </c>
      <c r="E44" s="275">
        <v>1.6634410681174894</v>
      </c>
      <c r="F44" s="275">
        <v>-0.36785203245696468</v>
      </c>
      <c r="G44" s="187">
        <v>4.0712168626230727E-2</v>
      </c>
      <c r="H44" s="274">
        <v>52.444746952334761</v>
      </c>
      <c r="I44" s="275">
        <v>14.44119962983574</v>
      </c>
      <c r="J44" s="275">
        <v>0.8562049145910533</v>
      </c>
      <c r="K44" s="275">
        <v>1.3552899738207946</v>
      </c>
      <c r="L44" s="275">
        <v>-0.15784867431356644</v>
      </c>
      <c r="M44" s="187">
        <v>2.6570436062907061E-2</v>
      </c>
    </row>
    <row r="45" spans="1:13" ht="13.5" thickBot="1" x14ac:dyDescent="0.25">
      <c r="A45" s="290">
        <f t="shared" si="0"/>
        <v>40</v>
      </c>
      <c r="B45" s="259">
        <v>62.220563133774974</v>
      </c>
      <c r="C45" s="212">
        <v>23.799958761495791</v>
      </c>
      <c r="D45" s="298">
        <v>1.2637706674445019</v>
      </c>
      <c r="E45" s="264">
        <v>1.6608764054159433</v>
      </c>
      <c r="F45" s="264">
        <v>-0.37100016043662676</v>
      </c>
      <c r="G45" s="140">
        <v>4.0852804254668286E-2</v>
      </c>
      <c r="H45" s="212">
        <v>53.45210272784405</v>
      </c>
      <c r="I45" s="264">
        <v>15.360288039600086</v>
      </c>
      <c r="J45" s="264">
        <v>0.88282364388998302</v>
      </c>
      <c r="K45" s="264">
        <v>1.3543727360655164</v>
      </c>
      <c r="L45" s="264">
        <v>-0.15863056205371875</v>
      </c>
      <c r="M45" s="140">
        <v>2.6618729298929666E-2</v>
      </c>
    </row>
    <row r="46" spans="1:13" x14ac:dyDescent="0.2">
      <c r="A46" s="288">
        <f t="shared" si="0"/>
        <v>41</v>
      </c>
      <c r="B46" s="283">
        <v>63.078282260347365</v>
      </c>
      <c r="C46" s="284">
        <v>25.267803136412962</v>
      </c>
      <c r="D46" s="267">
        <v>1.3047561980957945</v>
      </c>
      <c r="E46" s="266">
        <v>1.6584270631332705</v>
      </c>
      <c r="F46" s="266">
        <v>-0.3739904882897892</v>
      </c>
      <c r="G46" s="285">
        <v>4.0985530651292616E-2</v>
      </c>
      <c r="H46" s="284">
        <v>54.434670046896635</v>
      </c>
      <c r="I46" s="266">
        <v>16.304735160630006</v>
      </c>
      <c r="J46" s="266">
        <v>0.90948782941605033</v>
      </c>
      <c r="K46" s="266">
        <v>1.353521399755091</v>
      </c>
      <c r="L46" s="266">
        <v>-0.15936976280620235</v>
      </c>
      <c r="M46" s="285">
        <v>2.6664185526067297E-2</v>
      </c>
    </row>
    <row r="47" spans="1:13" x14ac:dyDescent="0.2">
      <c r="A47" s="226">
        <f t="shared" si="0"/>
        <v>42</v>
      </c>
      <c r="B47" s="273">
        <v>63.877263124204951</v>
      </c>
      <c r="C47" s="274">
        <v>26.766556046440108</v>
      </c>
      <c r="D47" s="297">
        <v>1.3458670484162041</v>
      </c>
      <c r="E47" s="275">
        <v>1.6560885357751167</v>
      </c>
      <c r="F47" s="275">
        <v>-0.3768308211912742</v>
      </c>
      <c r="G47" s="187">
        <v>4.1110850320409661E-2</v>
      </c>
      <c r="H47" s="274">
        <v>55.3917741248544</v>
      </c>
      <c r="I47" s="275">
        <v>17.273989394427375</v>
      </c>
      <c r="J47" s="275">
        <v>0.93619483560755656</v>
      </c>
      <c r="K47" s="275">
        <v>1.3527305618959051</v>
      </c>
      <c r="L47" s="275">
        <v>-0.1600687748759819</v>
      </c>
      <c r="M47" s="187">
        <v>2.6707006191506195E-2</v>
      </c>
    </row>
    <row r="48" spans="1:13" x14ac:dyDescent="0.2">
      <c r="A48" s="226">
        <f t="shared" si="0"/>
        <v>43</v>
      </c>
      <c r="B48" s="273">
        <v>64.616103215032254</v>
      </c>
      <c r="C48" s="274">
        <v>28.294102542019363</v>
      </c>
      <c r="D48" s="297">
        <v>1.3870962741966373</v>
      </c>
      <c r="E48" s="275">
        <v>1.653856410284813</v>
      </c>
      <c r="F48" s="275">
        <v>-0.37952858934471256</v>
      </c>
      <c r="G48" s="187">
        <v>4.1229225780433136E-2</v>
      </c>
      <c r="H48" s="274">
        <v>56.322750620808129</v>
      </c>
      <c r="I48" s="275">
        <v>18.267472250821854</v>
      </c>
      <c r="J48" s="275">
        <v>0.96294220907244832</v>
      </c>
      <c r="K48" s="275">
        <v>1.3519953074709654</v>
      </c>
      <c r="L48" s="275">
        <v>-0.16072993045634087</v>
      </c>
      <c r="M48" s="187">
        <v>2.6747373464891807E-2</v>
      </c>
    </row>
    <row r="49" spans="1:13" x14ac:dyDescent="0.2">
      <c r="A49" s="226">
        <f t="shared" si="0"/>
        <v>44</v>
      </c>
      <c r="B49" s="273">
        <v>65.293483791971767</v>
      </c>
      <c r="C49" s="274">
        <v>29.84824185746929</v>
      </c>
      <c r="D49" s="297">
        <v>1.4284373579951326</v>
      </c>
      <c r="E49" s="275">
        <v>1.6517263784016438</v>
      </c>
      <c r="F49" s="275">
        <v>-0.38209086449987811</v>
      </c>
      <c r="G49" s="187">
        <v>4.1341083798495236E-2</v>
      </c>
      <c r="H49" s="274">
        <v>57.226946947796691</v>
      </c>
      <c r="I49" s="275">
        <v>19.284579143283285</v>
      </c>
      <c r="J49" s="275">
        <v>0.98972766175921534</v>
      </c>
      <c r="K49" s="275">
        <v>1.3513111634352146</v>
      </c>
      <c r="L49" s="275">
        <v>-0.16135540898128423</v>
      </c>
      <c r="M49" s="187">
        <v>2.678545268676702E-2</v>
      </c>
    </row>
    <row r="50" spans="1:13" x14ac:dyDescent="0.2">
      <c r="A50" s="226">
        <f t="shared" si="0"/>
        <v>45</v>
      </c>
      <c r="B50" s="273">
        <v>65.908174675036776</v>
      </c>
      <c r="C50" s="274">
        <v>31.426692115928514</v>
      </c>
      <c r="D50" s="297">
        <v>1.469884177057794</v>
      </c>
      <c r="E50" s="275">
        <v>1.6496942457355988</v>
      </c>
      <c r="F50" s="275">
        <v>-0.38452437600246497</v>
      </c>
      <c r="G50" s="187">
        <v>4.1446819062661427E-2</v>
      </c>
      <c r="H50" s="274">
        <v>58.103723507071521</v>
      </c>
      <c r="I50" s="275">
        <v>20.32468018877686</v>
      </c>
      <c r="J50" s="275">
        <v>1.0165490562089465</v>
      </c>
      <c r="K50" s="275">
        <v>1.3506740569887645</v>
      </c>
      <c r="L50" s="275">
        <v>-0.16194724915275555</v>
      </c>
      <c r="M50" s="187">
        <v>2.6821394449731247E-2</v>
      </c>
    </row>
    <row r="51" spans="1:13" x14ac:dyDescent="0.2">
      <c r="A51" s="226">
        <f t="shared" si="0"/>
        <v>46</v>
      </c>
      <c r="B51" s="273">
        <v>66.459038776359705</v>
      </c>
      <c r="C51" s="274">
        <v>33.027095220820925</v>
      </c>
      <c r="D51" s="297">
        <v>1.5114309744335688</v>
      </c>
      <c r="E51" s="275">
        <v>1.6477559381902511</v>
      </c>
      <c r="F51" s="275">
        <v>-0.3868355263343265</v>
      </c>
      <c r="G51" s="187">
        <v>4.1546797375774852E-2</v>
      </c>
      <c r="H51" s="274">
        <v>58.952454850878652</v>
      </c>
      <c r="I51" s="275">
        <v>21.387121012744114</v>
      </c>
      <c r="J51" s="275">
        <v>1.0434043925805969</v>
      </c>
      <c r="K51" s="275">
        <v>1.3500802777627399</v>
      </c>
      <c r="L51" s="275">
        <v>-0.16250735979935901</v>
      </c>
      <c r="M51" s="187">
        <v>2.6855336371650346E-2</v>
      </c>
    </row>
    <row r="52" spans="1:13" x14ac:dyDescent="0.2">
      <c r="A52" s="226">
        <f t="shared" si="0"/>
        <v>47</v>
      </c>
      <c r="B52" s="273">
        <v>66.945036361452892</v>
      </c>
      <c r="C52" s="274">
        <v>34.647021923884388</v>
      </c>
      <c r="D52" s="297">
        <v>1.5530723328754277</v>
      </c>
      <c r="E52" s="275">
        <v>1.6459075062502324</v>
      </c>
      <c r="F52" s="275">
        <v>-0.38903040611706147</v>
      </c>
      <c r="G52" s="187">
        <v>4.1641358441859004E-2</v>
      </c>
      <c r="H52" s="274">
        <v>59.77253077785511</v>
      </c>
      <c r="I52" s="275">
        <v>22.471223559553149</v>
      </c>
      <c r="J52" s="275">
        <v>1.0702917971909436</v>
      </c>
      <c r="K52" s="275">
        <v>1.3495264435766643</v>
      </c>
      <c r="L52" s="275">
        <v>-0.1630375297023583</v>
      </c>
      <c r="M52" s="187">
        <v>2.6887404610346572E-2</v>
      </c>
    </row>
    <row r="53" spans="1:13" x14ac:dyDescent="0.2">
      <c r="A53" s="226">
        <f t="shared" si="0"/>
        <v>48</v>
      </c>
      <c r="B53" s="273">
        <v>67.3652290317808</v>
      </c>
      <c r="C53" s="274">
        <v>36.283977058804929</v>
      </c>
      <c r="D53" s="297">
        <v>1.5948031511803828</v>
      </c>
      <c r="E53" s="275">
        <v>1.6441451275548715</v>
      </c>
      <c r="F53" s="275">
        <v>-0.39111480856342146</v>
      </c>
      <c r="G53" s="187">
        <v>4.1730818304955244E-2</v>
      </c>
      <c r="H53" s="274">
        <v>60.563357364790974</v>
      </c>
      <c r="I53" s="275">
        <v>23.57628690857668</v>
      </c>
      <c r="J53" s="275">
        <v>1.0972095123519232</v>
      </c>
      <c r="K53" s="275">
        <v>1.3490094694503669</v>
      </c>
      <c r="L53" s="275">
        <v>-0.16353943650683991</v>
      </c>
      <c r="M53" s="187">
        <v>2.6917715160979624E-2</v>
      </c>
    </row>
    <row r="54" spans="1:13" x14ac:dyDescent="0.2">
      <c r="A54" s="226">
        <f t="shared" si="0"/>
        <v>49</v>
      </c>
      <c r="B54" s="273">
        <v>67.718783421006762</v>
      </c>
      <c r="C54" s="274">
        <v>37.935404928668078</v>
      </c>
      <c r="D54" s="297">
        <v>1.6366186226713368</v>
      </c>
      <c r="E54" s="275">
        <v>1.6424651081015522</v>
      </c>
      <c r="F54" s="275">
        <v>-0.39309424336998788</v>
      </c>
      <c r="G54" s="187">
        <v>4.1815471490953916E-2</v>
      </c>
      <c r="H54" s="274">
        <v>61.324357938190744</v>
      </c>
      <c r="I54" s="275">
        <v>24.701588095914712</v>
      </c>
      <c r="J54" s="275">
        <v>1.1241558873224273</v>
      </c>
      <c r="K54" s="275">
        <v>1.3485265395768968</v>
      </c>
      <c r="L54" s="275">
        <v>-0.16401465482060898</v>
      </c>
      <c r="M54" s="187">
        <v>2.6946374970504065E-2</v>
      </c>
    </row>
    <row r="55" spans="1:13" ht="13.5" thickBot="1" x14ac:dyDescent="0.25">
      <c r="A55" s="290">
        <f t="shared" si="0"/>
        <v>50</v>
      </c>
      <c r="B55" s="259">
        <v>68.004974598289508</v>
      </c>
      <c r="C55" s="212">
        <v>39.598694834755655</v>
      </c>
      <c r="D55" s="298">
        <v>1.6785142155664639</v>
      </c>
      <c r="E55" s="264">
        <v>1.6408638823583284</v>
      </c>
      <c r="F55" s="264">
        <v>-0.39497395005145652</v>
      </c>
      <c r="G55" s="140">
        <v>4.1895592895126982E-2</v>
      </c>
      <c r="H55" s="212">
        <v>62.054973988775551</v>
      </c>
      <c r="I55" s="264">
        <v>25.846382941670154</v>
      </c>
      <c r="J55" s="264">
        <v>1.1511293702203431</v>
      </c>
      <c r="K55" s="264">
        <v>1.3480750819856149</v>
      </c>
      <c r="L55" s="264">
        <v>-0.16446466359023851</v>
      </c>
      <c r="M55" s="140">
        <v>2.6973482897915794E-2</v>
      </c>
    </row>
    <row r="56" spans="1:13" x14ac:dyDescent="0.2">
      <c r="A56" s="288">
        <f t="shared" si="0"/>
        <v>51</v>
      </c>
      <c r="B56" s="283">
        <v>68.223189172971843</v>
      </c>
      <c r="C56" s="284">
        <v>41.271186733660826</v>
      </c>
      <c r="D56" s="267">
        <v>1.7204856550179233</v>
      </c>
      <c r="E56" s="266">
        <v>1.6393380125129282</v>
      </c>
      <c r="F56" s="266">
        <v>-0.39675891072210423</v>
      </c>
      <c r="G56" s="285">
        <v>4.1971439451459418E-2</v>
      </c>
      <c r="H56" s="284">
        <v>62.754666031799673</v>
      </c>
      <c r="I56" s="266">
        <v>27.009906882603307</v>
      </c>
      <c r="J56" s="266">
        <v>1.1781285007646261</v>
      </c>
      <c r="K56" s="266">
        <v>1.3476527456463321</v>
      </c>
      <c r="L56" s="266">
        <v>-0.16489085283239172</v>
      </c>
      <c r="M56" s="285">
        <v>2.6999130544282907E-2</v>
      </c>
    </row>
    <row r="57" spans="1:13" x14ac:dyDescent="0.2">
      <c r="A57" s="226">
        <f t="shared" si="0"/>
        <v>52</v>
      </c>
      <c r="B57" s="273">
        <v>68.372928095930106</v>
      </c>
      <c r="C57" s="274">
        <v>42.95017700925024</v>
      </c>
      <c r="D57" s="297">
        <v>1.7625289066322349</v>
      </c>
      <c r="E57" s="275">
        <v>1.637884187042439</v>
      </c>
      <c r="F57" s="275">
        <v>-0.39845386233393776</v>
      </c>
      <c r="G57" s="187">
        <v>4.2043251614311591E-2</v>
      </c>
      <c r="H57" s="274">
        <v>63.422914415808641</v>
      </c>
      <c r="I57" s="275">
        <v>28.191375809928591</v>
      </c>
      <c r="J57" s="275">
        <v>1.2051519037372573</v>
      </c>
      <c r="K57" s="275">
        <v>1.3472573797859297</v>
      </c>
      <c r="L57" s="275">
        <v>-0.16529452978880296</v>
      </c>
      <c r="M57" s="187">
        <v>2.7023402972631217E-2</v>
      </c>
    </row>
    <row r="58" spans="1:13" x14ac:dyDescent="0.2">
      <c r="A58" s="226">
        <f t="shared" si="0"/>
        <v>53</v>
      </c>
      <c r="B58" s="273">
        <v>68.453809153742455</v>
      </c>
      <c r="C58" s="274">
        <v>44.632924345656235</v>
      </c>
      <c r="D58" s="297">
        <v>1.8046401613104963</v>
      </c>
      <c r="E58" s="275">
        <v>1.6364992187530152</v>
      </c>
      <c r="F58" s="275">
        <v>-0.40006330838391491</v>
      </c>
      <c r="G58" s="187">
        <v>4.2111254678261309E-2</v>
      </c>
      <c r="H58" s="274">
        <v>64.059220082240799</v>
      </c>
      <c r="I58" s="275">
        <v>29.389986911969729</v>
      </c>
      <c r="J58" s="275">
        <v>1.2321982830717439</v>
      </c>
      <c r="K58" s="275">
        <v>1.3468870152082741</v>
      </c>
      <c r="L58" s="275">
        <v>-0.16567692456490513</v>
      </c>
      <c r="M58" s="187">
        <v>2.7046379334486684E-2</v>
      </c>
    </row>
    <row r="59" spans="1:13" x14ac:dyDescent="0.2">
      <c r="A59" s="226">
        <f t="shared" si="0"/>
        <v>54</v>
      </c>
      <c r="B59" s="273">
        <v>68.465569152690151</v>
      </c>
      <c r="C59" s="274">
        <v>46.316655687222976</v>
      </c>
      <c r="D59" s="297">
        <v>1.8468158212685291</v>
      </c>
      <c r="E59" s="275">
        <v>1.6351800424104836</v>
      </c>
      <c r="F59" s="275">
        <v>-0.40159153010470516</v>
      </c>
      <c r="G59" s="187">
        <v>4.2175659958032734E-2</v>
      </c>
      <c r="H59" s="274">
        <v>64.663105278067718</v>
      </c>
      <c r="I59" s="275">
        <v>30.604919521354141</v>
      </c>
      <c r="J59" s="275">
        <v>1.2592664164888985</v>
      </c>
      <c r="K59" s="275">
        <v>1.3465398474263777</v>
      </c>
      <c r="L59" s="275">
        <v>-0.16603919530483219</v>
      </c>
      <c r="M59" s="187">
        <v>2.7068133417154524E-2</v>
      </c>
    </row>
    <row r="60" spans="1:13" x14ac:dyDescent="0.2">
      <c r="A60" s="226">
        <f t="shared" si="0"/>
        <v>55</v>
      </c>
      <c r="B60" s="273">
        <v>68.408065790430825</v>
      </c>
      <c r="C60" s="274">
        <v>47.998572271147623</v>
      </c>
      <c r="D60" s="297">
        <v>1.8890524871156311</v>
      </c>
      <c r="E60" s="275">
        <v>1.6339237120595655</v>
      </c>
      <c r="F60" s="275">
        <v>-0.40304259715489338</v>
      </c>
      <c r="G60" s="187">
        <v>4.223666584710202E-2</v>
      </c>
      <c r="H60" s="274">
        <v>65.234114223480091</v>
      </c>
      <c r="I60" s="275">
        <v>31.835335966400581</v>
      </c>
      <c r="J60" s="275">
        <v>1.2863551506124438</v>
      </c>
      <c r="K60" s="275">
        <v>1.3462142214326689</v>
      </c>
      <c r="L60" s="275">
        <v>-0.16638243294924013</v>
      </c>
      <c r="M60" s="187">
        <v>2.708873412354533E-2</v>
      </c>
    </row>
    <row r="61" spans="1:13" x14ac:dyDescent="0.2">
      <c r="A61" s="226">
        <f t="shared" si="0"/>
        <v>56</v>
      </c>
      <c r="B61" s="273">
        <v>68.28127921397855</v>
      </c>
      <c r="C61" s="274">
        <v>49.675855718443614</v>
      </c>
      <c r="D61" s="297">
        <v>1.9313469458864081</v>
      </c>
      <c r="E61" s="275">
        <v>1.6327273981106338</v>
      </c>
      <c r="F61" s="275">
        <v>-0.4044203778254693</v>
      </c>
      <c r="G61" s="187">
        <v>4.229445877077706E-2</v>
      </c>
      <c r="H61" s="274">
        <v>65.771813736453524</v>
      </c>
      <c r="I61" s="275">
        <v>33.080382426333998</v>
      </c>
      <c r="J61" s="275">
        <v>1.3134633965069094</v>
      </c>
      <c r="K61" s="275">
        <v>1.3459086179489121</v>
      </c>
      <c r="L61" s="275">
        <v>-0.16670766561693812</v>
      </c>
      <c r="M61" s="187">
        <v>2.7108245894465578E-2</v>
      </c>
    </row>
    <row r="62" spans="1:13" x14ac:dyDescent="0.2">
      <c r="A62" s="226">
        <f t="shared" si="0"/>
        <v>57</v>
      </c>
      <c r="B62" s="273">
        <v>68.085313263394013</v>
      </c>
      <c r="C62" s="274">
        <v>51.345674168800166</v>
      </c>
      <c r="D62" s="297">
        <v>1.9736961599336054</v>
      </c>
      <c r="E62" s="275">
        <v>1.6315883842576659</v>
      </c>
      <c r="F62" s="275">
        <v>-0.40572854877999703</v>
      </c>
      <c r="G62" s="187">
        <v>4.2349214047197367E-2</v>
      </c>
      <c r="H62" s="274">
        <v>66.275793815871339</v>
      </c>
      <c r="I62" s="275">
        <v>34.339189789946445</v>
      </c>
      <c r="J62" s="275">
        <v>1.3405901255886195</v>
      </c>
      <c r="K62" s="275">
        <v>1.3456216410118145</v>
      </c>
      <c r="L62" s="275">
        <v>-0.16701586264658255</v>
      </c>
      <c r="M62" s="187">
        <v>2.7126729081710037E-2</v>
      </c>
    </row>
    <row r="63" spans="1:13" x14ac:dyDescent="0.2">
      <c r="A63" s="226">
        <f t="shared" si="0"/>
        <v>58</v>
      </c>
      <c r="B63" s="273">
        <v>67.820396401330086</v>
      </c>
      <c r="C63" s="274">
        <v>53.005188444913934</v>
      </c>
      <c r="D63" s="297">
        <v>2.0160972566013244</v>
      </c>
      <c r="E63" s="275">
        <v>1.6305040642787008</v>
      </c>
      <c r="F63" s="275">
        <v>-0.4069706043461111</v>
      </c>
      <c r="G63" s="187">
        <v>4.2401096667718886E-2</v>
      </c>
      <c r="H63" s="274">
        <v>66.745668184738733</v>
      </c>
      <c r="I63" s="275">
        <v>35.610874517311302</v>
      </c>
      <c r="J63" s="275">
        <v>1.3677343658675936</v>
      </c>
      <c r="K63" s="275">
        <v>1.3453520067637113</v>
      </c>
      <c r="L63" s="275">
        <v>-0.16730793833056343</v>
      </c>
      <c r="M63" s="187">
        <v>2.7144240278974021E-2</v>
      </c>
    </row>
    <row r="64" spans="1:13" x14ac:dyDescent="0.2">
      <c r="A64" s="226">
        <f t="shared" si="0"/>
        <v>59</v>
      </c>
      <c r="B64" s="273">
        <v>67.486882329294843</v>
      </c>
      <c r="C64" s="274">
        <v>54.65155823192034</v>
      </c>
      <c r="D64" s="297">
        <v>2.0585475186078033</v>
      </c>
      <c r="E64" s="275">
        <v>1.6294719387601007</v>
      </c>
      <c r="F64" s="275">
        <v>-0.40814986537601056</v>
      </c>
      <c r="G64" s="187">
        <v>4.2450262006478841E-2</v>
      </c>
      <c r="H64" s="274">
        <v>67.18107479489241</v>
      </c>
      <c r="I64" s="275">
        <v>36.894539504149094</v>
      </c>
      <c r="J64" s="275">
        <v>1.3948951984840945</v>
      </c>
      <c r="K64" s="275">
        <v>1.3450985333299883</v>
      </c>
      <c r="L64" s="275">
        <v>-0.16758475536961392</v>
      </c>
      <c r="M64" s="187">
        <v>2.7160832616500829E-2</v>
      </c>
    </row>
    <row r="65" spans="1:13" ht="13.5" thickBot="1" x14ac:dyDescent="0.25">
      <c r="A65" s="95">
        <f t="shared" si="0"/>
        <v>60</v>
      </c>
      <c r="B65" s="89">
        <v>67.085250292186672</v>
      </c>
      <c r="C65" s="89">
        <v>56.281948257648395</v>
      </c>
      <c r="D65" s="89">
        <v>2.1010443750753303</v>
      </c>
      <c r="E65" s="89">
        <v>1.6284896117778314</v>
      </c>
      <c r="F65" s="89">
        <v>-0.4092694876934726</v>
      </c>
      <c r="G65" s="89">
        <v>4.249685646752685E-2</v>
      </c>
      <c r="H65" s="89">
        <v>67.581676294491999</v>
      </c>
      <c r="I65" s="89">
        <v>38.189274948436079</v>
      </c>
      <c r="J65" s="89">
        <v>1.4220717545085517</v>
      </c>
      <c r="K65" s="89">
        <v>1.3448601316761264</v>
      </c>
      <c r="L65" s="89">
        <v>-0.16784712807353253</v>
      </c>
      <c r="M65" s="140">
        <v>2.7176556024457302E-2</v>
      </c>
    </row>
    <row r="66" spans="1:13" x14ac:dyDescent="0.2">
      <c r="A66" s="92">
        <f t="shared" si="0"/>
        <v>61</v>
      </c>
      <c r="B66" s="277">
        <v>66.616105073324036</v>
      </c>
      <c r="C66" s="277">
        <v>57.893534459559639</v>
      </c>
      <c r="D66" s="277">
        <v>2.1435853931520499</v>
      </c>
      <c r="E66" s="277">
        <v>1.6275547875624297</v>
      </c>
      <c r="F66" s="277">
        <v>-0.41033247014462854</v>
      </c>
      <c r="G66" s="277">
        <v>4.2541018076719422E-2</v>
      </c>
      <c r="H66" s="277">
        <v>67.947160459472542</v>
      </c>
      <c r="I66" s="277">
        <v>39.494159218841126</v>
      </c>
      <c r="J66" s="277">
        <v>1.4492632119778104</v>
      </c>
      <c r="K66" s="277">
        <v>1.3446357973475327</v>
      </c>
      <c r="L66" s="277">
        <v>-0.16809582533065537</v>
      </c>
      <c r="M66" s="278">
        <v>2.7191457469258724E-2</v>
      </c>
    </row>
    <row r="67" spans="1:13" x14ac:dyDescent="0.2">
      <c r="A67" s="93">
        <f t="shared" si="0"/>
        <v>62</v>
      </c>
      <c r="B67" s="85">
        <v>66.080176682837504</v>
      </c>
      <c r="C67" s="85">
        <v>59.483510124405861</v>
      </c>
      <c r="D67" s="85">
        <v>2.1861682701766196</v>
      </c>
      <c r="E67" s="85">
        <v>1.6266652671690431</v>
      </c>
      <c r="F67" s="85">
        <v>-0.41134166226937147</v>
      </c>
      <c r="G67" s="85">
        <v>4.2582877024569622E-2</v>
      </c>
      <c r="H67" s="85">
        <v>68.277240590040819</v>
      </c>
      <c r="I67" s="85">
        <v>40.8082597245713</v>
      </c>
      <c r="J67" s="85">
        <v>1.476468793144228</v>
      </c>
      <c r="K67" s="85">
        <v>1.34442460300468</v>
      </c>
      <c r="L67" s="85">
        <v>-0.16833157336630483</v>
      </c>
      <c r="M67" s="137">
        <v>2.7205581166417674E-2</v>
      </c>
    </row>
    <row r="68" spans="1:13" x14ac:dyDescent="0.2">
      <c r="A68" s="93">
        <f t="shared" si="0"/>
        <v>63</v>
      </c>
      <c r="B68" s="85">
        <v>65.478319742913129</v>
      </c>
      <c r="C68" s="85">
        <v>61.049091986847728</v>
      </c>
      <c r="D68" s="85">
        <v>2.2287908263420131</v>
      </c>
      <c r="E68" s="85">
        <v>1.6258189451696521</v>
      </c>
      <c r="F68" s="85">
        <v>-0.41229977160982106</v>
      </c>
      <c r="G68" s="85">
        <v>4.2622556165393365E-2</v>
      </c>
      <c r="H68" s="85">
        <v>68.571655873210915</v>
      </c>
      <c r="I68" s="85">
        <v>42.130633786202601</v>
      </c>
      <c r="J68" s="85">
        <v>1.5036877619171776</v>
      </c>
      <c r="K68" s="85">
        <v>1.3442256916746036</v>
      </c>
      <c r="L68" s="85">
        <v>-0.16855505830832182</v>
      </c>
      <c r="M68" s="137">
        <v>2.7218968772949499E-2</v>
      </c>
    </row>
    <row r="69" spans="1:13" x14ac:dyDescent="0.2">
      <c r="A69" s="93">
        <f t="shared" si="0"/>
        <v>64</v>
      </c>
      <c r="B69" s="85">
        <v>64.811512573974952</v>
      </c>
      <c r="C69" s="85">
        <v>62.587526273514825</v>
      </c>
      <c r="D69" s="85">
        <v>2.2714509978193864</v>
      </c>
      <c r="E69" s="85">
        <v>1.6250138063811286</v>
      </c>
      <c r="F69" s="85">
        <v>-0.4132093706717816</v>
      </c>
      <c r="G69" s="85">
        <v>4.2660171477373249E-2</v>
      </c>
      <c r="H69" s="85">
        <v>68.830171712295964</v>
      </c>
      <c r="I69" s="85">
        <v>43.460329507068231</v>
      </c>
      <c r="J69" s="85">
        <v>1.53091942147909</v>
      </c>
      <c r="K69" s="85">
        <v>1.3440382706475524</v>
      </c>
      <c r="L69" s="85">
        <v>-0.16876692857592404</v>
      </c>
      <c r="M69" s="137">
        <v>2.7231659561912359E-2</v>
      </c>
    </row>
    <row r="70" spans="1:13" x14ac:dyDescent="0.2">
      <c r="A70" s="93">
        <f t="shared" si="0"/>
        <v>65</v>
      </c>
      <c r="B70" s="85">
        <v>64.080855986470425</v>
      </c>
      <c r="C70" s="85">
        <v>64.096094679254094</v>
      </c>
      <c r="D70" s="85">
        <v>2.3141468303069361</v>
      </c>
      <c r="E70" s="85">
        <v>1.6242479226399893</v>
      </c>
      <c r="F70" s="85">
        <v>-0.41407290355460774</v>
      </c>
      <c r="G70" s="85">
        <v>4.2695832487549573E-2</v>
      </c>
      <c r="H70" s="85">
        <v>69.052580024202129</v>
      </c>
      <c r="I70" s="85">
        <v>44.796386644773428</v>
      </c>
      <c r="J70" s="85">
        <v>1.5581631120603678</v>
      </c>
      <c r="K70" s="85">
        <v>1.3438616059546207</v>
      </c>
      <c r="L70" s="85">
        <v>-0.16896779710648965</v>
      </c>
      <c r="M70" s="137">
        <v>2.7243690581277836E-2</v>
      </c>
    </row>
    <row r="71" spans="1:13" x14ac:dyDescent="0.2">
      <c r="A71" s="93">
        <f t="shared" ref="A71:A134" si="1">A70+1</f>
        <v>66</v>
      </c>
      <c r="B71" s="85">
        <v>63.287571783475897</v>
      </c>
      <c r="C71" s="85">
        <v>65.572120262605722</v>
      </c>
      <c r="D71" s="85">
        <v>2.3568764729721647</v>
      </c>
      <c r="E71" s="85">
        <v>1.6235194496324332</v>
      </c>
      <c r="F71" s="85">
        <v>-0.41489269226435205</v>
      </c>
      <c r="G71" s="85">
        <v>4.2729642665228711E-2</v>
      </c>
      <c r="H71" s="85">
        <v>69.238699505307792</v>
      </c>
      <c r="I71" s="85">
        <v>46.137837482402418</v>
      </c>
      <c r="J71" s="85">
        <v>1.5854182088593749</v>
      </c>
      <c r="K71" s="85">
        <v>1.3436950173685553</v>
      </c>
      <c r="L71" s="85">
        <v>-0.1691582434334129</v>
      </c>
      <c r="M71" s="137">
        <v>2.7255096799007044E-2</v>
      </c>
    </row>
    <row r="72" spans="1:13" x14ac:dyDescent="0.2">
      <c r="A72" s="93">
        <f t="shared" si="1"/>
        <v>67</v>
      </c>
      <c r="B72" s="85">
        <v>62.433000979870492</v>
      </c>
      <c r="C72" s="85">
        <v>67.012973247861581</v>
      </c>
      <c r="D72" s="85">
        <v>2.3996381727590212</v>
      </c>
      <c r="E72" s="85">
        <v>1.6228266237864148</v>
      </c>
      <c r="F72" s="85">
        <v>-0.41567094272451977</v>
      </c>
      <c r="G72" s="85">
        <v>4.2761699786856629E-2</v>
      </c>
      <c r="H72" s="85">
        <v>69.388375866654044</v>
      </c>
      <c r="I72" s="85">
        <v>47.48370769897997</v>
      </c>
      <c r="J72" s="85">
        <v>1.6126841200953119</v>
      </c>
      <c r="K72" s="85">
        <v>1.3435378738756985</v>
      </c>
      <c r="L72" s="85">
        <v>-0.16933881562689426</v>
      </c>
      <c r="M72" s="137">
        <v>2.7265911235936933E-2</v>
      </c>
    </row>
    <row r="73" spans="1:13" x14ac:dyDescent="0.2">
      <c r="A73" s="93">
        <f t="shared" si="1"/>
        <v>68</v>
      </c>
      <c r="B73" s="85">
        <v>61.51860174433542</v>
      </c>
      <c r="C73" s="85">
        <v>68.416076721398511</v>
      </c>
      <c r="D73" s="85">
        <v>2.4424302690340496</v>
      </c>
      <c r="E73" s="85">
        <v>1.6221677592310051</v>
      </c>
      <c r="F73" s="85">
        <v>-0.41640975049820544</v>
      </c>
      <c r="G73" s="85">
        <v>4.2792096275028335E-2</v>
      </c>
      <c r="H73" s="85">
        <v>69.501482039121953</v>
      </c>
      <c r="I73" s="85">
        <v>48.833017238746919</v>
      </c>
      <c r="J73" s="85">
        <v>1.6399602851831656</v>
      </c>
      <c r="K73" s="85">
        <v>1.3433895895722348</v>
      </c>
      <c r="L73" s="85">
        <v>-0.16951003210838891</v>
      </c>
      <c r="M73" s="137">
        <v>2.7276165087853684E-2</v>
      </c>
    </row>
    <row r="74" spans="1:13" x14ac:dyDescent="0.2">
      <c r="A74" s="93">
        <f t="shared" si="1"/>
        <v>69</v>
      </c>
      <c r="B74" s="85">
        <v>60.545947070922544</v>
      </c>
      <c r="C74" s="85">
        <v>69.778912210336145</v>
      </c>
      <c r="D74" s="85">
        <v>2.4852511885480308</v>
      </c>
      <c r="E74" s="85">
        <v>1.6215412448270718</v>
      </c>
      <c r="F74" s="85">
        <v>-0.41711110623483943</v>
      </c>
      <c r="G74" s="85">
        <v>4.2820919513981329E-2</v>
      </c>
      <c r="H74" s="85">
        <v>69.577918349227332</v>
      </c>
      <c r="I74" s="85">
        <v>50.184781178806205</v>
      </c>
      <c r="J74" s="85">
        <v>1.6672461730211037</v>
      </c>
      <c r="K74" s="85">
        <v>1.3432496199426216</v>
      </c>
      <c r="L74" s="85">
        <v>-0.16967238334842552</v>
      </c>
      <c r="M74" s="137">
        <v>2.7285887837938012E-2</v>
      </c>
    </row>
    <row r="75" spans="1:13" ht="13.5" thickBot="1" x14ac:dyDescent="0.25">
      <c r="A75" s="95">
        <f t="shared" si="1"/>
        <v>70</v>
      </c>
      <c r="B75" s="89">
        <v>59.516722187400582</v>
      </c>
      <c r="C75" s="89">
        <v>71.09902513194443</v>
      </c>
      <c r="D75" s="89">
        <v>2.5280994406916757</v>
      </c>
      <c r="E75" s="89">
        <v>1.6209455412723113</v>
      </c>
      <c r="F75" s="89">
        <v>-0.41777690085423408</v>
      </c>
      <c r="G75" s="89">
        <v>4.2848252143644967E-2</v>
      </c>
      <c r="H75" s="89">
        <v>69.617612666123463</v>
      </c>
      <c r="I75" s="89">
        <v>51.538010594693056</v>
      </c>
      <c r="J75" s="89">
        <v>1.6945412803817084</v>
      </c>
      <c r="K75" s="89">
        <v>1.3431174584823176</v>
      </c>
      <c r="L75" s="89">
        <v>-0.16982633345660833</v>
      </c>
      <c r="M75" s="140">
        <v>2.7295107360604774E-2</v>
      </c>
    </row>
    <row r="76" spans="1:13" x14ac:dyDescent="0.2">
      <c r="A76" s="92">
        <f t="shared" si="1"/>
        <v>71</v>
      </c>
      <c r="B76" s="277">
        <v>58.432721708030208</v>
      </c>
      <c r="C76" s="277">
        <v>72.374030102618221</v>
      </c>
      <c r="D76" s="277">
        <v>2.5709736130257559</v>
      </c>
      <c r="E76" s="277">
        <v>1.6203791782828378</v>
      </c>
      <c r="F76" s="277">
        <v>-0.41840893048009137</v>
      </c>
      <c r="G76" s="277">
        <v>4.2874172334080342E-2</v>
      </c>
      <c r="H76" s="277">
        <v>69.620520520367393</v>
      </c>
      <c r="I76" s="277">
        <v>52.891713423420498</v>
      </c>
      <c r="J76" s="277">
        <v>1.7218451303993303</v>
      </c>
      <c r="K76" s="277">
        <v>1.3429926336307605</v>
      </c>
      <c r="L76" s="277">
        <v>-0.16997232167181334</v>
      </c>
      <c r="M76" s="278">
        <v>2.7303850017621853E-2</v>
      </c>
    </row>
    <row r="77" spans="1:13" x14ac:dyDescent="0.2">
      <c r="A77" s="93">
        <f t="shared" si="1"/>
        <v>72</v>
      </c>
      <c r="B77" s="85">
        <v>57.295846538840081</v>
      </c>
      <c r="C77" s="85">
        <v>73.601616095643649</v>
      </c>
      <c r="D77" s="85">
        <v>2.6138723670676969</v>
      </c>
      <c r="E77" s="85">
        <v>1.6198407518528672</v>
      </c>
      <c r="F77" s="85">
        <v>-0.41900890113462075</v>
      </c>
      <c r="G77" s="85">
        <v>4.2898754041940837E-2</v>
      </c>
      <c r="H77" s="85">
        <v>69.586625194974118</v>
      </c>
      <c r="I77" s="85">
        <v>54.244895323548867</v>
      </c>
      <c r="J77" s="85">
        <v>1.749157271146607</v>
      </c>
      <c r="K77" s="85">
        <v>1.3428747059839834</v>
      </c>
      <c r="L77" s="85">
        <v>-0.17011076375987302</v>
      </c>
      <c r="M77" s="137">
        <v>2.7312140747276819E-2</v>
      </c>
    </row>
    <row r="78" spans="1:13" x14ac:dyDescent="0.2">
      <c r="A78" s="93">
        <f t="shared" si="1"/>
        <v>73</v>
      </c>
      <c r="B78" s="85">
        <v>56.108100543875146</v>
      </c>
      <c r="C78" s="85">
        <v>74.77955143740266</v>
      </c>
      <c r="D78" s="85">
        <v>2.6567944343181038</v>
      </c>
      <c r="E78" s="85">
        <v>1.6193289215934583</v>
      </c>
      <c r="F78" s="85">
        <v>-0.4195784332054161</v>
      </c>
      <c r="G78" s="85">
        <v>4.2922067250407127E-2</v>
      </c>
      <c r="H78" s="85">
        <v>69.515937789256142</v>
      </c>
      <c r="I78" s="85">
        <v>55.596560531825709</v>
      </c>
      <c r="J78" s="85">
        <v>1.7764772742938679</v>
      </c>
      <c r="K78" s="85">
        <v>1.3427632657593658</v>
      </c>
      <c r="L78" s="85">
        <v>-0.17024205332540429</v>
      </c>
      <c r="M78" s="137">
        <v>2.7320003147260963E-2</v>
      </c>
    </row>
    <row r="79" spans="1:13" x14ac:dyDescent="0.2">
      <c r="A79" s="93">
        <f t="shared" si="1"/>
        <v>74</v>
      </c>
      <c r="B79" s="85">
        <v>54.871586981266098</v>
      </c>
      <c r="C79" s="85">
        <v>75.90568863209613</v>
      </c>
      <c r="D79" s="85">
        <v>2.6997386125120011</v>
      </c>
      <c r="E79" s="85">
        <v>1.618842408150819</v>
      </c>
      <c r="F79" s="85">
        <v>-0.42011906569525787</v>
      </c>
      <c r="G79" s="85">
        <v>4.2944178193897502E-2</v>
      </c>
      <c r="H79" s="85">
        <v>69.408497255922015</v>
      </c>
      <c r="I79" s="85">
        <v>56.945712715940623</v>
      </c>
      <c r="J79" s="85">
        <v>1.8038047338457239</v>
      </c>
      <c r="K79" s="85">
        <v>1.3426579304878048</v>
      </c>
      <c r="L79" s="85">
        <v>-0.17036656304385975</v>
      </c>
      <c r="M79" s="137">
        <v>2.7327459551856052E-2</v>
      </c>
    </row>
    <row r="80" spans="1:13" x14ac:dyDescent="0.2">
      <c r="A80" s="93">
        <f t="shared" si="1"/>
        <v>75</v>
      </c>
      <c r="B80" s="85">
        <v>53.588504718324842</v>
      </c>
      <c r="C80" s="85">
        <v>76.977969005512165</v>
      </c>
      <c r="D80" s="85">
        <v>2.7427037620807226</v>
      </c>
      <c r="E80" s="85">
        <v>1.6183799907042862</v>
      </c>
      <c r="F80" s="85">
        <v>-0.42063226026503897</v>
      </c>
      <c r="G80" s="85">
        <v>4.2965149568721543E-2</v>
      </c>
      <c r="H80" s="85">
        <v>69.264370411887356</v>
      </c>
      <c r="I80" s="85">
        <v>58.291355822937781</v>
      </c>
      <c r="J80" s="85">
        <v>1.8311392649496614</v>
      </c>
      <c r="K80" s="85">
        <v>1.3425583429110988</v>
      </c>
      <c r="L80" s="85">
        <v>-0.17048464581936743</v>
      </c>
      <c r="M80" s="137">
        <v>2.7334531103937496E-2</v>
      </c>
    </row>
    <row r="81" spans="1:13" x14ac:dyDescent="0.2">
      <c r="A81" s="93">
        <f t="shared" si="1"/>
        <v>76</v>
      </c>
      <c r="B81" s="85">
        <v>52.261144235205521</v>
      </c>
      <c r="C81" s="85">
        <v>77.994427158822532</v>
      </c>
      <c r="D81" s="85">
        <v>2.7856888028114524</v>
      </c>
      <c r="E81" s="85">
        <v>1.6179405045437611</v>
      </c>
      <c r="F81" s="85">
        <v>-0.42111940507956402</v>
      </c>
      <c r="G81" s="85">
        <v>4.2985040730729514E-2</v>
      </c>
      <c r="H81" s="85">
        <v>69.083651923234342</v>
      </c>
      <c r="I81" s="85">
        <v>59.632494922827348</v>
      </c>
      <c r="J81" s="85">
        <v>1.8584805027719076</v>
      </c>
      <c r="K81" s="85">
        <v>1.3424641690645922</v>
      </c>
      <c r="L81" s="85">
        <v>-0.17059663587346074</v>
      </c>
      <c r="M81" s="137">
        <v>2.7341237822246151E-2</v>
      </c>
    </row>
    <row r="82" spans="1:13" x14ac:dyDescent="0.2">
      <c r="A82" s="93">
        <f t="shared" si="1"/>
        <v>77</v>
      </c>
      <c r="B82" s="85">
        <v>50.891883426983725</v>
      </c>
      <c r="C82" s="85">
        <v>78.953195223856554</v>
      </c>
      <c r="D82" s="85">
        <v>2.8286927106923612</v>
      </c>
      <c r="E82" s="85">
        <v>1.6175228387261091</v>
      </c>
      <c r="F82" s="85">
        <v>-0.42158181846553705</v>
      </c>
      <c r="G82" s="85">
        <v>4.3003907880908611E-2</v>
      </c>
      <c r="H82" s="85">
        <v>68.866464264740657</v>
      </c>
      <c r="I82" s="85">
        <v>60.968137046936093</v>
      </c>
      <c r="J82" s="85">
        <v>1.8858281014362361</v>
      </c>
      <c r="K82" s="85">
        <v>1.3423750965271568</v>
      </c>
      <c r="L82" s="85">
        <v>-0.17070284976938271</v>
      </c>
      <c r="M82" s="137">
        <v>2.7347598664328579E-2</v>
      </c>
    </row>
    <row r="83" spans="1:13" x14ac:dyDescent="0.2">
      <c r="A83" s="93">
        <f t="shared" si="1"/>
        <v>78</v>
      </c>
      <c r="B83" s="85">
        <v>49.483183214298656</v>
      </c>
      <c r="C83" s="85">
        <v>79.852506911776601</v>
      </c>
      <c r="D83" s="85">
        <v>2.8717145149321492</v>
      </c>
      <c r="E83" s="85">
        <v>1.6171259338097939</v>
      </c>
      <c r="F83" s="85">
        <v>-0.42202075239063647</v>
      </c>
      <c r="G83" s="85">
        <v>4.3021804239788297E-2</v>
      </c>
      <c r="H83" s="85">
        <v>68.612957654386818</v>
      </c>
      <c r="I83" s="85">
        <v>62.297292020536446</v>
      </c>
      <c r="J83" s="85">
        <v>1.9131817330217364</v>
      </c>
      <c r="K83" s="85">
        <v>1.3422908328223961</v>
      </c>
      <c r="L83" s="85">
        <v>-0.17080358737627202</v>
      </c>
      <c r="M83" s="137">
        <v>2.7353631585500349E-2</v>
      </c>
    </row>
    <row r="84" spans="1:13" x14ac:dyDescent="0.2">
      <c r="A84" s="93">
        <f t="shared" si="1"/>
        <v>79</v>
      </c>
      <c r="B84" s="85">
        <v>48.037582972973539</v>
      </c>
      <c r="C84" s="85">
        <v>80.690701347562054</v>
      </c>
      <c r="D84" s="85">
        <v>2.9147532951435884</v>
      </c>
      <c r="E84" s="85">
        <v>1.6167487796668223</v>
      </c>
      <c r="F84" s="85">
        <v>-0.42243739577217643</v>
      </c>
      <c r="G84" s="85">
        <v>4.3038780211438948E-2</v>
      </c>
      <c r="H84" s="85">
        <v>68.323309963240348</v>
      </c>
      <c r="I84" s="85">
        <v>63.618973289292988</v>
      </c>
      <c r="J84" s="85">
        <v>1.9405410866158845</v>
      </c>
      <c r="K84" s="85">
        <v>1.3422111039566009</v>
      </c>
      <c r="L84" s="85">
        <v>-0.17089913277719768</v>
      </c>
      <c r="M84" s="137">
        <v>2.7359353594148171E-2</v>
      </c>
    </row>
    <row r="85" spans="1:13" ht="13.5" thickBot="1" x14ac:dyDescent="0.25">
      <c r="A85" s="95">
        <f t="shared" si="1"/>
        <v>80</v>
      </c>
      <c r="B85" s="89">
        <v>46.55769579327945</v>
      </c>
      <c r="C85" s="89">
        <v>81.466226683198343</v>
      </c>
      <c r="D85" s="89">
        <v>2.957808178681367</v>
      </c>
      <c r="E85" s="89">
        <v>1.6163904133709059</v>
      </c>
      <c r="F85" s="89">
        <v>-0.42283287762346872</v>
      </c>
      <c r="G85" s="89">
        <v>4.3054883537778782E-2</v>
      </c>
      <c r="H85" s="89">
        <v>67.99772660110709</v>
      </c>
      <c r="I85" s="89">
        <v>64.932198739065143</v>
      </c>
      <c r="J85" s="89">
        <v>1.9679058674195375</v>
      </c>
      <c r="K85" s="89">
        <v>1.3421356530804398</v>
      </c>
      <c r="L85" s="89">
        <v>-0.17098975512470049</v>
      </c>
      <c r="M85" s="140">
        <v>2.7364780803653108E-2</v>
      </c>
    </row>
    <row r="86" spans="1:13" x14ac:dyDescent="0.2">
      <c r="A86" s="92">
        <f t="shared" si="1"/>
        <v>81</v>
      </c>
      <c r="B86" s="277">
        <v>45.046203579736186</v>
      </c>
      <c r="C86" s="277">
        <v>82.177643482963362</v>
      </c>
      <c r="D86" s="277">
        <v>3.0008783381252098</v>
      </c>
      <c r="E86" s="277">
        <v>1.6160499171606029</v>
      </c>
      <c r="F86" s="277">
        <v>-0.42320827004563144</v>
      </c>
      <c r="G86" s="277">
        <v>4.3070159443842952E-2</v>
      </c>
      <c r="H86" s="277">
        <v>67.636440378333617</v>
      </c>
      <c r="I86" s="277">
        <v>66.23599150860511</v>
      </c>
      <c r="J86" s="277">
        <v>1.9952757959007255</v>
      </c>
      <c r="K86" s="277">
        <v>1.3420642392626891</v>
      </c>
      <c r="L86" s="277">
        <v>-0.17107570944721992</v>
      </c>
      <c r="M86" s="278">
        <v>2.7369928481188008E-2</v>
      </c>
    </row>
    <row r="87" spans="1:13" x14ac:dyDescent="0.2">
      <c r="A87" s="93">
        <f t="shared" si="1"/>
        <v>82</v>
      </c>
      <c r="B87" s="85">
        <v>43.505852002551592</v>
      </c>
      <c r="C87" s="85">
        <v>82.823627874704968</v>
      </c>
      <c r="D87" s="85">
        <v>3.0439629888998239</v>
      </c>
      <c r="E87" s="85">
        <v>1.6157264164760856</v>
      </c>
      <c r="F87" s="85">
        <v>-0.42356459107223737</v>
      </c>
      <c r="G87" s="85">
        <v>4.3084650774614035E-2</v>
      </c>
      <c r="H87" s="85">
        <v>67.239711344139693</v>
      </c>
      <c r="I87" s="85">
        <v>67.529380794690894</v>
      </c>
      <c r="J87" s="85">
        <v>2.0226506069943424</v>
      </c>
      <c r="K87" s="85">
        <v>1.3419966363654801</v>
      </c>
      <c r="L87" s="85">
        <v>-0.17115723740953037</v>
      </c>
      <c r="M87" s="137">
        <v>2.7374811093617061E-2</v>
      </c>
    </row>
    <row r="88" spans="1:13" x14ac:dyDescent="0.2">
      <c r="A88" s="93">
        <f t="shared" si="1"/>
        <v>83</v>
      </c>
      <c r="B88" s="85">
        <v>41.939445311987363</v>
      </c>
      <c r="C88" s="85">
        <v>83.402974461508904</v>
      </c>
      <c r="D88" s="85">
        <v>3.0870613870237884</v>
      </c>
      <c r="E88" s="85">
        <v>1.6154190780680766</v>
      </c>
      <c r="F88" s="85">
        <v>-0.42390280737385666</v>
      </c>
      <c r="G88" s="85">
        <v>4.3098398123964737E-2</v>
      </c>
      <c r="H88" s="85">
        <v>66.807826601856604</v>
      </c>
      <c r="I88" s="85">
        <v>68.811402649235148</v>
      </c>
      <c r="J88" s="85">
        <v>2.0500300493450458</v>
      </c>
      <c r="K88" s="85">
        <v>1.3419326320116016</v>
      </c>
      <c r="L88" s="85">
        <v>-0.1712345680300798</v>
      </c>
      <c r="M88" s="137">
        <v>2.737944235070338E-2</v>
      </c>
    </row>
    <row r="89" spans="1:13" x14ac:dyDescent="0.2">
      <c r="A89" s="93">
        <f t="shared" si="1"/>
        <v>84</v>
      </c>
      <c r="B89" s="85">
        <v>40.349841027105562</v>
      </c>
      <c r="C89" s="85">
        <v>83.914598988666313</v>
      </c>
      <c r="D89" s="85">
        <v>3.1301728269800084</v>
      </c>
      <c r="E89" s="85">
        <v>1.6151271081774117</v>
      </c>
      <c r="F89" s="85">
        <v>-0.42422383682922443</v>
      </c>
      <c r="G89" s="85">
        <v>4.3111439956219806E-2</v>
      </c>
      <c r="H89" s="85">
        <v>66.341100101444866</v>
      </c>
      <c r="I89" s="85">
        <v>70.081100767912176</v>
      </c>
      <c r="J89" s="85">
        <v>2.077413884590857</v>
      </c>
      <c r="K89" s="85">
        <v>1.3418720266353434</v>
      </c>
      <c r="L89" s="85">
        <v>-0.17130791835791212</v>
      </c>
      <c r="M89" s="137">
        <v>2.7383835245811214E-2</v>
      </c>
    </row>
    <row r="90" spans="1:13" x14ac:dyDescent="0.2">
      <c r="A90" s="93">
        <f t="shared" si="1"/>
        <v>85</v>
      </c>
      <c r="B90" s="85">
        <v>38.739944510495036</v>
      </c>
      <c r="C90" s="85">
        <v>84.357540761362728</v>
      </c>
      <c r="D90" s="85">
        <v>3.1732966397008138</v>
      </c>
      <c r="E90" s="85">
        <v>1.6148497507836179</v>
      </c>
      <c r="F90" s="85">
        <v>-0.42452855096945363</v>
      </c>
      <c r="G90" s="85">
        <v>4.3123812720805232E-2</v>
      </c>
      <c r="H90" s="85">
        <v>65.839872409664352</v>
      </c>
      <c r="I90" s="85">
        <v>71.337527269847158</v>
      </c>
      <c r="J90" s="85">
        <v>2.1048018866851295</v>
      </c>
      <c r="K90" s="85">
        <v>1.3418146326092137</v>
      </c>
      <c r="L90" s="85">
        <v>-0.17137749411166264</v>
      </c>
      <c r="M90" s="137">
        <v>2.7388002094272567E-2</v>
      </c>
    </row>
    <row r="91" spans="1:13" x14ac:dyDescent="0.2">
      <c r="A91" s="93">
        <f t="shared" si="1"/>
        <v>86</v>
      </c>
      <c r="B91" s="85">
        <v>37.112703440701807</v>
      </c>
      <c r="C91" s="85">
        <v>84.73096480902592</v>
      </c>
      <c r="D91" s="85">
        <v>3.216432190661231</v>
      </c>
      <c r="E91" s="85">
        <v>1.6145862859208415</v>
      </c>
      <c r="F91" s="85">
        <v>-0.42481777730141668</v>
      </c>
      <c r="G91" s="85">
        <v>4.3135550960417372E-2</v>
      </c>
      <c r="H91" s="85">
        <v>65.304510458269633</v>
      </c>
      <c r="I91" s="85">
        <v>72.579743467914156</v>
      </c>
      <c r="J91" s="85">
        <v>2.1321938412547023</v>
      </c>
      <c r="K91" s="85">
        <v>1.3417602734396292</v>
      </c>
      <c r="L91" s="85">
        <v>-0.17144349028293931</v>
      </c>
      <c r="M91" s="137">
        <v>2.7391954569573027E-2</v>
      </c>
    </row>
    <row r="92" spans="1:13" x14ac:dyDescent="0.2">
      <c r="A92" s="93">
        <f t="shared" si="1"/>
        <v>87</v>
      </c>
      <c r="B92" s="85">
        <v>35.471102194191189</v>
      </c>
      <c r="C92" s="85">
        <v>85.034163792786913</v>
      </c>
      <c r="D92" s="85">
        <v>3.2595788780743438</v>
      </c>
      <c r="E92" s="85">
        <v>1.6143360280594079</v>
      </c>
      <c r="F92" s="85">
        <v>-0.42509230151613497</v>
      </c>
      <c r="G92" s="85">
        <v>4.3146687413112735E-2</v>
      </c>
      <c r="H92" s="85">
        <v>64.735407270604952</v>
      </c>
      <c r="I92" s="85">
        <v>73.806820629191975</v>
      </c>
      <c r="J92" s="85">
        <v>2.1595895449922007</v>
      </c>
      <c r="K92" s="85">
        <v>1.341708783025358</v>
      </c>
      <c r="L92" s="85">
        <v>-0.17150609170624129</v>
      </c>
      <c r="M92" s="137">
        <v>2.7395703737498469E-2</v>
      </c>
    </row>
    <row r="93" spans="1:13" x14ac:dyDescent="0.2">
      <c r="A93" s="93">
        <f t="shared" si="1"/>
        <v>88</v>
      </c>
      <c r="B93" s="85">
        <v>33.818156148753182</v>
      </c>
      <c r="C93" s="85">
        <v>85.266559653026704</v>
      </c>
      <c r="D93" s="85">
        <v>3.3027361311830341</v>
      </c>
      <c r="E93" s="85">
        <v>1.6140983245512712</v>
      </c>
      <c r="F93" s="85">
        <v>-0.42535286958774443</v>
      </c>
      <c r="G93" s="85">
        <v>4.3157253108690292E-2</v>
      </c>
      <c r="H93" s="85">
        <v>64.132981666975013</v>
      </c>
      <c r="I93" s="85">
        <v>75.017840725130213</v>
      </c>
      <c r="J93" s="85">
        <v>2.1869888050805733</v>
      </c>
      <c r="K93" s="85">
        <v>1.3416600049731096</v>
      </c>
      <c r="L93" s="85">
        <v>-0.17156547359741817</v>
      </c>
      <c r="M93" s="137">
        <v>2.7399260088372679E-2</v>
      </c>
    </row>
    <row r="94" spans="1:13" x14ac:dyDescent="0.2">
      <c r="A94" s="93">
        <f t="shared" si="1"/>
        <v>89</v>
      </c>
      <c r="B94" s="85">
        <v>32.156905920325528</v>
      </c>
      <c r="C94" s="85">
        <v>85.427704994499763</v>
      </c>
      <c r="D94" s="85">
        <v>3.3459034086427457</v>
      </c>
      <c r="E94" s="85">
        <v>1.6138725541375756</v>
      </c>
      <c r="F94" s="85">
        <v>-0.42560018976834457</v>
      </c>
      <c r="G94" s="85">
        <v>4.3167277459711731E-2</v>
      </c>
      <c r="H94" s="85">
        <v>63.497677949170608</v>
      </c>
      <c r="I94" s="85">
        <v>76.211897170981231</v>
      </c>
      <c r="J94" s="85">
        <v>2.2143914386480787</v>
      </c>
      <c r="K94" s="85">
        <v>1.3416137919652149</v>
      </c>
      <c r="L94" s="85">
        <v>-0.1716218020625376</v>
      </c>
      <c r="M94" s="137">
        <v>2.7402633567505458E-2</v>
      </c>
    </row>
    <row r="95" spans="1:13" ht="13.5" thickBot="1" x14ac:dyDescent="0.25">
      <c r="A95" s="95">
        <f t="shared" si="1"/>
        <v>90</v>
      </c>
      <c r="B95" s="89">
        <v>30.490411545251796</v>
      </c>
      <c r="C95" s="89">
        <v>85.517284207043645</v>
      </c>
      <c r="D95" s="89">
        <v>3.3890801969902267</v>
      </c>
      <c r="E95" s="89">
        <v>1.6136581255165403</v>
      </c>
      <c r="F95" s="89">
        <v>-0.42583493448379089</v>
      </c>
      <c r="G95" s="89">
        <v>4.3176788347481142E-2</v>
      </c>
      <c r="H95" s="89">
        <v>62.82996556453179</v>
      </c>
      <c r="I95" s="89">
        <v>77.388095554058026</v>
      </c>
      <c r="J95" s="89">
        <v>2.2417972722520401</v>
      </c>
      <c r="K95" s="89">
        <v>1.3415700051748343</v>
      </c>
      <c r="L95" s="89">
        <v>-0.1716752345789033</v>
      </c>
      <c r="M95" s="140">
        <v>2.7405833603961524E-2</v>
      </c>
    </row>
    <row r="96" spans="1:13" x14ac:dyDescent="0.2">
      <c r="A96" s="92">
        <f t="shared" si="1"/>
        <v>91</v>
      </c>
      <c r="B96" s="277"/>
      <c r="C96" s="277"/>
      <c r="D96" s="277"/>
      <c r="E96" s="277"/>
      <c r="F96" s="277"/>
      <c r="G96" s="277"/>
      <c r="H96" s="277"/>
      <c r="I96" s="277"/>
      <c r="J96" s="277"/>
      <c r="K96" s="277"/>
      <c r="L96" s="277"/>
      <c r="M96" s="278"/>
    </row>
    <row r="97" spans="1:13" x14ac:dyDescent="0.2">
      <c r="A97" s="93">
        <f t="shared" si="1"/>
        <v>92</v>
      </c>
      <c r="B97" s="85"/>
      <c r="C97" s="85"/>
      <c r="D97" s="85"/>
      <c r="E97" s="85"/>
      <c r="F97" s="85"/>
      <c r="G97" s="85"/>
      <c r="H97" s="85"/>
      <c r="I97" s="85"/>
      <c r="J97" s="85"/>
      <c r="K97" s="85"/>
      <c r="L97" s="85"/>
      <c r="M97" s="137"/>
    </row>
    <row r="98" spans="1:13" x14ac:dyDescent="0.2">
      <c r="A98" s="93">
        <f t="shared" si="1"/>
        <v>93</v>
      </c>
      <c r="B98" s="85"/>
      <c r="C98" s="85"/>
      <c r="D98" s="85"/>
      <c r="E98" s="85"/>
      <c r="F98" s="85"/>
      <c r="G98" s="85"/>
      <c r="H98" s="85"/>
      <c r="I98" s="85"/>
      <c r="J98" s="85"/>
      <c r="K98" s="85"/>
      <c r="L98" s="85"/>
      <c r="M98" s="137"/>
    </row>
    <row r="99" spans="1:13" x14ac:dyDescent="0.2">
      <c r="A99" s="93">
        <f t="shared" si="1"/>
        <v>94</v>
      </c>
      <c r="B99" s="85"/>
      <c r="C99" s="85"/>
      <c r="D99" s="85"/>
      <c r="E99" s="85"/>
      <c r="F99" s="85"/>
      <c r="G99" s="85"/>
      <c r="H99" s="85"/>
      <c r="I99" s="85"/>
      <c r="J99" s="85"/>
      <c r="K99" s="85"/>
      <c r="L99" s="85"/>
      <c r="M99" s="137"/>
    </row>
    <row r="100" spans="1:13" x14ac:dyDescent="0.2">
      <c r="A100" s="93">
        <f t="shared" si="1"/>
        <v>95</v>
      </c>
      <c r="B100" s="85"/>
      <c r="C100" s="85"/>
      <c r="D100" s="85"/>
      <c r="E100" s="85"/>
      <c r="F100" s="85"/>
      <c r="G100" s="85"/>
      <c r="H100" s="85"/>
      <c r="I100" s="85"/>
      <c r="J100" s="85"/>
      <c r="K100" s="85"/>
      <c r="L100" s="85"/>
      <c r="M100" s="137"/>
    </row>
    <row r="101" spans="1:13" x14ac:dyDescent="0.2">
      <c r="A101" s="93">
        <f t="shared" si="1"/>
        <v>96</v>
      </c>
      <c r="B101" s="85"/>
      <c r="C101" s="85"/>
      <c r="D101" s="85"/>
      <c r="E101" s="85"/>
      <c r="F101" s="85"/>
      <c r="G101" s="85"/>
      <c r="H101" s="85"/>
      <c r="I101" s="85"/>
      <c r="J101" s="85"/>
      <c r="K101" s="85"/>
      <c r="L101" s="85"/>
      <c r="M101" s="137"/>
    </row>
    <row r="102" spans="1:13" x14ac:dyDescent="0.2">
      <c r="A102" s="93">
        <f t="shared" si="1"/>
        <v>97</v>
      </c>
      <c r="B102" s="85"/>
      <c r="C102" s="85"/>
      <c r="D102" s="85"/>
      <c r="E102" s="85"/>
      <c r="F102" s="85"/>
      <c r="G102" s="85"/>
      <c r="H102" s="85"/>
      <c r="I102" s="85"/>
      <c r="J102" s="85"/>
      <c r="K102" s="85"/>
      <c r="L102" s="85"/>
      <c r="M102" s="137"/>
    </row>
    <row r="103" spans="1:13" x14ac:dyDescent="0.2">
      <c r="A103" s="93">
        <f t="shared" si="1"/>
        <v>98</v>
      </c>
      <c r="B103" s="85"/>
      <c r="C103" s="85"/>
      <c r="D103" s="85"/>
      <c r="E103" s="85"/>
      <c r="F103" s="85"/>
      <c r="G103" s="85"/>
      <c r="H103" s="85"/>
      <c r="I103" s="85"/>
      <c r="J103" s="85"/>
      <c r="K103" s="85"/>
      <c r="L103" s="85"/>
      <c r="M103" s="137"/>
    </row>
    <row r="104" spans="1:13" x14ac:dyDescent="0.2">
      <c r="A104" s="93">
        <f t="shared" si="1"/>
        <v>99</v>
      </c>
      <c r="B104" s="85"/>
      <c r="C104" s="85"/>
      <c r="D104" s="85"/>
      <c r="E104" s="85"/>
      <c r="F104" s="85"/>
      <c r="G104" s="85"/>
      <c r="H104" s="85"/>
      <c r="I104" s="85"/>
      <c r="J104" s="85"/>
      <c r="K104" s="85"/>
      <c r="L104" s="85"/>
      <c r="M104" s="137"/>
    </row>
    <row r="105" spans="1:13" ht="13.5" thickBot="1" x14ac:dyDescent="0.25">
      <c r="A105" s="95">
        <f t="shared" si="1"/>
        <v>100</v>
      </c>
      <c r="B105" s="89"/>
      <c r="C105" s="89"/>
      <c r="D105" s="89"/>
      <c r="E105" s="89"/>
      <c r="F105" s="89"/>
      <c r="G105" s="89"/>
      <c r="H105" s="89"/>
      <c r="I105" s="89"/>
      <c r="J105" s="89"/>
      <c r="K105" s="89"/>
      <c r="L105" s="89"/>
      <c r="M105" s="140"/>
    </row>
    <row r="106" spans="1:13" x14ac:dyDescent="0.2">
      <c r="A106" s="92">
        <f t="shared" si="1"/>
        <v>101</v>
      </c>
      <c r="B106" s="277"/>
      <c r="C106" s="277"/>
      <c r="D106" s="277"/>
      <c r="E106" s="277"/>
      <c r="F106" s="277"/>
      <c r="G106" s="277"/>
      <c r="H106" s="277"/>
      <c r="I106" s="277"/>
      <c r="J106" s="277"/>
      <c r="K106" s="277"/>
      <c r="L106" s="277"/>
      <c r="M106" s="278"/>
    </row>
    <row r="107" spans="1:13" x14ac:dyDescent="0.2">
      <c r="A107" s="93">
        <f t="shared" si="1"/>
        <v>102</v>
      </c>
      <c r="B107" s="85"/>
      <c r="C107" s="85"/>
      <c r="D107" s="85"/>
      <c r="E107" s="85"/>
      <c r="F107" s="85"/>
      <c r="G107" s="85"/>
      <c r="H107" s="85"/>
      <c r="I107" s="85"/>
      <c r="J107" s="85"/>
      <c r="K107" s="85"/>
      <c r="L107" s="85"/>
      <c r="M107" s="137"/>
    </row>
    <row r="108" spans="1:13" x14ac:dyDescent="0.2">
      <c r="A108" s="93">
        <f t="shared" si="1"/>
        <v>103</v>
      </c>
      <c r="B108" s="85"/>
      <c r="C108" s="85"/>
      <c r="D108" s="85"/>
      <c r="E108" s="85"/>
      <c r="F108" s="85"/>
      <c r="G108" s="85"/>
      <c r="H108" s="85"/>
      <c r="I108" s="85"/>
      <c r="J108" s="85"/>
      <c r="K108" s="85"/>
      <c r="L108" s="85"/>
      <c r="M108" s="137"/>
    </row>
    <row r="109" spans="1:13" x14ac:dyDescent="0.2">
      <c r="A109" s="93">
        <f t="shared" si="1"/>
        <v>104</v>
      </c>
      <c r="B109" s="85"/>
      <c r="C109" s="85"/>
      <c r="D109" s="85"/>
      <c r="E109" s="85"/>
      <c r="F109" s="85"/>
      <c r="G109" s="85"/>
      <c r="H109" s="85"/>
      <c r="I109" s="85"/>
      <c r="J109" s="85"/>
      <c r="K109" s="85"/>
      <c r="L109" s="85"/>
      <c r="M109" s="137"/>
    </row>
    <row r="110" spans="1:13" x14ac:dyDescent="0.2">
      <c r="A110" s="93">
        <f t="shared" si="1"/>
        <v>105</v>
      </c>
      <c r="B110" s="85"/>
      <c r="C110" s="85"/>
      <c r="D110" s="85"/>
      <c r="E110" s="85"/>
      <c r="F110" s="85"/>
      <c r="G110" s="85"/>
      <c r="H110" s="85"/>
      <c r="I110" s="85"/>
      <c r="J110" s="85"/>
      <c r="K110" s="85"/>
      <c r="L110" s="85"/>
      <c r="M110" s="137"/>
    </row>
    <row r="111" spans="1:13" x14ac:dyDescent="0.2">
      <c r="A111" s="93">
        <f t="shared" si="1"/>
        <v>106</v>
      </c>
      <c r="B111" s="85"/>
      <c r="C111" s="85"/>
      <c r="D111" s="85"/>
      <c r="E111" s="85"/>
      <c r="F111" s="85"/>
      <c r="G111" s="85"/>
      <c r="H111" s="85"/>
      <c r="I111" s="85"/>
      <c r="J111" s="85"/>
      <c r="K111" s="85"/>
      <c r="L111" s="85"/>
      <c r="M111" s="137"/>
    </row>
    <row r="112" spans="1:13" x14ac:dyDescent="0.2">
      <c r="A112" s="93">
        <f t="shared" si="1"/>
        <v>107</v>
      </c>
      <c r="B112" s="85"/>
      <c r="C112" s="85"/>
      <c r="D112" s="85"/>
      <c r="E112" s="85"/>
      <c r="F112" s="85"/>
      <c r="G112" s="85"/>
      <c r="H112" s="85"/>
      <c r="I112" s="85"/>
      <c r="J112" s="85"/>
      <c r="K112" s="85"/>
      <c r="L112" s="85"/>
      <c r="M112" s="137"/>
    </row>
    <row r="113" spans="1:13" x14ac:dyDescent="0.2">
      <c r="A113" s="93">
        <f t="shared" si="1"/>
        <v>108</v>
      </c>
      <c r="B113" s="85"/>
      <c r="C113" s="85"/>
      <c r="D113" s="85"/>
      <c r="E113" s="85"/>
      <c r="F113" s="85"/>
      <c r="G113" s="85"/>
      <c r="H113" s="85"/>
      <c r="I113" s="85"/>
      <c r="J113" s="85"/>
      <c r="K113" s="85"/>
      <c r="L113" s="85"/>
      <c r="M113" s="137"/>
    </row>
    <row r="114" spans="1:13" x14ac:dyDescent="0.2">
      <c r="A114" s="93">
        <f t="shared" si="1"/>
        <v>109</v>
      </c>
      <c r="B114" s="85"/>
      <c r="C114" s="85"/>
      <c r="D114" s="85"/>
      <c r="E114" s="85"/>
      <c r="F114" s="85"/>
      <c r="G114" s="85"/>
      <c r="H114" s="85"/>
      <c r="I114" s="85"/>
      <c r="J114" s="85"/>
      <c r="K114" s="85"/>
      <c r="L114" s="85"/>
      <c r="M114" s="137"/>
    </row>
    <row r="115" spans="1:13" ht="13.5" thickBot="1" x14ac:dyDescent="0.25">
      <c r="A115" s="95">
        <f t="shared" si="1"/>
        <v>110</v>
      </c>
      <c r="B115" s="89"/>
      <c r="C115" s="89"/>
      <c r="D115" s="89"/>
      <c r="E115" s="89"/>
      <c r="F115" s="89"/>
      <c r="G115" s="89"/>
      <c r="H115" s="89"/>
      <c r="I115" s="89"/>
      <c r="J115" s="89"/>
      <c r="K115" s="89"/>
      <c r="L115" s="89"/>
      <c r="M115" s="140"/>
    </row>
    <row r="116" spans="1:13" x14ac:dyDescent="0.2">
      <c r="A116" s="92">
        <f t="shared" si="1"/>
        <v>111</v>
      </c>
      <c r="B116" s="277"/>
      <c r="C116" s="277"/>
      <c r="D116" s="277"/>
      <c r="E116" s="277"/>
      <c r="F116" s="277"/>
      <c r="G116" s="277"/>
      <c r="H116" s="277"/>
      <c r="I116" s="277"/>
      <c r="J116" s="277"/>
      <c r="K116" s="277"/>
      <c r="L116" s="277"/>
      <c r="M116" s="278"/>
    </row>
    <row r="117" spans="1:13" x14ac:dyDescent="0.2">
      <c r="A117" s="93">
        <f t="shared" si="1"/>
        <v>112</v>
      </c>
      <c r="B117" s="85"/>
      <c r="C117" s="85"/>
      <c r="D117" s="85"/>
      <c r="E117" s="85"/>
      <c r="F117" s="85"/>
      <c r="G117" s="85"/>
      <c r="H117" s="85"/>
      <c r="I117" s="85"/>
      <c r="J117" s="85"/>
      <c r="K117" s="85"/>
      <c r="L117" s="85"/>
      <c r="M117" s="137"/>
    </row>
    <row r="118" spans="1:13" x14ac:dyDescent="0.2">
      <c r="A118" s="93">
        <f t="shared" si="1"/>
        <v>113</v>
      </c>
      <c r="B118" s="85"/>
      <c r="C118" s="85"/>
      <c r="D118" s="85"/>
      <c r="E118" s="85"/>
      <c r="F118" s="85"/>
      <c r="G118" s="85"/>
      <c r="H118" s="85"/>
      <c r="I118" s="85"/>
      <c r="J118" s="85"/>
      <c r="K118" s="85"/>
      <c r="L118" s="85"/>
      <c r="M118" s="137"/>
    </row>
    <row r="119" spans="1:13" x14ac:dyDescent="0.2">
      <c r="A119" s="93">
        <f t="shared" si="1"/>
        <v>114</v>
      </c>
      <c r="B119" s="85"/>
      <c r="C119" s="85"/>
      <c r="D119" s="85"/>
      <c r="E119" s="85"/>
      <c r="F119" s="85"/>
      <c r="G119" s="85"/>
      <c r="H119" s="85"/>
      <c r="I119" s="85"/>
      <c r="J119" s="85"/>
      <c r="K119" s="85"/>
      <c r="L119" s="85"/>
      <c r="M119" s="137"/>
    </row>
    <row r="120" spans="1:13" x14ac:dyDescent="0.2">
      <c r="A120" s="93">
        <f t="shared" si="1"/>
        <v>115</v>
      </c>
      <c r="B120" s="85"/>
      <c r="C120" s="85"/>
      <c r="D120" s="85"/>
      <c r="E120" s="85"/>
      <c r="F120" s="85"/>
      <c r="G120" s="85"/>
      <c r="H120" s="85"/>
      <c r="I120" s="85"/>
      <c r="J120" s="85"/>
      <c r="K120" s="85"/>
      <c r="L120" s="85"/>
      <c r="M120" s="137"/>
    </row>
    <row r="121" spans="1:13" x14ac:dyDescent="0.2">
      <c r="A121" s="93">
        <f t="shared" si="1"/>
        <v>116</v>
      </c>
      <c r="B121" s="85"/>
      <c r="C121" s="85"/>
      <c r="D121" s="85"/>
      <c r="E121" s="85"/>
      <c r="F121" s="85"/>
      <c r="G121" s="85"/>
      <c r="H121" s="85"/>
      <c r="I121" s="85"/>
      <c r="J121" s="85"/>
      <c r="K121" s="85"/>
      <c r="L121" s="85"/>
      <c r="M121" s="137"/>
    </row>
    <row r="122" spans="1:13" x14ac:dyDescent="0.2">
      <c r="A122" s="93">
        <f t="shared" si="1"/>
        <v>117</v>
      </c>
      <c r="B122" s="85"/>
      <c r="C122" s="85"/>
      <c r="D122" s="85"/>
      <c r="E122" s="85"/>
      <c r="F122" s="85"/>
      <c r="G122" s="85"/>
      <c r="H122" s="85"/>
      <c r="I122" s="85"/>
      <c r="J122" s="85"/>
      <c r="K122" s="85"/>
      <c r="L122" s="85"/>
      <c r="M122" s="137"/>
    </row>
    <row r="123" spans="1:13" x14ac:dyDescent="0.2">
      <c r="A123" s="93">
        <f t="shared" si="1"/>
        <v>118</v>
      </c>
      <c r="B123" s="85"/>
      <c r="C123" s="85"/>
      <c r="D123" s="85"/>
      <c r="E123" s="85"/>
      <c r="F123" s="85"/>
      <c r="G123" s="85"/>
      <c r="H123" s="85"/>
      <c r="I123" s="85"/>
      <c r="J123" s="85"/>
      <c r="K123" s="85"/>
      <c r="L123" s="85"/>
      <c r="M123" s="137"/>
    </row>
    <row r="124" spans="1:13" x14ac:dyDescent="0.2">
      <c r="A124" s="93">
        <f t="shared" si="1"/>
        <v>119</v>
      </c>
      <c r="B124" s="85"/>
      <c r="C124" s="85"/>
      <c r="D124" s="85"/>
      <c r="E124" s="85"/>
      <c r="F124" s="85"/>
      <c r="G124" s="85"/>
      <c r="H124" s="85"/>
      <c r="I124" s="85"/>
      <c r="J124" s="85"/>
      <c r="K124" s="85"/>
      <c r="L124" s="85"/>
      <c r="M124" s="137"/>
    </row>
    <row r="125" spans="1:13" ht="13.5" thickBot="1" x14ac:dyDescent="0.25">
      <c r="A125" s="95">
        <f t="shared" si="1"/>
        <v>120</v>
      </c>
      <c r="B125" s="89"/>
      <c r="C125" s="89"/>
      <c r="D125" s="89"/>
      <c r="E125" s="89"/>
      <c r="F125" s="89"/>
      <c r="G125" s="89"/>
      <c r="H125" s="89"/>
      <c r="I125" s="89"/>
      <c r="J125" s="89"/>
      <c r="K125" s="89"/>
      <c r="L125" s="89"/>
      <c r="M125" s="140"/>
    </row>
    <row r="126" spans="1:13" x14ac:dyDescent="0.2">
      <c r="A126" s="92">
        <f t="shared" si="1"/>
        <v>121</v>
      </c>
      <c r="B126" s="277"/>
      <c r="C126" s="277"/>
      <c r="D126" s="277"/>
      <c r="E126" s="277"/>
      <c r="F126" s="277"/>
      <c r="G126" s="277"/>
      <c r="H126" s="277"/>
      <c r="I126" s="277"/>
      <c r="J126" s="277"/>
      <c r="K126" s="277"/>
      <c r="L126" s="277"/>
      <c r="M126" s="278"/>
    </row>
    <row r="127" spans="1:13" x14ac:dyDescent="0.2">
      <c r="A127" s="93">
        <f t="shared" si="1"/>
        <v>122</v>
      </c>
      <c r="B127" s="85"/>
      <c r="C127" s="85"/>
      <c r="D127" s="85"/>
      <c r="E127" s="85"/>
      <c r="F127" s="85"/>
      <c r="G127" s="85"/>
      <c r="H127" s="85"/>
      <c r="I127" s="85"/>
      <c r="J127" s="85"/>
      <c r="K127" s="85"/>
      <c r="L127" s="85"/>
      <c r="M127" s="137"/>
    </row>
    <row r="128" spans="1:13" x14ac:dyDescent="0.2">
      <c r="A128" s="93">
        <f t="shared" si="1"/>
        <v>123</v>
      </c>
      <c r="B128" s="85"/>
      <c r="C128" s="85"/>
      <c r="D128" s="85"/>
      <c r="E128" s="85"/>
      <c r="F128" s="85"/>
      <c r="G128" s="85"/>
      <c r="H128" s="85"/>
      <c r="I128" s="85"/>
      <c r="J128" s="85"/>
      <c r="K128" s="85"/>
      <c r="L128" s="85"/>
      <c r="M128" s="137"/>
    </row>
    <row r="129" spans="1:13" x14ac:dyDescent="0.2">
      <c r="A129" s="93">
        <f t="shared" si="1"/>
        <v>124</v>
      </c>
      <c r="B129" s="85"/>
      <c r="C129" s="85"/>
      <c r="D129" s="85"/>
      <c r="E129" s="85"/>
      <c r="F129" s="85"/>
      <c r="G129" s="85"/>
      <c r="H129" s="85"/>
      <c r="I129" s="85"/>
      <c r="J129" s="85"/>
      <c r="K129" s="85"/>
      <c r="L129" s="85"/>
      <c r="M129" s="137"/>
    </row>
    <row r="130" spans="1:13" x14ac:dyDescent="0.2">
      <c r="A130" s="93">
        <f t="shared" si="1"/>
        <v>125</v>
      </c>
      <c r="B130" s="85"/>
      <c r="C130" s="85"/>
      <c r="D130" s="85"/>
      <c r="E130" s="85"/>
      <c r="F130" s="85"/>
      <c r="G130" s="85"/>
      <c r="H130" s="85"/>
      <c r="I130" s="85"/>
      <c r="J130" s="85"/>
      <c r="K130" s="85"/>
      <c r="L130" s="85"/>
      <c r="M130" s="137"/>
    </row>
    <row r="131" spans="1:13" x14ac:dyDescent="0.2">
      <c r="A131" s="93">
        <f t="shared" si="1"/>
        <v>126</v>
      </c>
      <c r="B131" s="85"/>
      <c r="C131" s="85"/>
      <c r="D131" s="85"/>
      <c r="E131" s="85"/>
      <c r="F131" s="85"/>
      <c r="G131" s="85"/>
      <c r="H131" s="85"/>
      <c r="I131" s="85"/>
      <c r="J131" s="85"/>
      <c r="K131" s="85"/>
      <c r="L131" s="85"/>
      <c r="M131" s="137"/>
    </row>
    <row r="132" spans="1:13" x14ac:dyDescent="0.2">
      <c r="A132" s="93">
        <f t="shared" si="1"/>
        <v>127</v>
      </c>
      <c r="B132" s="85"/>
      <c r="C132" s="85"/>
      <c r="D132" s="85"/>
      <c r="E132" s="85"/>
      <c r="F132" s="85"/>
      <c r="G132" s="85"/>
      <c r="H132" s="85"/>
      <c r="I132" s="85"/>
      <c r="J132" s="85"/>
      <c r="K132" s="85"/>
      <c r="L132" s="85"/>
      <c r="M132" s="137"/>
    </row>
    <row r="133" spans="1:13" x14ac:dyDescent="0.2">
      <c r="A133" s="93">
        <f t="shared" si="1"/>
        <v>128</v>
      </c>
      <c r="B133" s="85"/>
      <c r="C133" s="85"/>
      <c r="D133" s="85"/>
      <c r="E133" s="85"/>
      <c r="F133" s="85"/>
      <c r="G133" s="85"/>
      <c r="H133" s="85"/>
      <c r="I133" s="85"/>
      <c r="J133" s="85"/>
      <c r="K133" s="85"/>
      <c r="L133" s="85"/>
      <c r="M133" s="137"/>
    </row>
    <row r="134" spans="1:13" x14ac:dyDescent="0.2">
      <c r="A134" s="93">
        <f t="shared" si="1"/>
        <v>129</v>
      </c>
      <c r="B134" s="85"/>
      <c r="C134" s="85"/>
      <c r="D134" s="85"/>
      <c r="E134" s="85"/>
      <c r="F134" s="85"/>
      <c r="G134" s="85"/>
      <c r="H134" s="85"/>
      <c r="I134" s="85"/>
      <c r="J134" s="85"/>
      <c r="K134" s="85"/>
      <c r="L134" s="85"/>
      <c r="M134" s="137"/>
    </row>
    <row r="135" spans="1:13" ht="13.5" thickBot="1" x14ac:dyDescent="0.25">
      <c r="A135" s="95">
        <f t="shared" ref="A135:A145" si="2">A134+1</f>
        <v>130</v>
      </c>
      <c r="B135" s="89"/>
      <c r="C135" s="89"/>
      <c r="D135" s="89"/>
      <c r="E135" s="89"/>
      <c r="F135" s="89"/>
      <c r="G135" s="89"/>
      <c r="H135" s="89"/>
      <c r="I135" s="89"/>
      <c r="J135" s="89"/>
      <c r="K135" s="89"/>
      <c r="L135" s="89"/>
      <c r="M135" s="140"/>
    </row>
    <row r="136" spans="1:13" x14ac:dyDescent="0.2">
      <c r="A136" s="92">
        <f t="shared" si="2"/>
        <v>131</v>
      </c>
      <c r="B136" s="277"/>
      <c r="C136" s="277"/>
      <c r="D136" s="277"/>
      <c r="E136" s="277"/>
      <c r="F136" s="277"/>
      <c r="G136" s="277"/>
      <c r="H136" s="277"/>
      <c r="I136" s="277"/>
      <c r="J136" s="277"/>
      <c r="K136" s="277"/>
      <c r="L136" s="277"/>
      <c r="M136" s="278"/>
    </row>
    <row r="137" spans="1:13" x14ac:dyDescent="0.2">
      <c r="A137" s="93">
        <f t="shared" si="2"/>
        <v>132</v>
      </c>
      <c r="B137" s="85"/>
      <c r="C137" s="85"/>
      <c r="D137" s="85"/>
      <c r="E137" s="85"/>
      <c r="F137" s="85"/>
      <c r="G137" s="85"/>
      <c r="H137" s="85"/>
      <c r="I137" s="85"/>
      <c r="J137" s="85"/>
      <c r="K137" s="85"/>
      <c r="L137" s="85"/>
      <c r="M137" s="137"/>
    </row>
    <row r="138" spans="1:13" x14ac:dyDescent="0.2">
      <c r="A138" s="93">
        <f t="shared" si="2"/>
        <v>133</v>
      </c>
      <c r="B138" s="85"/>
      <c r="C138" s="85"/>
      <c r="D138" s="85"/>
      <c r="E138" s="85"/>
      <c r="F138" s="85"/>
      <c r="G138" s="85"/>
      <c r="H138" s="85"/>
      <c r="I138" s="85"/>
      <c r="J138" s="85"/>
      <c r="K138" s="85"/>
      <c r="L138" s="85"/>
      <c r="M138" s="137"/>
    </row>
    <row r="139" spans="1:13" x14ac:dyDescent="0.2">
      <c r="A139" s="93">
        <f t="shared" si="2"/>
        <v>134</v>
      </c>
      <c r="B139" s="85"/>
      <c r="C139" s="85"/>
      <c r="D139" s="85"/>
      <c r="E139" s="85"/>
      <c r="F139" s="85"/>
      <c r="G139" s="85"/>
      <c r="H139" s="85"/>
      <c r="I139" s="85"/>
      <c r="J139" s="85"/>
      <c r="K139" s="85"/>
      <c r="L139" s="85"/>
      <c r="M139" s="137"/>
    </row>
    <row r="140" spans="1:13" x14ac:dyDescent="0.2">
      <c r="A140" s="93">
        <f t="shared" si="2"/>
        <v>135</v>
      </c>
      <c r="B140" s="85"/>
      <c r="C140" s="85"/>
      <c r="D140" s="85"/>
      <c r="E140" s="85"/>
      <c r="F140" s="85"/>
      <c r="G140" s="85"/>
      <c r="H140" s="85"/>
      <c r="I140" s="85"/>
      <c r="J140" s="85"/>
      <c r="K140" s="85"/>
      <c r="L140" s="85"/>
      <c r="M140" s="137"/>
    </row>
    <row r="141" spans="1:13" x14ac:dyDescent="0.2">
      <c r="A141" s="93">
        <f t="shared" si="2"/>
        <v>136</v>
      </c>
      <c r="B141" s="85"/>
      <c r="C141" s="85"/>
      <c r="D141" s="85"/>
      <c r="E141" s="85"/>
      <c r="F141" s="85"/>
      <c r="G141" s="85"/>
      <c r="H141" s="85"/>
      <c r="I141" s="85"/>
      <c r="J141" s="85"/>
      <c r="K141" s="85"/>
      <c r="L141" s="85"/>
      <c r="M141" s="137"/>
    </row>
    <row r="142" spans="1:13" x14ac:dyDescent="0.2">
      <c r="A142" s="93">
        <f t="shared" si="2"/>
        <v>137</v>
      </c>
      <c r="B142" s="85"/>
      <c r="C142" s="85"/>
      <c r="D142" s="85"/>
      <c r="E142" s="85"/>
      <c r="F142" s="85"/>
      <c r="G142" s="85"/>
      <c r="H142" s="85"/>
      <c r="I142" s="85"/>
      <c r="J142" s="85"/>
      <c r="K142" s="85"/>
      <c r="L142" s="85"/>
      <c r="M142" s="137"/>
    </row>
    <row r="143" spans="1:13" x14ac:dyDescent="0.2">
      <c r="A143" s="93">
        <f t="shared" si="2"/>
        <v>138</v>
      </c>
      <c r="B143" s="85"/>
      <c r="C143" s="85"/>
      <c r="D143" s="85"/>
      <c r="E143" s="85"/>
      <c r="F143" s="85"/>
      <c r="G143" s="85"/>
      <c r="H143" s="85"/>
      <c r="I143" s="85"/>
      <c r="J143" s="85"/>
      <c r="K143" s="85"/>
      <c r="L143" s="85"/>
      <c r="M143" s="137"/>
    </row>
    <row r="144" spans="1:13" x14ac:dyDescent="0.2">
      <c r="A144" s="93">
        <f t="shared" si="2"/>
        <v>139</v>
      </c>
      <c r="B144" s="85"/>
      <c r="C144" s="85"/>
      <c r="D144" s="85"/>
      <c r="E144" s="85"/>
      <c r="F144" s="85"/>
      <c r="G144" s="85"/>
      <c r="H144" s="85"/>
      <c r="I144" s="85"/>
      <c r="J144" s="85"/>
      <c r="K144" s="85"/>
      <c r="L144" s="85"/>
      <c r="M144" s="137"/>
    </row>
    <row r="145" spans="1:13" ht="13.5" thickBot="1" x14ac:dyDescent="0.25">
      <c r="A145" s="95">
        <f t="shared" si="2"/>
        <v>140</v>
      </c>
      <c r="B145" s="89"/>
      <c r="C145" s="89"/>
      <c r="D145" s="89"/>
      <c r="E145" s="89"/>
      <c r="F145" s="89"/>
      <c r="G145" s="89"/>
      <c r="H145" s="89"/>
      <c r="I145" s="89"/>
      <c r="J145" s="89"/>
      <c r="K145" s="89"/>
      <c r="L145" s="89"/>
      <c r="M145" s="140"/>
    </row>
    <row r="146" spans="1:13" x14ac:dyDescent="0.2">
      <c r="A146" s="100"/>
      <c r="B146" s="180"/>
      <c r="C146" s="180"/>
      <c r="D146" s="180"/>
      <c r="E146" s="180"/>
      <c r="F146" s="180"/>
      <c r="G146" s="180"/>
      <c r="H146" s="180"/>
      <c r="I146" s="180"/>
      <c r="J146" s="180"/>
      <c r="K146" s="180"/>
      <c r="L146" s="180"/>
      <c r="M146" s="18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ansfer">
                <anchor moveWithCells="1" sizeWithCells="1">
                  <from>
                    <xdr:col>13</xdr:col>
                    <xdr:colOff>47625</xdr:colOff>
                    <xdr:row>16</xdr:row>
                    <xdr:rowOff>152400</xdr:rowOff>
                  </from>
                  <to>
                    <xdr:col>14</xdr:col>
                    <xdr:colOff>219075</xdr:colOff>
                    <xdr:row>18</xdr:row>
                    <xdr:rowOff>0</xdr:rowOff>
                  </to>
                </anchor>
              </controlPr>
            </control>
          </mc:Choice>
        </mc:AlternateContent>
        <mc:AlternateContent xmlns:mc="http://schemas.openxmlformats.org/markup-compatibility/2006">
          <mc:Choice Requires="x14">
            <control shapeId="1026" r:id="rId4" name="Button 2">
              <controlPr defaultSize="0" print="0" autoFill="0" autoPict="0" macro="[0]!updata">
                <anchor moveWithCells="1" sizeWithCells="1">
                  <from>
                    <xdr:col>13</xdr:col>
                    <xdr:colOff>38100</xdr:colOff>
                    <xdr:row>19</xdr:row>
                    <xdr:rowOff>0</xdr:rowOff>
                  </from>
                  <to>
                    <xdr:col>14</xdr:col>
                    <xdr:colOff>200025</xdr:colOff>
                    <xdr:row>19</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44AEA-0664-414B-84BB-9FB6519976DF}">
  <sheetPr codeName="Sheet5"/>
  <dimension ref="A1:AC288"/>
  <sheetViews>
    <sheetView zoomScaleNormal="100" workbookViewId="0">
      <selection activeCell="G56" sqref="G56"/>
    </sheetView>
  </sheetViews>
  <sheetFormatPr defaultRowHeight="12.75" x14ac:dyDescent="0.2"/>
  <cols>
    <col min="1" max="1" width="38.28515625" customWidth="1"/>
    <col min="2" max="2" width="16.5703125" customWidth="1"/>
    <col min="3" max="3" width="8.42578125" customWidth="1"/>
    <col min="4" max="5" width="6.85546875" customWidth="1"/>
    <col min="6" max="6" width="14.85546875" customWidth="1"/>
    <col min="7" max="9" width="13.85546875" customWidth="1"/>
    <col min="10" max="10" width="10.7109375" customWidth="1"/>
    <col min="11" max="11" width="10.42578125" customWidth="1"/>
    <col min="12" max="13" width="11" customWidth="1"/>
    <col min="14" max="14" width="11.28515625" customWidth="1"/>
    <col min="15" max="15" width="11.7109375" customWidth="1"/>
    <col min="16" max="16" width="12.28515625" customWidth="1"/>
    <col min="17" max="17" width="13.42578125" customWidth="1"/>
    <col min="18" max="18" width="10.5703125" customWidth="1"/>
    <col min="19" max="19" width="11.140625" customWidth="1"/>
    <col min="20" max="21" width="10.85546875" customWidth="1"/>
    <col min="24" max="24" width="9.42578125" customWidth="1"/>
  </cols>
  <sheetData>
    <row r="1" spans="1:13" x14ac:dyDescent="0.2">
      <c r="A1" t="s">
        <v>298</v>
      </c>
    </row>
    <row r="2" spans="1:13" x14ac:dyDescent="0.2">
      <c r="A2" t="s">
        <v>254</v>
      </c>
      <c r="B2" s="237" t="s">
        <v>248</v>
      </c>
      <c r="C2" t="s">
        <v>173</v>
      </c>
    </row>
    <row r="4" spans="1:13" x14ac:dyDescent="0.2">
      <c r="A4" t="s">
        <v>255</v>
      </c>
      <c r="B4">
        <v>32.35</v>
      </c>
      <c r="C4">
        <f>LWL</f>
        <v>17.2</v>
      </c>
    </row>
    <row r="5" spans="1:13" x14ac:dyDescent="0.2">
      <c r="A5" t="s">
        <v>97</v>
      </c>
      <c r="B5">
        <v>3.7</v>
      </c>
      <c r="C5">
        <f>BWL</f>
        <v>2.8</v>
      </c>
    </row>
    <row r="6" spans="1:13" x14ac:dyDescent="0.2">
      <c r="A6" t="s">
        <v>256</v>
      </c>
      <c r="B6">
        <v>1.1499999999999999</v>
      </c>
      <c r="C6">
        <f>T</f>
        <v>0.75900000000000001</v>
      </c>
    </row>
    <row r="7" spans="1:13" x14ac:dyDescent="0.2">
      <c r="A7" t="s">
        <v>257</v>
      </c>
      <c r="B7" s="21">
        <v>44.261555272860519</v>
      </c>
      <c r="C7" s="21">
        <f>Transform!C295</f>
        <v>14.057647992266082</v>
      </c>
      <c r="H7" s="21"/>
      <c r="I7" s="21"/>
    </row>
    <row r="8" spans="1:13" x14ac:dyDescent="0.2">
      <c r="A8" t="s">
        <v>275</v>
      </c>
      <c r="B8" s="21">
        <f>Input!B60</f>
        <v>45.376946465736602</v>
      </c>
      <c r="C8" s="21">
        <f>Input!D60</f>
        <v>14.411900721671186</v>
      </c>
      <c r="H8" s="21"/>
      <c r="I8" s="21"/>
      <c r="L8" s="1" t="s">
        <v>38</v>
      </c>
      <c r="M8" s="1"/>
    </row>
    <row r="9" spans="1:13" x14ac:dyDescent="0.2">
      <c r="A9" t="s">
        <v>258</v>
      </c>
      <c r="B9" s="21">
        <v>130.48586171516578</v>
      </c>
      <c r="C9" s="21">
        <f>Transform!C308</f>
        <v>49.220438346116993</v>
      </c>
      <c r="H9" s="21"/>
      <c r="I9" s="21"/>
    </row>
    <row r="10" spans="1:13" x14ac:dyDescent="0.2">
      <c r="A10" t="s">
        <v>67</v>
      </c>
      <c r="B10" s="21">
        <f>Input!B65</f>
        <v>91.872982597960586</v>
      </c>
      <c r="C10" s="21">
        <f>Input!D65</f>
        <v>36.704258358159464</v>
      </c>
      <c r="H10" s="21"/>
      <c r="I10" s="21"/>
    </row>
    <row r="11" spans="1:13" x14ac:dyDescent="0.2">
      <c r="A11" t="s">
        <v>259</v>
      </c>
      <c r="B11" s="21">
        <f>1.56/100</f>
        <v>1.5600000000000001E-2</v>
      </c>
      <c r="C11" s="21">
        <f>Input!D63</f>
        <v>-1.1352467840954068E-2</v>
      </c>
      <c r="H11" s="21"/>
      <c r="I11" s="21"/>
    </row>
    <row r="12" spans="1:13" x14ac:dyDescent="0.2">
      <c r="A12" t="s">
        <v>386</v>
      </c>
      <c r="B12" s="21">
        <f>Input!B55-Input!B62</f>
        <v>16.681150050539319</v>
      </c>
      <c r="C12" s="21">
        <f>C4-Input!D62</f>
        <v>8.7952624468644096</v>
      </c>
      <c r="H12" s="21"/>
      <c r="I12" s="21"/>
    </row>
    <row r="13" spans="1:13" x14ac:dyDescent="0.2">
      <c r="A13" t="s">
        <v>387</v>
      </c>
      <c r="B13" s="21">
        <f>Input!B55-Input!B64</f>
        <v>17.102613122966233</v>
      </c>
      <c r="C13" s="21">
        <f>C4-Input!D64</f>
        <v>8.8985255725281345</v>
      </c>
      <c r="H13" s="21"/>
      <c r="I13" s="21"/>
    </row>
    <row r="14" spans="1:13" x14ac:dyDescent="0.2">
      <c r="A14" t="s">
        <v>78</v>
      </c>
      <c r="B14" s="21">
        <v>0.6914215907513851</v>
      </c>
      <c r="C14" s="21">
        <f>Input!D68</f>
        <v>0.62017558095144065</v>
      </c>
      <c r="H14" s="21"/>
      <c r="I14" s="21"/>
    </row>
    <row r="15" spans="1:13" x14ac:dyDescent="0.2">
      <c r="A15" t="s">
        <v>74</v>
      </c>
      <c r="B15" s="21">
        <v>0.46452916458352328</v>
      </c>
      <c r="C15" s="21">
        <f>Input!D69</f>
        <v>0.58459933696506561</v>
      </c>
      <c r="H15" s="21"/>
      <c r="I15" s="21"/>
    </row>
    <row r="16" spans="1:13" x14ac:dyDescent="0.2">
      <c r="A16" t="s">
        <v>260</v>
      </c>
      <c r="B16" s="21">
        <f>'Basis Hull'!C248</f>
        <v>0.76755906761318837</v>
      </c>
      <c r="C16" s="21">
        <f>Transform!C309</f>
        <v>0.66081600732610468</v>
      </c>
      <c r="H16" s="21"/>
      <c r="I16" s="21"/>
    </row>
    <row r="17" spans="1:27" x14ac:dyDescent="0.2">
      <c r="A17" t="s">
        <v>73</v>
      </c>
      <c r="B17" s="21">
        <v>0.32118549392675172</v>
      </c>
      <c r="C17" s="21">
        <f>Input!D67</f>
        <v>0.36255423342613663</v>
      </c>
      <c r="H17" s="21"/>
      <c r="I17" s="21"/>
      <c r="AA17" s="98"/>
    </row>
    <row r="18" spans="1:27" x14ac:dyDescent="0.2">
      <c r="A18" t="s">
        <v>261</v>
      </c>
      <c r="B18">
        <v>0</v>
      </c>
      <c r="C18">
        <v>0</v>
      </c>
    </row>
    <row r="19" spans="1:27" x14ac:dyDescent="0.2">
      <c r="A19" t="s">
        <v>262</v>
      </c>
      <c r="B19">
        <v>0</v>
      </c>
      <c r="C19">
        <v>0</v>
      </c>
    </row>
    <row r="21" spans="1:27" x14ac:dyDescent="0.2">
      <c r="A21" t="s">
        <v>268</v>
      </c>
      <c r="B21" s="1" t="s">
        <v>278</v>
      </c>
      <c r="H21" s="1"/>
      <c r="I21" s="1"/>
    </row>
    <row r="22" spans="1:27" x14ac:dyDescent="0.2">
      <c r="A22" t="s">
        <v>269</v>
      </c>
      <c r="B22" s="4">
        <f>N236</f>
        <v>9.9481296163196351</v>
      </c>
      <c r="C22" s="1" t="s">
        <v>253</v>
      </c>
      <c r="H22" s="4"/>
      <c r="I22" s="4"/>
    </row>
    <row r="23" spans="1:27" x14ac:dyDescent="0.2">
      <c r="A23" t="s">
        <v>270</v>
      </c>
      <c r="B23" s="4"/>
      <c r="H23" s="4"/>
      <c r="I23" s="4"/>
    </row>
    <row r="24" spans="1:27" x14ac:dyDescent="0.2">
      <c r="A24" s="1" t="s">
        <v>290</v>
      </c>
      <c r="B24">
        <v>830</v>
      </c>
      <c r="C24" s="1" t="s">
        <v>291</v>
      </c>
      <c r="D24" s="1" t="s">
        <v>295</v>
      </c>
      <c r="E24" s="1"/>
      <c r="F24" s="1"/>
    </row>
    <row r="25" spans="1:27" x14ac:dyDescent="0.2">
      <c r="A25" s="1" t="s">
        <v>293</v>
      </c>
      <c r="B25" s="4">
        <f>SQRT(2*$G$77*0.001/$B$8)/0.514</f>
        <v>0.37188743945470326</v>
      </c>
      <c r="C25" s="1" t="s">
        <v>253</v>
      </c>
      <c r="E25" s="1"/>
      <c r="F25" s="1"/>
      <c r="H25" s="4"/>
      <c r="I25" s="4"/>
    </row>
    <row r="26" spans="1:27" x14ac:dyDescent="0.2">
      <c r="B26" s="4"/>
      <c r="H26" s="4"/>
      <c r="I26" s="4"/>
    </row>
    <row r="27" spans="1:27" x14ac:dyDescent="0.2">
      <c r="A27" s="1" t="s">
        <v>294</v>
      </c>
      <c r="B27" s="4">
        <f>V236</f>
        <v>8.5469999135616117</v>
      </c>
      <c r="E27" s="1"/>
      <c r="F27" s="1"/>
      <c r="H27" s="4"/>
      <c r="I27" s="4"/>
    </row>
    <row r="28" spans="1:27" x14ac:dyDescent="0.2">
      <c r="A28" s="1" t="s">
        <v>293</v>
      </c>
      <c r="B28" s="4">
        <f>SQRT(2*B24*0.001/$C$8)/0.514</f>
        <v>0.66028327108598794</v>
      </c>
      <c r="C28" s="1" t="s">
        <v>253</v>
      </c>
      <c r="E28" s="1"/>
      <c r="F28" s="1"/>
      <c r="H28" s="4"/>
      <c r="I28" s="4"/>
    </row>
    <row r="29" spans="1:27" x14ac:dyDescent="0.2">
      <c r="A29" s="1"/>
      <c r="B29" s="1"/>
      <c r="C29" s="1"/>
      <c r="D29" s="1"/>
      <c r="E29" s="1"/>
      <c r="F29" s="1"/>
      <c r="G29" s="4"/>
      <c r="H29" s="4"/>
      <c r="I29" s="4"/>
      <c r="J29" s="1"/>
    </row>
    <row r="30" spans="1:27" x14ac:dyDescent="0.2">
      <c r="R30" s="1"/>
    </row>
    <row r="32" spans="1:27" x14ac:dyDescent="0.2">
      <c r="R32" s="67"/>
    </row>
    <row r="33" spans="18:18" x14ac:dyDescent="0.2">
      <c r="R33" s="67"/>
    </row>
    <row r="34" spans="18:18" x14ac:dyDescent="0.2">
      <c r="R34" s="67"/>
    </row>
    <row r="35" spans="18:18" x14ac:dyDescent="0.2">
      <c r="R35" s="67"/>
    </row>
    <row r="36" spans="18:18" x14ac:dyDescent="0.2">
      <c r="R36" s="67"/>
    </row>
    <row r="37" spans="18:18" x14ac:dyDescent="0.2">
      <c r="R37" s="67"/>
    </row>
    <row r="38" spans="18:18" x14ac:dyDescent="0.2">
      <c r="R38" s="67"/>
    </row>
    <row r="39" spans="18:18" x14ac:dyDescent="0.2">
      <c r="R39" s="67"/>
    </row>
    <row r="40" spans="18:18" x14ac:dyDescent="0.2">
      <c r="R40" s="67"/>
    </row>
    <row r="41" spans="18:18" x14ac:dyDescent="0.2">
      <c r="R41" s="67"/>
    </row>
    <row r="42" spans="18:18" x14ac:dyDescent="0.2">
      <c r="R42" s="67"/>
    </row>
    <row r="43" spans="18:18" x14ac:dyDescent="0.2">
      <c r="R43" s="67"/>
    </row>
    <row r="44" spans="18:18" x14ac:dyDescent="0.2">
      <c r="R44" s="67"/>
    </row>
    <row r="45" spans="18:18" x14ac:dyDescent="0.2">
      <c r="R45" s="67"/>
    </row>
    <row r="46" spans="18:18" x14ac:dyDescent="0.2">
      <c r="R46" s="67"/>
    </row>
    <row r="47" spans="18:18" x14ac:dyDescent="0.2">
      <c r="R47" s="67"/>
    </row>
    <row r="48" spans="18:18" x14ac:dyDescent="0.2">
      <c r="R48" s="67"/>
    </row>
    <row r="50" spans="1:29" x14ac:dyDescent="0.2">
      <c r="A50" t="s">
        <v>297</v>
      </c>
      <c r="AC50" s="1" t="s">
        <v>291</v>
      </c>
    </row>
    <row r="51" spans="1:29" ht="13.5" thickBot="1" x14ac:dyDescent="0.25">
      <c r="Q51" s="1" t="s">
        <v>281</v>
      </c>
    </row>
    <row r="52" spans="1:29" ht="13.5" thickBot="1" x14ac:dyDescent="0.25">
      <c r="C52" s="287" t="s">
        <v>391</v>
      </c>
      <c r="D52" s="307"/>
      <c r="E52" s="307"/>
      <c r="F52" s="307"/>
      <c r="G52" s="307"/>
      <c r="H52" s="307"/>
      <c r="I52" s="307"/>
      <c r="J52" s="307"/>
      <c r="K52" s="307"/>
      <c r="L52" s="307"/>
      <c r="M52" s="307"/>
      <c r="N52" s="307"/>
      <c r="O52" s="307"/>
      <c r="P52" s="191"/>
      <c r="Q52" s="1" t="s">
        <v>173</v>
      </c>
      <c r="U52" s="237" t="s">
        <v>401</v>
      </c>
      <c r="V52" s="237" t="s">
        <v>400</v>
      </c>
      <c r="Y52" s="1" t="s">
        <v>280</v>
      </c>
    </row>
    <row r="53" spans="1:29" ht="13.5" thickBot="1" x14ac:dyDescent="0.25">
      <c r="A53" s="287" t="s">
        <v>263</v>
      </c>
      <c r="B53" s="191"/>
      <c r="C53" s="1" t="s">
        <v>282</v>
      </c>
      <c r="D53" s="237" t="s">
        <v>390</v>
      </c>
      <c r="E53" s="237" t="s">
        <v>393</v>
      </c>
      <c r="F53" s="237" t="s">
        <v>397</v>
      </c>
      <c r="G53" s="305"/>
      <c r="H53" s="312"/>
      <c r="I53" s="305"/>
      <c r="J53" s="100" t="s">
        <v>272</v>
      </c>
      <c r="K53" s="100"/>
      <c r="L53" s="100" t="s">
        <v>271</v>
      </c>
      <c r="M53" s="100"/>
      <c r="N53" s="100"/>
      <c r="O53" s="100" t="s">
        <v>267</v>
      </c>
      <c r="P53" s="306"/>
      <c r="Q53" s="1" t="s">
        <v>282</v>
      </c>
      <c r="R53" s="237" t="s">
        <v>390</v>
      </c>
      <c r="S53" s="237" t="s">
        <v>393</v>
      </c>
      <c r="T53" s="237" t="s">
        <v>396</v>
      </c>
      <c r="U53" s="237"/>
      <c r="V53" s="237" t="s">
        <v>388</v>
      </c>
      <c r="W53" s="1" t="s">
        <v>283</v>
      </c>
      <c r="X53" s="237" t="s">
        <v>399</v>
      </c>
      <c r="Y53" s="1" t="s">
        <v>284</v>
      </c>
      <c r="Z53" s="1" t="s">
        <v>274</v>
      </c>
    </row>
    <row r="54" spans="1:29" x14ac:dyDescent="0.2">
      <c r="A54" s="303" t="s">
        <v>389</v>
      </c>
      <c r="B54" s="304" t="s">
        <v>288</v>
      </c>
      <c r="D54" s="304"/>
      <c r="E54" s="304" t="s">
        <v>393</v>
      </c>
      <c r="F54" s="304" t="s">
        <v>394</v>
      </c>
      <c r="G54" s="302" t="s">
        <v>392</v>
      </c>
      <c r="H54" s="310" t="s">
        <v>395</v>
      </c>
      <c r="I54" s="310" t="s">
        <v>396</v>
      </c>
      <c r="J54" s="68"/>
      <c r="K54" s="68" t="s">
        <v>265</v>
      </c>
      <c r="L54" s="68" t="s">
        <v>266</v>
      </c>
      <c r="M54" s="68" t="s">
        <v>325</v>
      </c>
      <c r="N54" s="68" t="s">
        <v>327</v>
      </c>
      <c r="O54" s="68" t="s">
        <v>264</v>
      </c>
      <c r="P54" s="94" t="s">
        <v>265</v>
      </c>
    </row>
    <row r="55" spans="1:29" x14ac:dyDescent="0.2">
      <c r="A55" s="217">
        <v>0</v>
      </c>
      <c r="B55" s="308">
        <f>A55*0.5144</f>
        <v>0</v>
      </c>
      <c r="C55" s="4">
        <v>0</v>
      </c>
      <c r="D55" s="227">
        <f t="shared" ref="D55:D71" si="0">B55*$B$4/0.00000119</f>
        <v>0</v>
      </c>
      <c r="E55" s="314">
        <f>0</f>
        <v>0</v>
      </c>
      <c r="F55" s="227">
        <v>0</v>
      </c>
      <c r="G55" s="80">
        <f>40.2*(A55*1)^2</f>
        <v>0</v>
      </c>
      <c r="H55" s="313">
        <v>0</v>
      </c>
      <c r="I55" s="77">
        <v>0</v>
      </c>
      <c r="J55" s="68">
        <f>G55*A55*0.514</f>
        <v>0</v>
      </c>
      <c r="K55" s="68"/>
      <c r="L55" s="68">
        <v>5000</v>
      </c>
      <c r="M55" s="68">
        <v>11000</v>
      </c>
      <c r="N55" s="68">
        <f>IF(Input!$B$43="Trust",Powering!M55,170*L55/62)</f>
        <v>13709.677419354839</v>
      </c>
      <c r="O55" s="68">
        <f t="shared" ref="O55:O71" si="1">N55-G55</f>
        <v>13709.677419354839</v>
      </c>
      <c r="P55" s="94"/>
      <c r="Q55" s="4">
        <v>0</v>
      </c>
      <c r="R55" s="67">
        <f t="shared" ref="R55:R71" si="2">B55*$C$4/0.00000119</f>
        <v>0</v>
      </c>
      <c r="S55" s="4">
        <v>0</v>
      </c>
      <c r="T55" s="19">
        <v>0</v>
      </c>
      <c r="U55" s="67">
        <v>0</v>
      </c>
      <c r="V55">
        <v>0</v>
      </c>
      <c r="W55" s="4">
        <v>0</v>
      </c>
      <c r="X55" s="67">
        <v>0</v>
      </c>
      <c r="Y55" s="67">
        <f>IF(Input!$B$44="Derived",V55,W55)</f>
        <v>0</v>
      </c>
      <c r="Z55" s="67">
        <f>N55*SUM(Input!$B$37:$B$39)/170</f>
        <v>4032.2580645161293</v>
      </c>
    </row>
    <row r="56" spans="1:29" x14ac:dyDescent="0.2">
      <c r="A56" s="217">
        <v>1</v>
      </c>
      <c r="B56" s="308">
        <f t="shared" ref="B56:B71" si="3">A56*0.5144</f>
        <v>0.51439999999999997</v>
      </c>
      <c r="C56" s="4">
        <f t="shared" ref="C56:C71" si="4">0.514*A56/(9.81*$B$4)^0.5</f>
        <v>2.8853033022564981E-2</v>
      </c>
      <c r="D56" s="227">
        <f t="shared" si="0"/>
        <v>13983899.159663865</v>
      </c>
      <c r="E56" s="314">
        <f t="shared" ref="E56" si="5">0.075/(LOG10(D56)-2)^2</f>
        <v>2.8325947352116666E-3</v>
      </c>
      <c r="F56" s="309">
        <f t="shared" ref="F56:F71" si="6">0.5*1025*B56^2*$B$9*E56</f>
        <v>50.123765686433451</v>
      </c>
      <c r="G56" s="80">
        <f>40.2*(A56*1)^2</f>
        <v>40.200000000000003</v>
      </c>
      <c r="H56" s="313">
        <f>IF(G56-F56&lt;0,0,G56-F56)</f>
        <v>0</v>
      </c>
      <c r="I56" s="77">
        <f t="shared" ref="I56:I71" si="7">H56*2/(1025*B56^2*$B$9)</f>
        <v>0</v>
      </c>
      <c r="J56" s="68">
        <f t="shared" ref="J56:J71" si="8">G56*A56*0.514</f>
        <v>20.662800000000001</v>
      </c>
      <c r="K56" s="68"/>
      <c r="L56" s="68">
        <f>5000-5000*A56/18</f>
        <v>4722.2222222222226</v>
      </c>
      <c r="M56" s="68">
        <v>10200</v>
      </c>
      <c r="N56" s="68">
        <f>IF(Input!$B$43="Trust",Powering!M56,170*L56/62)</f>
        <v>12948.028673835126</v>
      </c>
      <c r="O56" s="68">
        <f t="shared" si="1"/>
        <v>12907.828673835125</v>
      </c>
      <c r="P56" s="94"/>
      <c r="Q56" s="4">
        <f t="shared" ref="Q56:Q71" si="9">0.514*A56/(9.81*$C$4)^0.5</f>
        <v>3.9569848896683628E-2</v>
      </c>
      <c r="R56" s="67">
        <f t="shared" si="2"/>
        <v>7435025.2100840323</v>
      </c>
      <c r="S56" s="314">
        <f>0.075/(LOG10(R56)-2)^2</f>
        <v>3.1606371500783868E-3</v>
      </c>
      <c r="T56" s="19" cm="1">
        <f t="array" ref="T56">Lininterp($C$54:$C$71,$I$54:$I$71,Q56)</f>
        <v>0</v>
      </c>
      <c r="U56" s="67">
        <f t="shared" ref="U56:U71" si="10">0.5*1025*B56^2*$C$9*S56</f>
        <v>21.09676703675883</v>
      </c>
      <c r="V56" s="67">
        <f t="shared" ref="V56:V71" si="11">0.5*1025*B56^2*$C$9*(S56+T56)</f>
        <v>21.09676703675883</v>
      </c>
      <c r="W56" s="67" cm="1">
        <f t="array" ref="W56">Holtrop($C$4,$C$5,$C$6,$C$7,$C$9,$C$11,$C$14,$C$15,$C$16,$C$17,$C$18,$C$19,A56)*1000</f>
        <v>25.65293326677477</v>
      </c>
      <c r="X56" s="67" cm="1">
        <f t="array" ref="X56">DelftResistance($C$4,$C$5,$C$5,$C$6,$C$8*1000,$C$14,$C$12,$C$13,$C$10,$C$9,B55)</f>
        <v>0</v>
      </c>
      <c r="Y56" s="67">
        <f>IF(Input!$B$44="Derived",V56,IF(Input!$B$44="Holtrop",W56,X56))</f>
        <v>25.65293326677477</v>
      </c>
      <c r="Z56" s="67">
        <f>N56*SUM(Input!$B$37:$B$39)/170</f>
        <v>3808.2437275985667</v>
      </c>
    </row>
    <row r="57" spans="1:29" x14ac:dyDescent="0.2">
      <c r="A57" s="217">
        <v>2</v>
      </c>
      <c r="B57" s="308">
        <f t="shared" si="3"/>
        <v>1.0287999999999999</v>
      </c>
      <c r="C57" s="4">
        <f t="shared" si="4"/>
        <v>5.7706066045129963E-2</v>
      </c>
      <c r="D57" s="227">
        <f t="shared" si="0"/>
        <v>27967798.319327731</v>
      </c>
      <c r="E57" s="314">
        <f>0.075/(LOG10(D57)-2)^2</f>
        <v>2.5281393360323486E-3</v>
      </c>
      <c r="F57" s="309">
        <f t="shared" si="6"/>
        <v>178.9452788663348</v>
      </c>
      <c r="G57" s="80">
        <f t="shared" ref="G57:G61" si="12">40.2*(A57*1)^2</f>
        <v>160.80000000000001</v>
      </c>
      <c r="H57" s="313">
        <f t="shared" ref="H57:H71" si="13">IF(G57-F57&lt;0,0,G57-F57)</f>
        <v>0</v>
      </c>
      <c r="I57" s="77">
        <f t="shared" si="7"/>
        <v>0</v>
      </c>
      <c r="J57" s="68">
        <f t="shared" si="8"/>
        <v>165.30240000000001</v>
      </c>
      <c r="K57" s="68"/>
      <c r="L57" s="68">
        <f t="shared" ref="L57:L71" si="14">5000-5000*A57/18</f>
        <v>4444.4444444444443</v>
      </c>
      <c r="M57" s="68">
        <v>9300</v>
      </c>
      <c r="N57" s="68">
        <f>IF(Input!$B$43="Trust",Powering!M57,170*L57/62)</f>
        <v>12186.379928315411</v>
      </c>
      <c r="O57" s="68">
        <f t="shared" si="1"/>
        <v>12025.579928315412</v>
      </c>
      <c r="P57" s="94"/>
      <c r="Q57" s="4">
        <f t="shared" si="9"/>
        <v>7.9139697793367256E-2</v>
      </c>
      <c r="R57" s="67">
        <f t="shared" si="2"/>
        <v>14870050.420168065</v>
      </c>
      <c r="S57" s="314">
        <f t="shared" ref="S57:S71" si="15">0.075/(LOG10(R57)-2)^2</f>
        <v>2.8034431976349094E-3</v>
      </c>
      <c r="T57" s="19" cm="1">
        <f t="array" ref="T57">Lininterp($C$54:$C$71,$I$54:$I$71,Q57)</f>
        <v>0</v>
      </c>
      <c r="U57" s="67">
        <f t="shared" si="10"/>
        <v>74.850209287482571</v>
      </c>
      <c r="V57" s="67">
        <f t="shared" si="11"/>
        <v>74.850209287482571</v>
      </c>
      <c r="W57" s="67" cm="1">
        <f t="array" ref="W57">Holtrop($C$4,$C$5,$C$6,$C$7,$C$9,$C$11,$C$14,$C$15,$C$16,$C$17,$C$18,$C$19,A57)*1000</f>
        <v>91.016488287338319</v>
      </c>
      <c r="X57" s="67" cm="1">
        <f t="array" ref="X57">DelftResistance($C$4,$C$5,$C$5,$C$6,$C$8*1000,$C$14,$C$12,$C$13,$C$10,$C$9,B56)</f>
        <v>25.975273065923012</v>
      </c>
      <c r="Y57" s="67">
        <f>IF(Input!$B$44="Derived",V57,IF(Input!$B$44="Holtrop",W57,X57))</f>
        <v>91.016488287338319</v>
      </c>
      <c r="Z57" s="67">
        <f>N57*SUM(Input!$B$37:$B$39)/170</f>
        <v>3584.2293906810037</v>
      </c>
    </row>
    <row r="58" spans="1:29" x14ac:dyDescent="0.2">
      <c r="A58" s="217">
        <v>3</v>
      </c>
      <c r="B58" s="308">
        <f t="shared" si="3"/>
        <v>1.5431999999999999</v>
      </c>
      <c r="C58" s="4">
        <f t="shared" si="4"/>
        <v>8.6559099067694947E-2</v>
      </c>
      <c r="D58" s="227">
        <f t="shared" si="0"/>
        <v>41951697.47899159</v>
      </c>
      <c r="E58" s="314">
        <f t="shared" ref="E58:E71" si="16">0.075/(LOG10(D58)-2)^2</f>
        <v>2.3722681946827927E-3</v>
      </c>
      <c r="F58" s="309">
        <f t="shared" si="6"/>
        <v>377.80312266977393</v>
      </c>
      <c r="G58" s="80">
        <f t="shared" si="12"/>
        <v>361.8</v>
      </c>
      <c r="H58" s="313">
        <f t="shared" si="13"/>
        <v>0</v>
      </c>
      <c r="I58" s="77">
        <f t="shared" si="7"/>
        <v>0</v>
      </c>
      <c r="J58" s="68">
        <f t="shared" si="8"/>
        <v>557.89560000000006</v>
      </c>
      <c r="K58" s="68"/>
      <c r="L58" s="68">
        <f t="shared" si="14"/>
        <v>4166.666666666667</v>
      </c>
      <c r="M58" s="68">
        <v>8400</v>
      </c>
      <c r="N58" s="68">
        <f>IF(Input!$B$43="Trust",Powering!M58,170*L58/62)</f>
        <v>11424.7311827957</v>
      </c>
      <c r="O58" s="68">
        <f t="shared" si="1"/>
        <v>11062.931182795701</v>
      </c>
      <c r="P58" s="94"/>
      <c r="Q58" s="4">
        <f t="shared" si="9"/>
        <v>0.11870954669005088</v>
      </c>
      <c r="R58" s="67">
        <f t="shared" si="2"/>
        <v>22305075.630252097</v>
      </c>
      <c r="S58" s="314">
        <f t="shared" si="15"/>
        <v>2.6218805523475406E-3</v>
      </c>
      <c r="T58" s="19" cm="1">
        <f t="array" ref="T58">Lininterp($C$54:$C$71,$I$54:$I$71,Q58)</f>
        <v>1.0059371451801156E-5</v>
      </c>
      <c r="U58" s="67">
        <f t="shared" si="10"/>
        <v>157.50584621439867</v>
      </c>
      <c r="V58" s="67">
        <f t="shared" si="11"/>
        <v>158.11014903493805</v>
      </c>
      <c r="W58" s="67" cm="1">
        <f t="array" ref="W58">Holtrop($C$4,$C$5,$C$6,$C$7,$C$9,$C$11,$C$14,$C$15,$C$16,$C$17,$C$18,$C$19,A58)*1000</f>
        <v>191.7064061084107</v>
      </c>
      <c r="X58" s="67" cm="1">
        <f t="array" ref="X58">DelftResistance($C$4,$C$5,$C$5,$C$6,$C$8*1000,$C$14,$C$12,$C$13,$C$10,$C$9,B57)</f>
        <v>51.950546131846025</v>
      </c>
      <c r="Y58" s="67">
        <f>IF(Input!$B$44="Derived",V58,IF(Input!$B$44="Holtrop",W58,X58))</f>
        <v>191.7064061084107</v>
      </c>
      <c r="Z58" s="67">
        <f>N58*SUM(Input!$B$37:$B$39)/170</f>
        <v>3360.2150537634411</v>
      </c>
    </row>
    <row r="59" spans="1:29" x14ac:dyDescent="0.2">
      <c r="A59" s="217">
        <v>4</v>
      </c>
      <c r="B59" s="308">
        <f t="shared" si="3"/>
        <v>2.0575999999999999</v>
      </c>
      <c r="C59" s="4">
        <f t="shared" si="4"/>
        <v>0.11541213209025993</v>
      </c>
      <c r="D59" s="227">
        <f t="shared" si="0"/>
        <v>55935596.638655461</v>
      </c>
      <c r="E59" s="314">
        <f t="shared" si="16"/>
        <v>2.2702560986253904E-3</v>
      </c>
      <c r="F59" s="309">
        <f t="shared" si="6"/>
        <v>642.76775393889068</v>
      </c>
      <c r="G59" s="80">
        <f t="shared" si="12"/>
        <v>643.20000000000005</v>
      </c>
      <c r="H59" s="313">
        <f t="shared" si="13"/>
        <v>0.43224606110936747</v>
      </c>
      <c r="I59" s="77">
        <f t="shared" si="7"/>
        <v>1.5266933512561363E-6</v>
      </c>
      <c r="J59" s="68">
        <f t="shared" si="8"/>
        <v>1322.4192</v>
      </c>
      <c r="K59" s="68"/>
      <c r="L59" s="68">
        <f t="shared" si="14"/>
        <v>3888.8888888888887</v>
      </c>
      <c r="M59" s="68">
        <v>7500</v>
      </c>
      <c r="N59" s="68">
        <f>IF(Input!$B$43="Trust",Powering!M59,170*L59/62)</f>
        <v>10663.082437275985</v>
      </c>
      <c r="O59" s="68">
        <f t="shared" si="1"/>
        <v>10019.882437275985</v>
      </c>
      <c r="P59" s="94"/>
      <c r="Q59" s="4">
        <f t="shared" si="9"/>
        <v>0.15827939558673451</v>
      </c>
      <c r="R59" s="67">
        <f t="shared" si="2"/>
        <v>29740100.840336129</v>
      </c>
      <c r="S59" s="314">
        <f t="shared" si="15"/>
        <v>2.5035485773185324E-3</v>
      </c>
      <c r="T59" s="19" cm="1">
        <f t="array" ref="T59">Lininterp($C$54:$C$71,$I$54:$I$71,Q59)</f>
        <v>1.0450786334806533E-4</v>
      </c>
      <c r="U59" s="67">
        <f t="shared" si="10"/>
        <v>267.37282942884184</v>
      </c>
      <c r="V59" s="67">
        <f t="shared" si="11"/>
        <v>278.5340121492759</v>
      </c>
      <c r="W59" s="67" cm="1">
        <f t="array" ref="W59">Holtrop($C$4,$C$5,$C$6,$C$7,$C$9,$C$11,$C$14,$C$15,$C$16,$C$17,$C$18,$C$19,A59)*1000</f>
        <v>329.51843984294112</v>
      </c>
      <c r="X59" s="67" cm="1">
        <f t="array" ref="X59">DelftResistance($C$4,$C$5,$C$5,$C$6,$C$8*1000,$C$14,$C$12,$C$13,$C$10,$C$9,B58)</f>
        <v>119.46341638349286</v>
      </c>
      <c r="Y59" s="67">
        <f>IF(Input!$B$44="Derived",V59,IF(Input!$B$44="Holtrop",W59,X59))</f>
        <v>329.51843984294112</v>
      </c>
      <c r="Z59" s="67">
        <f>N59*SUM(Input!$B$37:$B$39)/170</f>
        <v>3136.2007168458781</v>
      </c>
    </row>
    <row r="60" spans="1:29" x14ac:dyDescent="0.2">
      <c r="A60" s="217">
        <v>5</v>
      </c>
      <c r="B60" s="308">
        <f t="shared" si="3"/>
        <v>2.5720000000000001</v>
      </c>
      <c r="C60" s="4">
        <f t="shared" si="4"/>
        <v>0.14426516511282492</v>
      </c>
      <c r="D60" s="227">
        <f t="shared" si="0"/>
        <v>69919495.798319325</v>
      </c>
      <c r="E60" s="314">
        <f t="shared" si="16"/>
        <v>2.1955934696003499E-3</v>
      </c>
      <c r="F60" s="309">
        <f t="shared" si="6"/>
        <v>971.29507483787449</v>
      </c>
      <c r="G60" s="80">
        <f t="shared" si="12"/>
        <v>1005.0000000000001</v>
      </c>
      <c r="H60" s="313">
        <f t="shared" si="13"/>
        <v>33.704925162125619</v>
      </c>
      <c r="I60" s="77">
        <f t="shared" si="7"/>
        <v>7.6189322376296162E-5</v>
      </c>
      <c r="J60" s="68">
        <f t="shared" si="8"/>
        <v>2582.8500000000004</v>
      </c>
      <c r="K60" s="68"/>
      <c r="L60" s="68">
        <f t="shared" si="14"/>
        <v>3611.1111111111113</v>
      </c>
      <c r="M60" s="68">
        <v>6600</v>
      </c>
      <c r="N60" s="68">
        <f>IF(Input!$B$43="Trust",Powering!M60,170*L60/62)</f>
        <v>9901.4336917562723</v>
      </c>
      <c r="O60" s="68">
        <f t="shared" si="1"/>
        <v>8896.4336917562723</v>
      </c>
      <c r="P60" s="94"/>
      <c r="Q60" s="4">
        <f t="shared" si="9"/>
        <v>0.19784924448341815</v>
      </c>
      <c r="R60" s="67">
        <f t="shared" si="2"/>
        <v>37175126.050420165</v>
      </c>
      <c r="S60" s="314">
        <f t="shared" si="15"/>
        <v>2.4171939956120804E-3</v>
      </c>
      <c r="T60" s="19" cm="1">
        <f t="array" ref="T60">Lininterp($C$54:$C$71,$I$54:$I$71,Q60)</f>
        <v>3.2843247250612226E-4</v>
      </c>
      <c r="U60" s="67">
        <f t="shared" si="10"/>
        <v>403.35995708029628</v>
      </c>
      <c r="V60" s="67">
        <f t="shared" si="11"/>
        <v>458.16586353808538</v>
      </c>
      <c r="W60" s="67" cm="1">
        <f t="array" ref="W60">Holtrop($C$4,$C$5,$C$6,$C$7,$C$9,$C$11,$C$14,$C$15,$C$16,$C$17,$C$18,$C$19,A60)*1000</f>
        <v>521.69783430469943</v>
      </c>
      <c r="X60" s="67" cm="1">
        <f t="array" ref="X60">DelftResistance($C$4,$C$5,$C$5,$C$6,$C$8*1000,$C$14,$C$12,$C$13,$C$10,$C$9,B59)</f>
        <v>252.57602220075316</v>
      </c>
      <c r="Y60" s="67">
        <f>IF(Input!$B$44="Derived",V60,IF(Input!$B$44="Holtrop",W60,X60))</f>
        <v>521.69783430469943</v>
      </c>
      <c r="Z60" s="67">
        <f>N60*SUM(Input!$B$37:$B$39)/170</f>
        <v>2912.1863799283155</v>
      </c>
    </row>
    <row r="61" spans="1:29" x14ac:dyDescent="0.2">
      <c r="A61" s="217">
        <v>6</v>
      </c>
      <c r="B61" s="308">
        <f t="shared" si="3"/>
        <v>3.0863999999999998</v>
      </c>
      <c r="C61" s="4">
        <f t="shared" si="4"/>
        <v>0.17311819813538989</v>
      </c>
      <c r="D61" s="227">
        <f t="shared" si="0"/>
        <v>83903394.957983181</v>
      </c>
      <c r="E61" s="314">
        <f t="shared" si="16"/>
        <v>2.1372901757212839E-3</v>
      </c>
      <c r="F61" s="309">
        <f t="shared" si="6"/>
        <v>1361.5238011432384</v>
      </c>
      <c r="G61" s="80">
        <f t="shared" si="12"/>
        <v>1447.2</v>
      </c>
      <c r="H61" s="313">
        <f t="shared" si="13"/>
        <v>85.67619885676163</v>
      </c>
      <c r="I61" s="77">
        <f t="shared" si="7"/>
        <v>1.3449261625536228E-4</v>
      </c>
      <c r="J61" s="68">
        <f t="shared" si="8"/>
        <v>4463.1648000000005</v>
      </c>
      <c r="K61" s="68"/>
      <c r="L61" s="68">
        <f t="shared" si="14"/>
        <v>3333.333333333333</v>
      </c>
      <c r="M61" s="68">
        <v>5700</v>
      </c>
      <c r="N61" s="68">
        <f>IF(Input!$B$43="Trust",Powering!M61,170*L61/62)</f>
        <v>9139.7849462365593</v>
      </c>
      <c r="O61" s="68">
        <f t="shared" si="1"/>
        <v>7692.5849462365595</v>
      </c>
      <c r="P61" s="94"/>
      <c r="Q61" s="4">
        <f t="shared" si="9"/>
        <v>0.23741909338010175</v>
      </c>
      <c r="R61" s="67">
        <f t="shared" si="2"/>
        <v>44610151.260504194</v>
      </c>
      <c r="S61" s="314">
        <f t="shared" si="15"/>
        <v>2.3499110935887397E-3</v>
      </c>
      <c r="T61" s="19" cm="1">
        <f t="array" ref="T61">Lininterp($C$54:$C$71,$I$54:$I$71,Q61)</f>
        <v>8.9707909644567594E-4</v>
      </c>
      <c r="U61" s="67">
        <f t="shared" si="10"/>
        <v>564.67062924418985</v>
      </c>
      <c r="V61" s="67">
        <f t="shared" si="11"/>
        <v>780.23377086849234</v>
      </c>
      <c r="W61" s="67" cm="1">
        <f t="array" ref="W61">Holtrop($C$4,$C$5,$C$6,$C$7,$C$9,$C$11,$C$14,$C$15,$C$16,$C$17,$C$18,$C$19,A61)*1000</f>
        <v>803.51087079110323</v>
      </c>
      <c r="X61" s="67" cm="1">
        <f t="array" ref="X61">DelftResistance($C$4,$C$5,$C$5,$C$6,$C$8*1000,$C$14,$C$12,$C$13,$C$10,$C$9,B60)</f>
        <v>458.65046396249801</v>
      </c>
      <c r="Y61" s="67">
        <f>IF(Input!$B$44="Derived",V61,IF(Input!$B$44="Holtrop",W61,X61))</f>
        <v>803.51087079110323</v>
      </c>
      <c r="Z61" s="67">
        <f>N61*SUM(Input!$B$37:$B$39)/170</f>
        <v>2688.1720430107525</v>
      </c>
    </row>
    <row r="62" spans="1:29" x14ac:dyDescent="0.2">
      <c r="A62" s="217">
        <v>7</v>
      </c>
      <c r="B62" s="308">
        <f t="shared" si="3"/>
        <v>3.6007999999999996</v>
      </c>
      <c r="C62" s="4">
        <f t="shared" si="4"/>
        <v>0.20197123115795487</v>
      </c>
      <c r="D62" s="227">
        <f t="shared" si="0"/>
        <v>97887294.117647052</v>
      </c>
      <c r="E62" s="314">
        <f t="shared" si="16"/>
        <v>2.0897883480000211E-3</v>
      </c>
      <c r="F62" s="309">
        <f t="shared" si="6"/>
        <v>1811.9976533094359</v>
      </c>
      <c r="G62" s="80">
        <f>75.2*A62^2-1560</f>
        <v>2124.8000000000002</v>
      </c>
      <c r="H62" s="313">
        <f t="shared" si="13"/>
        <v>312.80234669056426</v>
      </c>
      <c r="I62" s="77">
        <f t="shared" si="7"/>
        <v>3.607569238001508E-4</v>
      </c>
      <c r="J62" s="68">
        <f t="shared" si="8"/>
        <v>7645.0304000000015</v>
      </c>
      <c r="K62" s="68"/>
      <c r="L62" s="68">
        <f t="shared" si="14"/>
        <v>3055.5555555555557</v>
      </c>
      <c r="M62" s="68">
        <v>5100</v>
      </c>
      <c r="N62" s="68">
        <f>IF(Input!$B$43="Trust",Powering!M62,170*L62/62)</f>
        <v>8378.1362007168464</v>
      </c>
      <c r="O62" s="68">
        <f t="shared" si="1"/>
        <v>6253.3362007168462</v>
      </c>
      <c r="P62" s="94"/>
      <c r="Q62" s="4">
        <f t="shared" si="9"/>
        <v>0.27698894227678539</v>
      </c>
      <c r="R62" s="67">
        <f t="shared" si="2"/>
        <v>52045176.47058823</v>
      </c>
      <c r="S62" s="314">
        <f t="shared" si="15"/>
        <v>2.2951919259133632E-3</v>
      </c>
      <c r="T62" s="19" cm="1">
        <f t="array" ref="T62">Lininterp($C$54:$C$71,$I$54:$I$71,Q62)</f>
        <v>1.3773320366843908E-3</v>
      </c>
      <c r="U62" s="67">
        <f t="shared" si="10"/>
        <v>750.68260804873307</v>
      </c>
      <c r="V62" s="67">
        <f t="shared" si="11"/>
        <v>1201.1631076417505</v>
      </c>
      <c r="W62" s="67" cm="1">
        <f t="array" ref="W62">Holtrop($C$4,$C$5,$C$6,$C$7,$C$9,$C$11,$C$14,$C$15,$C$16,$C$17,$C$18,$C$19,A62)*1000</f>
        <v>1246.5646067882001</v>
      </c>
      <c r="X62" s="67" cm="1">
        <f t="array" ref="X62">DelftResistance($C$4,$C$5,$C$5,$C$6,$C$8*1000,$C$14,$C$12,$C$13,$C$10,$C$9,B61)</f>
        <v>760.56953516149429</v>
      </c>
      <c r="Y62" s="67">
        <f>IF(Input!$B$44="Derived",V62,IF(Input!$B$44="Holtrop",W62,X62))</f>
        <v>1246.5646067882001</v>
      </c>
      <c r="Z62" s="67">
        <f>N62*SUM(Input!$B$37:$B$39)/170</f>
        <v>2464.15770609319</v>
      </c>
    </row>
    <row r="63" spans="1:29" x14ac:dyDescent="0.2">
      <c r="A63" s="217">
        <v>8</v>
      </c>
      <c r="B63" s="308">
        <f t="shared" si="3"/>
        <v>4.1151999999999997</v>
      </c>
      <c r="C63" s="4">
        <f t="shared" si="4"/>
        <v>0.23082426418051985</v>
      </c>
      <c r="D63" s="227">
        <f t="shared" si="0"/>
        <v>111871193.27731092</v>
      </c>
      <c r="E63" s="314">
        <f t="shared" si="16"/>
        <v>2.0499088455264887E-3</v>
      </c>
      <c r="F63" s="309">
        <f t="shared" si="6"/>
        <v>2321.5271708179953</v>
      </c>
      <c r="G63" s="80">
        <f>75.2*A63^2-1560</f>
        <v>3252.8</v>
      </c>
      <c r="H63" s="313">
        <f t="shared" si="13"/>
        <v>931.2728291820049</v>
      </c>
      <c r="I63" s="77">
        <f t="shared" si="7"/>
        <v>8.2231405005095046E-4</v>
      </c>
      <c r="J63" s="68">
        <f t="shared" si="8"/>
        <v>13375.5136</v>
      </c>
      <c r="K63" s="68"/>
      <c r="L63" s="68">
        <f t="shared" si="14"/>
        <v>2777.7777777777778</v>
      </c>
      <c r="M63" s="68">
        <f>M62-455.555</f>
        <v>4644.4449999999997</v>
      </c>
      <c r="N63" s="68">
        <f>IF(Input!$B$43="Trust",Powering!M63,170*L63/62)</f>
        <v>7616.4874551971334</v>
      </c>
      <c r="O63" s="68">
        <f t="shared" si="1"/>
        <v>4363.6874551971332</v>
      </c>
      <c r="P63" s="94"/>
      <c r="Q63" s="4">
        <f t="shared" si="9"/>
        <v>0.31655879117346902</v>
      </c>
      <c r="R63" s="67">
        <f t="shared" si="2"/>
        <v>59480201.680672258</v>
      </c>
      <c r="S63" s="314">
        <f t="shared" si="15"/>
        <v>2.2493222574982035E-3</v>
      </c>
      <c r="T63" s="19" cm="1">
        <f t="array" ref="T63">Lininterp($C$54:$C$71,$I$54:$I$71,Q63)</f>
        <v>1.8065310913395328E-3</v>
      </c>
      <c r="U63" s="67">
        <f t="shared" si="10"/>
        <v>960.88833543419776</v>
      </c>
      <c r="V63" s="67">
        <f t="shared" si="11"/>
        <v>1732.6206416792288</v>
      </c>
      <c r="W63" s="67" cm="1">
        <f t="array" ref="W63">Holtrop($C$4,$C$5,$C$6,$C$7,$C$9,$C$11,$C$14,$C$15,$C$16,$C$17,$C$18,$C$19,A63)*1000</f>
        <v>1757.8463337215319</v>
      </c>
      <c r="X63" s="67" cm="1">
        <f t="array" ref="X63">DelftResistance($C$4,$C$5,$C$5,$C$6,$C$8*1000,$C$14,$C$12,$C$13,$C$10,$C$9,B62)</f>
        <v>1147.080760791931</v>
      </c>
      <c r="Y63" s="67">
        <f>IF(Input!$B$44="Derived",V63,IF(Input!$B$44="Holtrop",W63,X63))</f>
        <v>1757.8463337215319</v>
      </c>
      <c r="Z63" s="67">
        <f>N63*SUM(Input!$B$37:$B$39)/170</f>
        <v>2240.1433691756274</v>
      </c>
    </row>
    <row r="64" spans="1:29" x14ac:dyDescent="0.2">
      <c r="A64" s="217">
        <v>9</v>
      </c>
      <c r="B64" s="308">
        <f t="shared" si="3"/>
        <v>4.6295999999999999</v>
      </c>
      <c r="C64" s="4">
        <f t="shared" si="4"/>
        <v>0.25967729720308486</v>
      </c>
      <c r="D64" s="227">
        <f t="shared" si="0"/>
        <v>125855092.43697479</v>
      </c>
      <c r="E64" s="314">
        <f t="shared" si="16"/>
        <v>2.0156725966959561E-3</v>
      </c>
      <c r="F64" s="309">
        <f t="shared" si="6"/>
        <v>2889.1112004817246</v>
      </c>
      <c r="G64" s="80">
        <f>88.6*A64^2-2640</f>
        <v>4536.5999999999995</v>
      </c>
      <c r="H64" s="313">
        <f t="shared" si="13"/>
        <v>1647.4887995182748</v>
      </c>
      <c r="I64" s="77">
        <f t="shared" si="7"/>
        <v>1.1494185568207971E-3</v>
      </c>
      <c r="J64" s="68">
        <f t="shared" si="8"/>
        <v>20986.311599999997</v>
      </c>
      <c r="K64" s="68"/>
      <c r="L64" s="68">
        <f t="shared" si="14"/>
        <v>2500</v>
      </c>
      <c r="M64" s="68">
        <f t="shared" ref="M64:M70" si="17">M63-455.555</f>
        <v>4188.8899999999994</v>
      </c>
      <c r="N64" s="68">
        <f>IF(Input!$B$43="Trust",Powering!M64,170*L64/62)</f>
        <v>6854.8387096774195</v>
      </c>
      <c r="O64" s="68">
        <f t="shared" si="1"/>
        <v>2318.23870967742</v>
      </c>
      <c r="P64" s="94"/>
      <c r="Q64" s="4">
        <f t="shared" si="9"/>
        <v>0.35612864007015266</v>
      </c>
      <c r="R64" s="67">
        <f t="shared" si="2"/>
        <v>66915226.890756302</v>
      </c>
      <c r="S64" s="314">
        <f t="shared" si="15"/>
        <v>2.2099941771191261E-3</v>
      </c>
      <c r="T64" s="19" cm="1">
        <f t="array" ref="T64">Lininterp($C$54:$C$71,$I$54:$I$71,Q64)</f>
        <v>2.095235503485884E-3</v>
      </c>
      <c r="U64" s="67">
        <f t="shared" si="10"/>
        <v>1194.8610794490198</v>
      </c>
      <c r="V64" s="67">
        <f t="shared" si="11"/>
        <v>2327.6764421838452</v>
      </c>
      <c r="W64" s="67" cm="1">
        <f t="array" ref="W64">Holtrop($C$4,$C$5,$C$6,$C$7,$C$9,$C$11,$C$14,$C$15,$C$16,$C$17,$C$18,$C$19,A64)*1000</f>
        <v>2415.543986999789</v>
      </c>
      <c r="X64" s="67" cm="1">
        <f t="array" ref="X64">DelftResistance($C$4,$C$5,$C$5,$C$6,$C$8*1000,$C$14,$C$12,$C$13,$C$10,$C$9,B63)</f>
        <v>1679.152238041584</v>
      </c>
      <c r="Y64" s="67">
        <f>IF(Input!$B$44="Derived",V64,IF(Input!$B$44="Holtrop",W64,X64))</f>
        <v>2415.543986999789</v>
      </c>
      <c r="Z64" s="67">
        <f>N64*SUM(Input!$B$37:$B$39)/170</f>
        <v>2016.1290322580646</v>
      </c>
    </row>
    <row r="65" spans="1:26" x14ac:dyDescent="0.2">
      <c r="A65" s="217">
        <v>10</v>
      </c>
      <c r="B65" s="308">
        <f t="shared" si="3"/>
        <v>5.1440000000000001</v>
      </c>
      <c r="C65" s="4">
        <f t="shared" si="4"/>
        <v>0.28853033022564983</v>
      </c>
      <c r="D65" s="227">
        <f t="shared" si="0"/>
        <v>139838991.59663865</v>
      </c>
      <c r="E65" s="314">
        <f t="shared" si="16"/>
        <v>1.9857688157190584E-3</v>
      </c>
      <c r="F65" s="309">
        <f t="shared" si="6"/>
        <v>3513.8881531208813</v>
      </c>
      <c r="G65" s="80">
        <f t="shared" ref="G65:G71" si="18">88.6*A65^2-2640</f>
        <v>6220</v>
      </c>
      <c r="H65" s="313">
        <f t="shared" si="13"/>
        <v>2706.1118468791187</v>
      </c>
      <c r="I65" s="77">
        <f t="shared" si="7"/>
        <v>1.5292781907721696E-3</v>
      </c>
      <c r="J65" s="68">
        <f t="shared" si="8"/>
        <v>31970.799999999999</v>
      </c>
      <c r="K65" s="68"/>
      <c r="L65" s="68">
        <f t="shared" si="14"/>
        <v>2222.2222222222222</v>
      </c>
      <c r="M65" s="68">
        <f t="shared" si="17"/>
        <v>3733.3349999999996</v>
      </c>
      <c r="N65" s="68">
        <f>IF(Input!$B$43="Trust",Powering!M65,170*L65/62)</f>
        <v>6093.1899641577056</v>
      </c>
      <c r="O65" s="68">
        <f t="shared" si="1"/>
        <v>-126.81003584229438</v>
      </c>
      <c r="P65" s="94"/>
      <c r="Q65" s="4">
        <f t="shared" si="9"/>
        <v>0.39569848896683629</v>
      </c>
      <c r="R65" s="67">
        <f t="shared" si="2"/>
        <v>74350252.10084033</v>
      </c>
      <c r="S65" s="314">
        <f t="shared" si="15"/>
        <v>2.1756814907436415E-3</v>
      </c>
      <c r="T65" s="19" cm="1">
        <f t="array" ref="T65">Lininterp($C$54:$C$71,$I$54:$I$71,Q65)</f>
        <v>2.3108546628116027E-3</v>
      </c>
      <c r="U65" s="67">
        <f t="shared" si="10"/>
        <v>1452.2339445155362</v>
      </c>
      <c r="V65" s="67">
        <f t="shared" si="11"/>
        <v>2994.6939031329052</v>
      </c>
      <c r="W65" s="67" cm="1">
        <f t="array" ref="W65">Holtrop($C$4,$C$5,$C$6,$C$7,$C$9,$C$11,$C$14,$C$15,$C$16,$C$17,$C$18,$C$19,A65)*1000</f>
        <v>3736.0221120049159</v>
      </c>
      <c r="X65" s="67" cm="1">
        <f t="array" ref="X65">DelftResistance($C$4,$C$5,$C$5,$C$6,$C$8*1000,$C$14,$C$12,$C$13,$C$10,$C$9,B64)</f>
        <v>2451.6154329669585</v>
      </c>
      <c r="Y65" s="67">
        <f>IF(Input!$B$44="Derived",V65,IF(Input!$B$44="Holtrop",W65,X65))</f>
        <v>3736.0221120049159</v>
      </c>
      <c r="Z65" s="67">
        <f>N65*SUM(Input!$B$37:$B$39)/170</f>
        <v>1792.1146953405018</v>
      </c>
    </row>
    <row r="66" spans="1:26" x14ac:dyDescent="0.2">
      <c r="A66" s="217">
        <v>11</v>
      </c>
      <c r="B66" s="308">
        <f t="shared" si="3"/>
        <v>5.6583999999999994</v>
      </c>
      <c r="C66" s="4">
        <f t="shared" si="4"/>
        <v>0.31738336324821481</v>
      </c>
      <c r="D66" s="227">
        <f t="shared" si="0"/>
        <v>153822890.75630251</v>
      </c>
      <c r="E66" s="314">
        <f t="shared" si="16"/>
        <v>1.9592871383162886E-3</v>
      </c>
      <c r="F66" s="309">
        <f t="shared" si="6"/>
        <v>4195.1037448900879</v>
      </c>
      <c r="G66" s="80">
        <f t="shared" si="18"/>
        <v>8080.5999999999985</v>
      </c>
      <c r="H66" s="313">
        <f t="shared" si="13"/>
        <v>3885.4962551099106</v>
      </c>
      <c r="I66" s="77">
        <f t="shared" si="7"/>
        <v>1.8146876219416138E-3</v>
      </c>
      <c r="J66" s="68">
        <f t="shared" si="8"/>
        <v>45687.712399999989</v>
      </c>
      <c r="K66" s="68"/>
      <c r="L66" s="68">
        <f t="shared" si="14"/>
        <v>1944.4444444444443</v>
      </c>
      <c r="M66" s="68">
        <f t="shared" si="17"/>
        <v>3277.7799999999997</v>
      </c>
      <c r="N66" s="68">
        <f>IF(Input!$B$43="Trust",Powering!M66,170*L66/62)</f>
        <v>5331.5412186379926</v>
      </c>
      <c r="O66" s="68">
        <f t="shared" si="1"/>
        <v>-2749.0587813620059</v>
      </c>
      <c r="P66" s="94"/>
      <c r="Q66" s="4">
        <f t="shared" si="9"/>
        <v>0.43526833786351987</v>
      </c>
      <c r="R66" s="67">
        <f t="shared" si="2"/>
        <v>81785277.310924351</v>
      </c>
      <c r="S66" s="314">
        <f t="shared" si="15"/>
        <v>2.1453256649049297E-3</v>
      </c>
      <c r="T66" s="19" cm="1">
        <f t="array" ref="T66">Lininterp($C$54:$C$71,$I$54:$I$71,Q66)</f>
        <v>2.4755056812126881E-3</v>
      </c>
      <c r="U66" s="67">
        <f t="shared" si="10"/>
        <v>1732.6859959524757</v>
      </c>
      <c r="V66" s="67">
        <f t="shared" si="11"/>
        <v>3732.0439940903002</v>
      </c>
      <c r="W66" s="67" cm="1">
        <f t="array" ref="W66">Holtrop($C$4,$C$5,$C$6,$C$7,$C$9,$C$11,$C$14,$C$15,$C$16,$C$17,$C$18,$C$19,A66)*1000</f>
        <v>5924.4673696641876</v>
      </c>
      <c r="X66" s="67" cm="1">
        <f t="array" ref="X66">DelftResistance($C$4,$C$5,$C$5,$C$6,$C$8*1000,$C$14,$C$12,$C$13,$C$10,$C$9,B65)</f>
        <v>3701.2646219696258</v>
      </c>
      <c r="Y66" s="67">
        <f>IF(Input!$B$44="Derived",V66,IF(Input!$B$44="Holtrop",W66,X66))</f>
        <v>5924.4673696641876</v>
      </c>
      <c r="Z66" s="67">
        <f>N66*SUM(Input!$B$37:$B$39)/170</f>
        <v>1568.1003584229391</v>
      </c>
    </row>
    <row r="67" spans="1:26" x14ac:dyDescent="0.2">
      <c r="A67" s="217">
        <v>12</v>
      </c>
      <c r="B67" s="308">
        <f t="shared" si="3"/>
        <v>6.1727999999999996</v>
      </c>
      <c r="C67" s="4">
        <f t="shared" si="4"/>
        <v>0.34623639627077979</v>
      </c>
      <c r="D67" s="227">
        <f t="shared" si="0"/>
        <v>167806789.91596636</v>
      </c>
      <c r="E67" s="314">
        <f t="shared" si="16"/>
        <v>1.9355711000642946E-3</v>
      </c>
      <c r="F67" s="309">
        <f t="shared" si="6"/>
        <v>4932.0885885851767</v>
      </c>
      <c r="G67" s="80">
        <f t="shared" si="18"/>
        <v>10118.4</v>
      </c>
      <c r="H67" s="313">
        <f t="shared" si="13"/>
        <v>5186.3114114148229</v>
      </c>
      <c r="I67" s="77">
        <f t="shared" si="7"/>
        <v>2.0353394517489474E-3</v>
      </c>
      <c r="J67" s="68">
        <f t="shared" si="8"/>
        <v>62410.291199999992</v>
      </c>
      <c r="K67" s="68"/>
      <c r="L67" s="68">
        <f t="shared" si="14"/>
        <v>1666.6666666666665</v>
      </c>
      <c r="M67" s="68">
        <f t="shared" si="17"/>
        <v>2822.2249999999999</v>
      </c>
      <c r="N67" s="68">
        <f>IF(Input!$B$43="Trust",Powering!M67,170*L67/62)</f>
        <v>4569.8924731182797</v>
      </c>
      <c r="O67" s="68">
        <f t="shared" si="1"/>
        <v>-5548.50752688172</v>
      </c>
      <c r="P67" s="94"/>
      <c r="Q67" s="4">
        <f t="shared" si="9"/>
        <v>0.47483818676020351</v>
      </c>
      <c r="R67" s="67">
        <f t="shared" si="2"/>
        <v>89220302.521008387</v>
      </c>
      <c r="S67" s="314">
        <f t="shared" si="15"/>
        <v>2.1181643009731722E-3</v>
      </c>
      <c r="T67" s="19" cm="1">
        <f t="array" ref="T67">Lininterp($C$54:$C$71,$I$54:$I$71,Q67)</f>
        <v>2.5640327618741705E-3</v>
      </c>
      <c r="U67" s="67">
        <f t="shared" si="10"/>
        <v>2035.9326307047515</v>
      </c>
      <c r="V67" s="67">
        <f t="shared" si="11"/>
        <v>4500.424154661262</v>
      </c>
      <c r="W67" s="67" cm="1">
        <f t="array" ref="W67">Holtrop($C$4,$C$5,$C$6,$C$7,$C$9,$C$11,$C$14,$C$15,$C$16,$C$17,$C$18,$C$19,A67)*1000</f>
        <v>8503.7653686596459</v>
      </c>
      <c r="X67" s="67" cm="1">
        <f t="array" ref="X67">DelftResistance($C$4,$C$5,$C$5,$C$6,$C$8*1000,$C$14,$C$12,$C$13,$C$10,$C$9,B66)</f>
        <v>5447.1018812495668</v>
      </c>
      <c r="Y67" s="67">
        <f>IF(Input!$B$44="Derived",V67,IF(Input!$B$44="Holtrop",W67,X67))</f>
        <v>8503.7653686596459</v>
      </c>
      <c r="Z67" s="67">
        <f>N67*SUM(Input!$B$37:$B$39)/170</f>
        <v>1344.0860215053763</v>
      </c>
    </row>
    <row r="68" spans="1:26" x14ac:dyDescent="0.2">
      <c r="A68" s="217">
        <v>13</v>
      </c>
      <c r="B68" s="308">
        <f t="shared" si="3"/>
        <v>6.6871999999999998</v>
      </c>
      <c r="C68" s="4">
        <f t="shared" si="4"/>
        <v>0.37508942929334477</v>
      </c>
      <c r="D68" s="227">
        <f t="shared" si="0"/>
        <v>181790689.07563025</v>
      </c>
      <c r="E68" s="314">
        <f t="shared" si="16"/>
        <v>1.9141326687703848E-3</v>
      </c>
      <c r="F68" s="309">
        <f t="shared" si="6"/>
        <v>5724.2420230577773</v>
      </c>
      <c r="G68" s="80">
        <f t="shared" si="18"/>
        <v>12333.4</v>
      </c>
      <c r="H68" s="313">
        <f t="shared" si="13"/>
        <v>6609.1579769422224</v>
      </c>
      <c r="I68" s="77">
        <f t="shared" si="7"/>
        <v>2.2100402369031355E-3</v>
      </c>
      <c r="J68" s="68">
        <f t="shared" si="8"/>
        <v>82411.7788</v>
      </c>
      <c r="K68" s="68"/>
      <c r="L68" s="68">
        <f t="shared" si="14"/>
        <v>1388.8888888888887</v>
      </c>
      <c r="M68" s="68">
        <f t="shared" si="17"/>
        <v>2366.67</v>
      </c>
      <c r="N68" s="68">
        <f>IF(Input!$B$43="Trust",Powering!M68,170*L68/62)</f>
        <v>3808.2437275985658</v>
      </c>
      <c r="O68" s="68">
        <f t="shared" si="1"/>
        <v>-8525.1562724014329</v>
      </c>
      <c r="P68" s="94"/>
      <c r="Q68" s="4">
        <f t="shared" si="9"/>
        <v>0.5144080356568872</v>
      </c>
      <c r="R68" s="67">
        <f t="shared" si="2"/>
        <v>96655327.731092423</v>
      </c>
      <c r="S68" s="314">
        <f t="shared" si="15"/>
        <v>2.0936312161372117E-3</v>
      </c>
      <c r="T68" s="19" cm="1">
        <f t="array" ref="T68">Lininterp($C$54:$C$71,$I$54:$I$71,Q68)</f>
        <v>2.5640327618741705E-3</v>
      </c>
      <c r="U68" s="67">
        <f t="shared" si="10"/>
        <v>2361.7186346435628</v>
      </c>
      <c r="V68" s="67">
        <f t="shared" si="11"/>
        <v>5254.0732703980793</v>
      </c>
      <c r="W68" s="67" cm="1">
        <f t="array" ref="W68">Holtrop($C$4,$C$5,$C$6,$C$7,$C$9,$C$11,$C$14,$C$15,$C$16,$C$17,$C$18,$C$19,A68)*1000</f>
        <v>10790.128401406417</v>
      </c>
      <c r="X68" s="67" cm="1">
        <f t="array" ref="X68">DelftResistance($C$4,$C$5,$C$5,$C$6,$C$8*1000,$C$14,$C$12,$C$13,$C$10,$C$9,B67)</f>
        <v>7298.2298821059685</v>
      </c>
      <c r="Y68" s="67">
        <f>IF(Input!$B$44="Derived",V68,IF(Input!$B$44="Holtrop",W68,X68))</f>
        <v>10790.128401406417</v>
      </c>
      <c r="Z68" s="67">
        <f>N68*SUM(Input!$B$37:$B$39)/170</f>
        <v>1120.0716845878135</v>
      </c>
    </row>
    <row r="69" spans="1:26" x14ac:dyDescent="0.2">
      <c r="A69" s="217">
        <v>14</v>
      </c>
      <c r="B69" s="308">
        <f t="shared" si="3"/>
        <v>7.2015999999999991</v>
      </c>
      <c r="C69" s="4">
        <f t="shared" si="4"/>
        <v>0.40394246231590974</v>
      </c>
      <c r="D69" s="227">
        <f t="shared" si="0"/>
        <v>195774588.2352941</v>
      </c>
      <c r="E69" s="314">
        <f t="shared" si="16"/>
        <v>1.894599749013756E-3</v>
      </c>
      <c r="F69" s="309">
        <f t="shared" si="6"/>
        <v>6571.0200795387673</v>
      </c>
      <c r="G69" s="80">
        <f t="shared" si="18"/>
        <v>14725.599999999999</v>
      </c>
      <c r="H69" s="313">
        <f t="shared" si="13"/>
        <v>8154.5799204612313</v>
      </c>
      <c r="I69" s="77">
        <f t="shared" si="7"/>
        <v>2.3511821427431865E-3</v>
      </c>
      <c r="J69" s="68">
        <f t="shared" si="8"/>
        <v>105965.41759999999</v>
      </c>
      <c r="K69" s="68"/>
      <c r="L69" s="68">
        <f t="shared" si="14"/>
        <v>1111.1111111111113</v>
      </c>
      <c r="M69" s="68">
        <f t="shared" si="17"/>
        <v>1911.115</v>
      </c>
      <c r="N69" s="68">
        <f>IF(Input!$B$43="Trust",Powering!M69,170*L69/62)</f>
        <v>3046.5949820788537</v>
      </c>
      <c r="O69" s="68">
        <f t="shared" si="1"/>
        <v>-11679.005017921145</v>
      </c>
      <c r="P69" s="94"/>
      <c r="Q69" s="4">
        <f t="shared" si="9"/>
        <v>0.55397788455357078</v>
      </c>
      <c r="R69" s="67">
        <f t="shared" si="2"/>
        <v>104090352.94117646</v>
      </c>
      <c r="S69" s="314">
        <f t="shared" si="15"/>
        <v>2.0712951444210323E-3</v>
      </c>
      <c r="T69" s="19" cm="1">
        <f t="array" ref="T69">Lininterp($C$54:$C$71,$I$54:$I$71,Q69)</f>
        <v>2.5640327618741705E-3</v>
      </c>
      <c r="U69" s="67">
        <f t="shared" si="10"/>
        <v>2709.8130199876805</v>
      </c>
      <c r="V69" s="67">
        <f t="shared" si="11"/>
        <v>6064.2598164840419</v>
      </c>
      <c r="W69" s="67" cm="1">
        <f t="array" ref="W69">Holtrop($C$4,$C$5,$C$6,$C$7,$C$9,$C$11,$C$14,$C$15,$C$16,$C$17,$C$18,$C$19,A69)*1000</f>
        <v>10400.561389827408</v>
      </c>
      <c r="X69" s="67" cm="1">
        <f t="array" ref="X69">DelftResistance($C$4,$C$5,$C$5,$C$6,$C$8*1000,$C$14,$C$12,$C$13,$C$10,$C$9,B68)</f>
        <v>8948.384853882284</v>
      </c>
      <c r="Y69" s="67">
        <f>IF(Input!$B$44="Derived",V69,IF(Input!$B$44="Holtrop",W69,X69))</f>
        <v>10400.561389827408</v>
      </c>
      <c r="Z69" s="67">
        <f>N69*SUM(Input!$B$37:$B$39)/170</f>
        <v>896.05734767025103</v>
      </c>
    </row>
    <row r="70" spans="1:26" x14ac:dyDescent="0.2">
      <c r="A70" s="217">
        <v>15</v>
      </c>
      <c r="B70" s="308">
        <f t="shared" si="3"/>
        <v>7.7159999999999993</v>
      </c>
      <c r="C70" s="4">
        <f t="shared" si="4"/>
        <v>0.43279549533847472</v>
      </c>
      <c r="D70" s="227">
        <f t="shared" si="0"/>
        <v>209758487.39495796</v>
      </c>
      <c r="E70" s="314">
        <f t="shared" si="16"/>
        <v>1.8766825409008005E-3</v>
      </c>
      <c r="F70" s="309">
        <f t="shared" si="6"/>
        <v>7471.9262961219911</v>
      </c>
      <c r="G70" s="80">
        <f t="shared" si="18"/>
        <v>17295</v>
      </c>
      <c r="H70" s="313">
        <f t="shared" si="13"/>
        <v>9823.0737038780098</v>
      </c>
      <c r="I70" s="77">
        <f t="shared" si="7"/>
        <v>2.4672072752668175E-3</v>
      </c>
      <c r="J70" s="68">
        <f t="shared" si="8"/>
        <v>133344.45000000001</v>
      </c>
      <c r="K70" s="68"/>
      <c r="L70" s="68">
        <f t="shared" si="14"/>
        <v>833.33333333333303</v>
      </c>
      <c r="M70" s="68">
        <f t="shared" si="17"/>
        <v>1455.56</v>
      </c>
      <c r="N70" s="68">
        <f>IF(Input!$B$43="Trust",Powering!M70,170*L70/62)</f>
        <v>2284.9462365591394</v>
      </c>
      <c r="O70" s="68">
        <f t="shared" si="1"/>
        <v>-15010.053763440861</v>
      </c>
      <c r="P70" s="94"/>
      <c r="Q70" s="4">
        <f t="shared" si="9"/>
        <v>0.59354773345025436</v>
      </c>
      <c r="R70" s="67">
        <f t="shared" si="2"/>
        <v>111525378.15126048</v>
      </c>
      <c r="S70" s="314">
        <f t="shared" si="15"/>
        <v>2.0508204955581818E-3</v>
      </c>
      <c r="T70" s="19" cm="1">
        <f t="array" ref="T70">Lininterp($C$54:$C$71,$I$54:$I$71,Q70)</f>
        <v>2.5640327618741705E-3</v>
      </c>
      <c r="U70" s="67">
        <f t="shared" si="10"/>
        <v>3080.0050873552032</v>
      </c>
      <c r="V70" s="67">
        <f t="shared" si="11"/>
        <v>6930.7730935372492</v>
      </c>
      <c r="W70" s="67" cm="1">
        <f t="array" ref="W70">Holtrop($C$4,$C$5,$C$6,$C$7,$C$9,$C$11,$C$14,$C$15,$C$16,$C$17,$C$18,$C$19,A70)*1000</f>
        <v>11328.763457681342</v>
      </c>
      <c r="X70" s="67" cm="1">
        <f t="array" ref="X70">DelftResistance($C$4,$C$5,$C$5,$C$6,$C$8*1000,$C$14,$C$12,$C$13,$C$10,$C$9,B69)</f>
        <v>10138.006310744966</v>
      </c>
      <c r="Y70" s="67">
        <f>IF(Input!$B$44="Derived",V70,IF(Input!$B$44="Holtrop",W70,X70))</f>
        <v>11328.763457681342</v>
      </c>
      <c r="Z70" s="67">
        <f>N70*SUM(Input!$B$37:$B$39)/170</f>
        <v>672.04301075268813</v>
      </c>
    </row>
    <row r="71" spans="1:26" ht="13.5" thickBot="1" x14ac:dyDescent="0.25">
      <c r="A71" s="218">
        <v>16</v>
      </c>
      <c r="B71" s="308">
        <f t="shared" si="3"/>
        <v>8.2303999999999995</v>
      </c>
      <c r="C71" s="4">
        <f t="shared" si="4"/>
        <v>0.4616485283610397</v>
      </c>
      <c r="D71" s="227">
        <f t="shared" si="0"/>
        <v>223742386.55462185</v>
      </c>
      <c r="E71" s="314">
        <f t="shared" si="16"/>
        <v>1.8601512014808465E-3</v>
      </c>
      <c r="F71" s="309">
        <f t="shared" si="6"/>
        <v>8426.5045550518807</v>
      </c>
      <c r="G71" s="82">
        <f t="shared" si="18"/>
        <v>20041.599999999999</v>
      </c>
      <c r="H71" s="313">
        <f t="shared" si="13"/>
        <v>11615.095444948118</v>
      </c>
      <c r="I71" s="77">
        <f t="shared" si="7"/>
        <v>2.5640327618741705E-3</v>
      </c>
      <c r="J71" s="96">
        <f t="shared" si="8"/>
        <v>164822.11839999998</v>
      </c>
      <c r="K71" s="96"/>
      <c r="L71" s="96">
        <f t="shared" si="14"/>
        <v>555.55555555555566</v>
      </c>
      <c r="M71" s="96">
        <v>1000</v>
      </c>
      <c r="N71" s="68">
        <f>IF(Input!$B$43="Trust",Powering!M71,170*L71/62)</f>
        <v>1523.2974910394269</v>
      </c>
      <c r="O71" s="96">
        <f t="shared" si="1"/>
        <v>-18518.302508960573</v>
      </c>
      <c r="P71" s="210"/>
      <c r="Q71" s="4">
        <f t="shared" si="9"/>
        <v>0.63311758234693805</v>
      </c>
      <c r="R71" s="67">
        <f t="shared" si="2"/>
        <v>118960403.36134452</v>
      </c>
      <c r="S71" s="314">
        <f t="shared" si="15"/>
        <v>2.031941323071329E-3</v>
      </c>
      <c r="T71" s="19" cm="1">
        <f t="array" ref="T71">Lininterp($C$54:$C$71,$I$54:$I$71,Q71)</f>
        <v>2.5640327618741705E-3</v>
      </c>
      <c r="U71" s="67">
        <f t="shared" si="10"/>
        <v>3472.1013569617962</v>
      </c>
      <c r="V71" s="67">
        <f t="shared" si="11"/>
        <v>7853.4196217733706</v>
      </c>
      <c r="W71" s="67" cm="1">
        <f t="array" ref="W71">Holtrop($C$4,$C$5,$C$6,$C$7,$C$9,$C$11,$C$14,$C$15,$C$16,$C$17,$C$18,$C$19,A71)*1000</f>
        <v>12095.645104998361</v>
      </c>
      <c r="X71" s="67" cm="1">
        <f t="array" ref="X71">DelftResistance($C$4,$C$5,$C$5,$C$6,$C$8*1000,$C$14,$C$12,$C$13,$C$10,$C$9,B70)</f>
        <v>10716.141004914012</v>
      </c>
      <c r="Y71" s="67">
        <f>IF(Input!$B$44="Derived",V71,IF(Input!$B$44="Holtrop",W71,X71))</f>
        <v>12095.645104998361</v>
      </c>
      <c r="Z71" s="67">
        <f>N71*SUM(Input!$B$37:$B$39)/170</f>
        <v>448.02867383512552</v>
      </c>
    </row>
    <row r="73" spans="1:26" x14ac:dyDescent="0.2">
      <c r="N73">
        <f>M62-M71</f>
        <v>4100</v>
      </c>
    </row>
    <row r="74" spans="1:26" x14ac:dyDescent="0.2">
      <c r="A74" t="s">
        <v>268</v>
      </c>
      <c r="G74" s="1" t="s">
        <v>278</v>
      </c>
      <c r="H74" s="1"/>
      <c r="I74" s="1"/>
      <c r="N74">
        <f>N73/9</f>
        <v>455.55555555555554</v>
      </c>
    </row>
    <row r="75" spans="1:26" x14ac:dyDescent="0.2">
      <c r="A75" t="s">
        <v>269</v>
      </c>
      <c r="G75" s="4">
        <f>N288</f>
        <v>9.9481359537937095</v>
      </c>
      <c r="H75" s="4"/>
      <c r="I75" s="4"/>
      <c r="J75" s="1" t="s">
        <v>253</v>
      </c>
    </row>
    <row r="76" spans="1:26" x14ac:dyDescent="0.2">
      <c r="A76" t="s">
        <v>270</v>
      </c>
      <c r="G76" s="4"/>
      <c r="H76" s="4"/>
      <c r="I76" s="4"/>
    </row>
    <row r="77" spans="1:26" x14ac:dyDescent="0.2">
      <c r="A77" s="1" t="s">
        <v>290</v>
      </c>
      <c r="B77" s="1"/>
      <c r="C77" s="1"/>
      <c r="D77" s="1"/>
      <c r="E77" s="1"/>
      <c r="F77" s="1"/>
      <c r="G77">
        <f>798+31</f>
        <v>829</v>
      </c>
      <c r="J77" s="1" t="s">
        <v>291</v>
      </c>
      <c r="K77" s="1" t="s">
        <v>295</v>
      </c>
    </row>
    <row r="78" spans="1:26" x14ac:dyDescent="0.2">
      <c r="A78" s="1" t="s">
        <v>293</v>
      </c>
      <c r="B78" s="1"/>
      <c r="C78" s="1"/>
      <c r="D78" s="1"/>
      <c r="E78" s="1"/>
      <c r="F78" s="1"/>
      <c r="G78" s="4">
        <f>SQRT(2*$G$77*0.001/$B$8)/0.514</f>
        <v>0.37188743945470326</v>
      </c>
      <c r="H78" s="4"/>
      <c r="I78" s="4"/>
      <c r="J78" s="1" t="s">
        <v>253</v>
      </c>
    </row>
    <row r="79" spans="1:26" x14ac:dyDescent="0.2">
      <c r="G79" s="4"/>
      <c r="H79" s="4"/>
      <c r="I79" s="4"/>
    </row>
    <row r="80" spans="1:26" x14ac:dyDescent="0.2">
      <c r="A80" s="1" t="s">
        <v>294</v>
      </c>
      <c r="B80" s="1"/>
      <c r="C80" s="1"/>
      <c r="D80" s="1"/>
      <c r="E80" s="1"/>
      <c r="F80" s="1"/>
      <c r="G80" s="4">
        <f>V288</f>
        <v>8.5470006522808131</v>
      </c>
      <c r="H80" s="4"/>
      <c r="I80" s="4"/>
      <c r="O80">
        <f>18*0.514</f>
        <v>9.2520000000000007</v>
      </c>
    </row>
    <row r="81" spans="1:24" x14ac:dyDescent="0.2">
      <c r="A81" s="1" t="s">
        <v>293</v>
      </c>
      <c r="B81" s="1"/>
      <c r="C81" s="1"/>
      <c r="D81" s="1"/>
      <c r="E81" s="1"/>
      <c r="F81" s="1"/>
      <c r="G81" s="4">
        <f>SQRT(2*G77*0.001/$C$8)/0.514</f>
        <v>0.65988539019954984</v>
      </c>
      <c r="H81" s="4"/>
      <c r="I81" s="4"/>
      <c r="J81" s="1" t="s">
        <v>253</v>
      </c>
    </row>
    <row r="84" spans="1:24" ht="13.5" thickBot="1" x14ac:dyDescent="0.25">
      <c r="J84" s="1" t="s">
        <v>286</v>
      </c>
    </row>
    <row r="85" spans="1:24" ht="13.5" thickBot="1" x14ac:dyDescent="0.25">
      <c r="G85" s="216" t="s">
        <v>248</v>
      </c>
      <c r="H85" s="161"/>
      <c r="I85" s="161"/>
      <c r="J85" s="161"/>
      <c r="K85" s="161"/>
      <c r="L85" s="161"/>
      <c r="M85" s="161"/>
      <c r="N85" s="161"/>
      <c r="O85" s="161"/>
      <c r="P85" s="231"/>
      <c r="Q85" s="229" t="s">
        <v>173</v>
      </c>
      <c r="R85" s="161"/>
      <c r="S85" s="161"/>
      <c r="T85" s="161"/>
      <c r="U85" s="161"/>
      <c r="V85" s="161"/>
      <c r="W85" s="161"/>
      <c r="X85" s="134"/>
    </row>
    <row r="86" spans="1:24" ht="13.5" thickBot="1" x14ac:dyDescent="0.25">
      <c r="A86" s="190" t="s">
        <v>273</v>
      </c>
      <c r="B86" s="216"/>
      <c r="C86" s="216"/>
      <c r="D86" s="216"/>
      <c r="E86" s="216"/>
      <c r="F86" s="216"/>
      <c r="G86" s="92" t="s">
        <v>274</v>
      </c>
      <c r="H86" s="75"/>
      <c r="I86" s="75"/>
      <c r="J86" s="72" t="s">
        <v>276</v>
      </c>
      <c r="K86" s="72" t="s">
        <v>277</v>
      </c>
      <c r="L86" s="72" t="s">
        <v>278</v>
      </c>
      <c r="M86" s="72"/>
      <c r="N86" s="105" t="s">
        <v>278</v>
      </c>
      <c r="O86" s="72" t="s">
        <v>279</v>
      </c>
      <c r="P86" s="108" t="s">
        <v>285</v>
      </c>
      <c r="Q86" s="232" t="s">
        <v>274</v>
      </c>
      <c r="R86" s="173" t="s">
        <v>276</v>
      </c>
      <c r="S86" s="173" t="s">
        <v>277</v>
      </c>
      <c r="T86" s="173" t="s">
        <v>278</v>
      </c>
      <c r="U86" s="173"/>
      <c r="V86" s="224" t="s">
        <v>278</v>
      </c>
      <c r="W86" s="173" t="s">
        <v>279</v>
      </c>
      <c r="X86" s="225" t="s">
        <v>285</v>
      </c>
    </row>
    <row r="87" spans="1:24" x14ac:dyDescent="0.2">
      <c r="A87" s="226"/>
      <c r="B87" s="226"/>
      <c r="C87" s="226"/>
      <c r="D87" s="226"/>
      <c r="E87" s="226"/>
      <c r="F87" s="226"/>
      <c r="G87" s="178" t="s">
        <v>242</v>
      </c>
      <c r="H87" s="311"/>
      <c r="I87" s="311"/>
      <c r="J87" s="101" t="s">
        <v>242</v>
      </c>
      <c r="K87" s="101" t="s">
        <v>287</v>
      </c>
      <c r="L87" s="101" t="s">
        <v>288</v>
      </c>
      <c r="M87" s="101"/>
      <c r="N87" s="101" t="s">
        <v>289</v>
      </c>
      <c r="O87" s="101" t="s">
        <v>61</v>
      </c>
      <c r="P87" s="106" t="s">
        <v>292</v>
      </c>
      <c r="Q87" s="230" t="s">
        <v>242</v>
      </c>
      <c r="R87" s="196" t="s">
        <v>242</v>
      </c>
      <c r="S87" s="196" t="s">
        <v>287</v>
      </c>
      <c r="T87" s="196" t="s">
        <v>288</v>
      </c>
      <c r="U87" s="196"/>
      <c r="V87" s="196" t="s">
        <v>289</v>
      </c>
      <c r="W87" s="196" t="s">
        <v>61</v>
      </c>
      <c r="X87" s="223" t="s">
        <v>292</v>
      </c>
    </row>
    <row r="88" spans="1:24" x14ac:dyDescent="0.2">
      <c r="A88" s="227">
        <v>0</v>
      </c>
      <c r="B88" s="227"/>
      <c r="C88" s="227"/>
      <c r="D88" s="227"/>
      <c r="E88" s="227"/>
      <c r="F88" s="227"/>
      <c r="G88" s="93" cm="1">
        <f t="array" ref="G88">Lininterp($A$55:$A$71,$N$55:$N$71,0)</f>
        <v>13709.677419354839</v>
      </c>
      <c r="H88" s="233"/>
      <c r="I88" s="233"/>
      <c r="J88" s="68" cm="1">
        <f t="array" ref="J88">Lininterp($A$55:$A$71,$G$55:$G$71,0)</f>
        <v>0</v>
      </c>
      <c r="K88" s="68">
        <f t="shared" ref="K88:K151" si="19">(G88-J88)/($B$8*1100)</f>
        <v>0.2746624460047189</v>
      </c>
      <c r="L88" s="68">
        <f>0+K88</f>
        <v>0.2746624460047189</v>
      </c>
      <c r="M88" s="68"/>
      <c r="N88" s="68">
        <f>L88/0.514</f>
        <v>0.53436273541774104</v>
      </c>
      <c r="O88" s="68">
        <v>0</v>
      </c>
      <c r="P88" s="164">
        <f t="shared" ref="P88:P151" si="20">0.5*$B$8*(L88)^2</f>
        <v>1.7116061517889374</v>
      </c>
      <c r="Q88" s="233" cm="1">
        <f t="array" ref="Q88">Lininterp($A$55:$A$71,$Z$55:$Z$71,0)</f>
        <v>4032.2580645161293</v>
      </c>
      <c r="R88" s="68" cm="1">
        <f t="array" ref="R88">Lininterp($A$55:$A$71,$G$55:$G$71,0)</f>
        <v>0</v>
      </c>
      <c r="S88" s="69">
        <f t="shared" ref="S88:S151" si="21">(Q88-R88)/($C$8*1100)</f>
        <v>0.25435154046322411</v>
      </c>
      <c r="T88" s="68">
        <f>0+S88</f>
        <v>0.25435154046322411</v>
      </c>
      <c r="U88" s="68"/>
      <c r="V88" s="68">
        <f>T88/0.514</f>
        <v>0.49484735498681731</v>
      </c>
      <c r="W88" s="68">
        <v>0</v>
      </c>
      <c r="X88" s="164">
        <f t="shared" ref="X88:X151" si="22">0.5*$C$8*(T88)^2</f>
        <v>0.46618684102497093</v>
      </c>
    </row>
    <row r="89" spans="1:24" x14ac:dyDescent="0.2">
      <c r="A89" s="227">
        <v>1</v>
      </c>
      <c r="B89" s="227"/>
      <c r="C89" s="227"/>
      <c r="D89" s="227"/>
      <c r="E89" s="227"/>
      <c r="F89" s="227"/>
      <c r="G89" s="93" cm="1">
        <f t="array" ref="G89">Lininterp($A$55:$A$71,$N$55:$N$71,N88)</f>
        <v>13302.680712271434</v>
      </c>
      <c r="H89" s="233"/>
      <c r="I89" s="233"/>
      <c r="J89" s="68" cm="1">
        <f t="array" ref="J89">Lininterp($A$55:$A$71,$G$55:$G$71,N88)</f>
        <v>21.48138196379319</v>
      </c>
      <c r="K89" s="68">
        <f t="shared" si="19"/>
        <v>0.2660782294402223</v>
      </c>
      <c r="L89" s="68">
        <f>L88+K89</f>
        <v>0.5407406754449412</v>
      </c>
      <c r="M89" s="68"/>
      <c r="N89" s="68">
        <f t="shared" ref="N89:N152" si="23">L89/0.514</f>
        <v>1.0520246603987182</v>
      </c>
      <c r="O89" s="68">
        <f>O88+L89</f>
        <v>0.5407406754449412</v>
      </c>
      <c r="P89" s="164">
        <f t="shared" si="20"/>
        <v>6.63412042021075</v>
      </c>
      <c r="Q89" s="233" cm="1">
        <f t="array" ref="Q89">Lininterp($A$55:$A$71,$Z$55:$Z$71,V88)</f>
        <v>3921.4051624133476</v>
      </c>
      <c r="R89" s="68" cm="1">
        <f t="array" ref="R89">Lininterp($A$55:$A$71,$Y$55:$Y$71,V88)</f>
        <v>12.694286174716829</v>
      </c>
      <c r="S89" s="69">
        <f t="shared" si="21"/>
        <v>0.24655828488397025</v>
      </c>
      <c r="T89" s="68">
        <f>T88+S89</f>
        <v>0.50090982534719442</v>
      </c>
      <c r="U89" s="68"/>
      <c r="V89" s="68">
        <f t="shared" ref="V89:V152" si="24">T89/0.514</f>
        <v>0.97453273413851049</v>
      </c>
      <c r="W89" s="68">
        <f t="shared" ref="W89:W120" si="25">W88+T89</f>
        <v>0.50090982534719442</v>
      </c>
      <c r="X89" s="164">
        <f t="shared" si="22"/>
        <v>1.8080497114549829</v>
      </c>
    </row>
    <row r="90" spans="1:24" x14ac:dyDescent="0.2">
      <c r="A90" s="227">
        <v>2</v>
      </c>
      <c r="B90" s="227"/>
      <c r="C90" s="227"/>
      <c r="D90" s="227"/>
      <c r="E90" s="227"/>
      <c r="F90" s="227"/>
      <c r="G90" s="93" cm="1">
        <f t="array" ref="G90">Lininterp($A$55:$A$71,$N$55:$N$71,N89)</f>
        <v>12908.404156506353</v>
      </c>
      <c r="H90" s="233"/>
      <c r="I90" s="233"/>
      <c r="J90" s="68" cm="1">
        <f t="array" ref="J90">Lininterp($A$55:$A$71,$G$55:$G$71,N89)</f>
        <v>46.474174044085423</v>
      </c>
      <c r="K90" s="68">
        <f t="shared" si="19"/>
        <v>0.25767850265661185</v>
      </c>
      <c r="L90" s="68">
        <f t="shared" ref="L90" si="26">L89+K90</f>
        <v>0.79841917810155305</v>
      </c>
      <c r="M90" s="68"/>
      <c r="N90" s="68">
        <f t="shared" si="23"/>
        <v>1.5533447044777295</v>
      </c>
      <c r="O90" s="68">
        <f t="shared" ref="O90:O120" si="27">O89+L90</f>
        <v>1.3391598535464944</v>
      </c>
      <c r="P90" s="164">
        <f t="shared" si="20"/>
        <v>14.463293270955946</v>
      </c>
      <c r="Q90" s="233" cm="1">
        <f t="array" ref="Q90">Lininterp($A$55:$A$71,$Z$55:$Z$71,V89)</f>
        <v>3813.9487602736317</v>
      </c>
      <c r="R90" s="68" cm="1">
        <f t="array" ref="R90">Lininterp($A$55:$A$71,$Y$55:$Y$71,V89)</f>
        <v>24.999623195142767</v>
      </c>
      <c r="S90" s="69">
        <f t="shared" si="21"/>
        <v>0.2390038123386739</v>
      </c>
      <c r="T90" s="68">
        <f t="shared" ref="T90" si="28">T89+S90</f>
        <v>0.73991363768586838</v>
      </c>
      <c r="U90" s="68"/>
      <c r="V90" s="68">
        <f t="shared" si="24"/>
        <v>1.4395206958869033</v>
      </c>
      <c r="W90" s="68">
        <f t="shared" si="25"/>
        <v>1.2408234630330628</v>
      </c>
      <c r="X90" s="164">
        <f t="shared" si="22"/>
        <v>3.945057433966741</v>
      </c>
    </row>
    <row r="91" spans="1:24" x14ac:dyDescent="0.2">
      <c r="A91" s="227">
        <v>3</v>
      </c>
      <c r="B91" s="227"/>
      <c r="C91" s="227"/>
      <c r="D91" s="227"/>
      <c r="E91" s="227"/>
      <c r="F91" s="227"/>
      <c r="G91" s="93" cm="1">
        <f t="array" ref="G91">Lininterp($A$55:$A$71,$N$55:$N$71,N90)</f>
        <v>12526.574373829686</v>
      </c>
      <c r="H91" s="233"/>
      <c r="I91" s="233"/>
      <c r="J91" s="68" cm="1">
        <f t="array" ref="J91">Lininterp($A$55:$A$71,$G$55:$G$71,N90)</f>
        <v>106.93337136001419</v>
      </c>
      <c r="K91" s="68">
        <f t="shared" si="19"/>
        <v>0.24881759591389035</v>
      </c>
      <c r="L91" s="68">
        <f t="shared" ref="L91" si="29">L90+K91</f>
        <v>1.0472367740154434</v>
      </c>
      <c r="M91" s="68"/>
      <c r="N91" s="68">
        <f t="shared" si="23"/>
        <v>2.0374256303802398</v>
      </c>
      <c r="O91" s="68">
        <f t="shared" si="27"/>
        <v>2.3863966275619379</v>
      </c>
      <c r="P91" s="164">
        <f t="shared" si="20"/>
        <v>24.882558879757969</v>
      </c>
      <c r="Q91" s="233" cm="1">
        <f t="array" ref="Q91">Lininterp($A$55:$A$71,$Z$55:$Z$71,V90)</f>
        <v>3709.784790347916</v>
      </c>
      <c r="R91" s="68" cm="1">
        <f t="array" ref="R91">Lininterp($A$55:$A$71,$Y$55:$Y$71,V90)</f>
        <v>54.381568455054762</v>
      </c>
      <c r="S91" s="69">
        <f t="shared" si="21"/>
        <v>0.23057984524466513</v>
      </c>
      <c r="T91" s="68">
        <f t="shared" ref="T91" si="30">T90+S91</f>
        <v>0.9704934829305335</v>
      </c>
      <c r="U91" s="68"/>
      <c r="V91" s="68">
        <f t="shared" si="24"/>
        <v>1.8881196165963687</v>
      </c>
      <c r="W91" s="68">
        <f t="shared" si="25"/>
        <v>2.2113169459635964</v>
      </c>
      <c r="X91" s="164">
        <f t="shared" si="22"/>
        <v>6.7869791155347805</v>
      </c>
    </row>
    <row r="92" spans="1:24" x14ac:dyDescent="0.2">
      <c r="A92" s="227">
        <v>4</v>
      </c>
      <c r="B92" s="227"/>
      <c r="C92" s="227"/>
      <c r="D92" s="227"/>
      <c r="E92" s="227"/>
      <c r="F92" s="227"/>
      <c r="G92" s="93" cm="1">
        <f t="array" ref="G92">Lininterp($A$55:$A$71,$N$55:$N$71,N91)</f>
        <v>12157.874743886017</v>
      </c>
      <c r="H92" s="233"/>
      <c r="I92" s="233"/>
      <c r="J92" s="68" cm="1">
        <f t="array" ref="J92">Lininterp($A$55:$A$71,$G$55:$G$71,N91)</f>
        <v>168.32255170642821</v>
      </c>
      <c r="K92" s="68">
        <f t="shared" si="19"/>
        <v>0.2402011098347385</v>
      </c>
      <c r="L92" s="68">
        <f t="shared" ref="L92" si="31">L91+K92</f>
        <v>1.2874378838501819</v>
      </c>
      <c r="M92" s="68"/>
      <c r="N92" s="68">
        <f t="shared" si="23"/>
        <v>2.5047429646890698</v>
      </c>
      <c r="O92" s="68">
        <f t="shared" si="27"/>
        <v>3.67383451141212</v>
      </c>
      <c r="P92" s="164">
        <f t="shared" si="20"/>
        <v>37.606060544412031</v>
      </c>
      <c r="Q92" s="233" cm="1">
        <f t="array" ref="Q92">Lininterp($A$55:$A$71,$Z$55:$Z$71,V91)</f>
        <v>3609.2922005832506</v>
      </c>
      <c r="R92" s="68" cm="1">
        <f t="array" ref="R92">Lininterp($A$55:$A$71,$Y$55:$Y$71,V91)</f>
        <v>83.703588691013323</v>
      </c>
      <c r="S92" s="69">
        <f t="shared" si="21"/>
        <v>0.22239124582964884</v>
      </c>
      <c r="T92" s="68">
        <f t="shared" ref="T92" si="32">T91+S92</f>
        <v>1.1928847287601823</v>
      </c>
      <c r="U92" s="68"/>
      <c r="V92" s="68">
        <f t="shared" si="24"/>
        <v>2.3207874100392649</v>
      </c>
      <c r="W92" s="68">
        <f t="shared" si="25"/>
        <v>3.4042016747237787</v>
      </c>
      <c r="X92" s="164">
        <f t="shared" si="22"/>
        <v>10.253879836604135</v>
      </c>
    </row>
    <row r="93" spans="1:24" x14ac:dyDescent="0.2">
      <c r="A93" s="227">
        <v>5</v>
      </c>
      <c r="B93" s="227"/>
      <c r="C93" s="227"/>
      <c r="D93" s="227"/>
      <c r="E93" s="227"/>
      <c r="F93" s="227"/>
      <c r="G93" s="93" cm="1">
        <f t="array" ref="G93">Lininterp($A$55:$A$71,$N$55:$N$71,N92)</f>
        <v>11801.943082450081</v>
      </c>
      <c r="H93" s="233"/>
      <c r="I93" s="233"/>
      <c r="J93" s="68" cm="1">
        <f t="array" ref="J93">Lininterp($A$55:$A$71,$G$55:$G$71,N92)</f>
        <v>262.25333590250307</v>
      </c>
      <c r="K93" s="68">
        <f t="shared" si="19"/>
        <v>0.2311884747519819</v>
      </c>
      <c r="L93" s="68">
        <f t="shared" ref="L93" si="33">L92+K93</f>
        <v>1.5186263586021638</v>
      </c>
      <c r="M93" s="68"/>
      <c r="N93" s="68">
        <f t="shared" si="23"/>
        <v>2.9545259894983729</v>
      </c>
      <c r="O93" s="68">
        <f t="shared" si="27"/>
        <v>5.1924608700142834</v>
      </c>
      <c r="P93" s="164">
        <f t="shared" si="20"/>
        <v>52.324747256585276</v>
      </c>
      <c r="Q93" s="233" cm="1">
        <f t="array" ref="Q93">Lininterp($A$55:$A$71,$Z$55:$Z$71,V92)</f>
        <v>3512.3684117295556</v>
      </c>
      <c r="R93" s="68" cm="1">
        <f t="array" ref="R93">Lininterp($A$55:$A$71,$Y$55:$Y$71,V92)</f>
        <v>123.31654624222656</v>
      </c>
      <c r="S93" s="69">
        <f t="shared" si="21"/>
        <v>0.21377861954872346</v>
      </c>
      <c r="T93" s="68">
        <f t="shared" ref="T93" si="34">T92+S93</f>
        <v>1.4066633483089057</v>
      </c>
      <c r="U93" s="68"/>
      <c r="V93" s="68">
        <f t="shared" si="24"/>
        <v>2.7366991212235519</v>
      </c>
      <c r="W93" s="68">
        <f t="shared" si="25"/>
        <v>4.8108650230326848</v>
      </c>
      <c r="X93" s="164">
        <f t="shared" si="22"/>
        <v>14.258426772974586</v>
      </c>
    </row>
    <row r="94" spans="1:24" x14ac:dyDescent="0.2">
      <c r="A94" s="227">
        <v>6</v>
      </c>
      <c r="B94" s="227"/>
      <c r="C94" s="227"/>
      <c r="D94" s="227"/>
      <c r="E94" s="227"/>
      <c r="F94" s="227"/>
      <c r="G94" s="93" cm="1">
        <f t="array" ref="G94">Lininterp($A$55:$A$71,$N$55:$N$71,N93)</f>
        <v>11459.366405848015</v>
      </c>
      <c r="H94" s="233"/>
      <c r="I94" s="233"/>
      <c r="J94" s="68" cm="1">
        <f t="array" ref="J94">Lininterp($A$55:$A$71,$G$55:$G$71,N93)</f>
        <v>352.65972388917294</v>
      </c>
      <c r="K94" s="68">
        <f t="shared" si="19"/>
        <v>0.22251400459773388</v>
      </c>
      <c r="L94" s="68">
        <f t="shared" ref="L94" si="35">L93+K94</f>
        <v>1.7411403631998976</v>
      </c>
      <c r="M94" s="68"/>
      <c r="N94" s="68">
        <f t="shared" si="23"/>
        <v>3.3874326132293726</v>
      </c>
      <c r="O94" s="68">
        <f t="shared" si="27"/>
        <v>6.9336012332141808</v>
      </c>
      <c r="P94" s="164">
        <f t="shared" si="20"/>
        <v>68.781689452342562</v>
      </c>
      <c r="Q94" s="233" cm="1">
        <f t="array" ref="Q94">Lininterp($A$55:$A$71,$Z$55:$Z$71,V93)</f>
        <v>3419.1982255323587</v>
      </c>
      <c r="R94" s="68" cm="1">
        <f t="array" ref="R94">Lininterp($A$55:$A$71,$Y$55:$Y$71,V93)</f>
        <v>165.19466226219402</v>
      </c>
      <c r="S94" s="69">
        <f t="shared" si="21"/>
        <v>0.2052598831096655</v>
      </c>
      <c r="T94" s="68">
        <f t="shared" ref="T94" si="36">T93+S94</f>
        <v>1.6119232314185712</v>
      </c>
      <c r="U94" s="68"/>
      <c r="V94" s="68">
        <f t="shared" si="24"/>
        <v>3.136037415211228</v>
      </c>
      <c r="W94" s="68">
        <f t="shared" si="25"/>
        <v>6.4227882544512562</v>
      </c>
      <c r="X94" s="164">
        <f t="shared" si="22"/>
        <v>18.723195630462179</v>
      </c>
    </row>
    <row r="95" spans="1:24" x14ac:dyDescent="0.2">
      <c r="A95" s="227">
        <v>7</v>
      </c>
      <c r="B95" s="227"/>
      <c r="C95" s="227"/>
      <c r="D95" s="227"/>
      <c r="E95" s="227"/>
      <c r="F95" s="227"/>
      <c r="G95" s="93" cm="1">
        <f t="array" ref="G95">Lininterp($A$55:$A$71,$N$55:$N$71,N94)</f>
        <v>11129.643618956123</v>
      </c>
      <c r="H95" s="233"/>
      <c r="I95" s="233"/>
      <c r="J95" s="68" cm="1">
        <f t="array" ref="J95">Lininterp($A$55:$A$71,$G$55:$G$71,N94)</f>
        <v>470.82353736274547</v>
      </c>
      <c r="K95" s="68">
        <f t="shared" si="19"/>
        <v>0.21354095399805717</v>
      </c>
      <c r="L95" s="68">
        <f t="shared" ref="L95" si="37">L94+K95</f>
        <v>1.9546813171979549</v>
      </c>
      <c r="M95" s="68"/>
      <c r="N95" s="68">
        <f t="shared" si="23"/>
        <v>3.8028819400738421</v>
      </c>
      <c r="O95" s="68">
        <f t="shared" si="27"/>
        <v>8.8882825504121357</v>
      </c>
      <c r="P95" s="164">
        <f t="shared" si="20"/>
        <v>86.687643245530211</v>
      </c>
      <c r="Q95" s="233" cm="1">
        <f t="array" ref="Q95">Lininterp($A$55:$A$71,$Z$55:$Z$71,V94)</f>
        <v>3329.7407223989185</v>
      </c>
      <c r="R95" s="68" cm="1">
        <f t="array" ref="R95">Lininterp($A$55:$A$71,$Y$55:$Y$71,V94)</f>
        <v>210.45399896265877</v>
      </c>
      <c r="S95" s="69">
        <f t="shared" si="21"/>
        <v>0.19676205504661889</v>
      </c>
      <c r="T95" s="68">
        <f t="shared" ref="T95" si="38">T94+S95</f>
        <v>1.8086852864651901</v>
      </c>
      <c r="U95" s="68"/>
      <c r="V95" s="68">
        <f t="shared" si="24"/>
        <v>3.5188429697766344</v>
      </c>
      <c r="W95" s="68">
        <f t="shared" si="25"/>
        <v>8.231473540916447</v>
      </c>
      <c r="X95" s="164">
        <f t="shared" si="22"/>
        <v>23.573131419511178</v>
      </c>
    </row>
    <row r="96" spans="1:24" x14ac:dyDescent="0.2">
      <c r="A96" s="227">
        <v>8</v>
      </c>
      <c r="B96" s="227"/>
      <c r="C96" s="227"/>
      <c r="D96" s="227"/>
      <c r="E96" s="227"/>
      <c r="F96" s="227"/>
      <c r="G96" s="93" cm="1">
        <f t="array" ref="G96">Lininterp($A$55:$A$71,$N$55:$N$71,N95)</f>
        <v>10813.217160338023</v>
      </c>
      <c r="H96" s="233"/>
      <c r="I96" s="233"/>
      <c r="J96" s="68" cm="1">
        <f t="array" ref="J96">Lininterp($A$55:$A$71,$G$55:$G$71,N95)</f>
        <v>587.73097793677925</v>
      </c>
      <c r="K96" s="68">
        <f t="shared" si="19"/>
        <v>0.20485945515251577</v>
      </c>
      <c r="L96" s="68">
        <f t="shared" ref="L96" si="39">L95+K96</f>
        <v>2.1595407723504705</v>
      </c>
      <c r="M96" s="68"/>
      <c r="N96" s="68">
        <f t="shared" si="23"/>
        <v>4.2014411913433278</v>
      </c>
      <c r="O96" s="68">
        <f t="shared" si="27"/>
        <v>11.047823322762607</v>
      </c>
      <c r="P96" s="164">
        <f t="shared" si="20"/>
        <v>105.81033466735174</v>
      </c>
      <c r="Q96" s="233" cm="1">
        <f t="array" ref="Q96">Lininterp($A$55:$A$71,$Z$55:$Z$71,V95)</f>
        <v>3243.9867899245892</v>
      </c>
      <c r="R96" s="68" cm="1">
        <f t="array" ref="R96">Lininterp($A$55:$A$71,$Y$55:$Y$71,V95)</f>
        <v>263.20921096219217</v>
      </c>
      <c r="S96" s="69">
        <f t="shared" si="21"/>
        <v>0.18802501150885667</v>
      </c>
      <c r="T96" s="68">
        <f t="shared" ref="T96" si="40">T95+S96</f>
        <v>1.9967102979740468</v>
      </c>
      <c r="U96" s="68"/>
      <c r="V96" s="68">
        <f t="shared" si="24"/>
        <v>3.884650385163515</v>
      </c>
      <c r="W96" s="68">
        <f t="shared" si="25"/>
        <v>10.228183838890494</v>
      </c>
      <c r="X96" s="164">
        <f t="shared" si="22"/>
        <v>28.72905770913799</v>
      </c>
    </row>
    <row r="97" spans="1:24" x14ac:dyDescent="0.2">
      <c r="A97" s="227">
        <v>9</v>
      </c>
      <c r="B97" s="227"/>
      <c r="C97" s="227"/>
      <c r="D97" s="227"/>
      <c r="E97" s="227"/>
      <c r="F97" s="227"/>
      <c r="G97" s="93" cm="1">
        <f t="array" ref="G97">Lininterp($A$55:$A$71,$N$55:$N$71,N96)</f>
        <v>10509.655006593342</v>
      </c>
      <c r="H97" s="233"/>
      <c r="I97" s="233"/>
      <c r="J97" s="68" cm="1">
        <f t="array" ref="J97">Lininterp($A$55:$A$71,$G$55:$G$71,N96)</f>
        <v>716.08142302801605</v>
      </c>
      <c r="K97" s="68">
        <f t="shared" si="19"/>
        <v>0.19620643092533374</v>
      </c>
      <c r="L97" s="68">
        <f t="shared" ref="L97" si="41">L96+K97</f>
        <v>2.3557472032758042</v>
      </c>
      <c r="M97" s="68"/>
      <c r="N97" s="68">
        <f t="shared" si="23"/>
        <v>4.5831657651280233</v>
      </c>
      <c r="O97" s="68">
        <f t="shared" si="27"/>
        <v>13.403570526038411</v>
      </c>
      <c r="P97" s="164">
        <f t="shared" si="20"/>
        <v>125.91070059475339</v>
      </c>
      <c r="Q97" s="233" cm="1">
        <f t="array" ref="Q97">Lininterp($A$55:$A$71,$Z$55:$Z$71,V96)</f>
        <v>3162.0406843271694</v>
      </c>
      <c r="R97" s="68" cm="1">
        <f t="array" ref="R97">Lininterp($A$55:$A$71,$Y$55:$Y$71,V96)</f>
        <v>313.62187483183038</v>
      </c>
      <c r="S97" s="69">
        <f t="shared" si="21"/>
        <v>0.17967592859573145</v>
      </c>
      <c r="T97" s="68">
        <f t="shared" ref="T97" si="42">T96+S97</f>
        <v>2.176386226569778</v>
      </c>
      <c r="U97" s="68"/>
      <c r="V97" s="68">
        <f t="shared" si="24"/>
        <v>4.2342144485793343</v>
      </c>
      <c r="W97" s="68">
        <f t="shared" si="25"/>
        <v>12.404570065460273</v>
      </c>
      <c r="X97" s="164">
        <f t="shared" si="22"/>
        <v>34.132115270206278</v>
      </c>
    </row>
    <row r="98" spans="1:24" x14ac:dyDescent="0.2">
      <c r="A98" s="227">
        <f>A97+1</f>
        <v>10</v>
      </c>
      <c r="B98" s="227"/>
      <c r="C98" s="227"/>
      <c r="D98" s="227"/>
      <c r="E98" s="227"/>
      <c r="F98" s="227"/>
      <c r="G98" s="93" cm="1">
        <f t="array" ref="G98">Lininterp($A$55:$A$71,$N$55:$N$71,N97)</f>
        <v>10218.914963836183</v>
      </c>
      <c r="H98" s="233"/>
      <c r="I98" s="233"/>
      <c r="J98" s="68" cm="1">
        <f t="array" ref="J98">Lininterp($A$55:$A$71,$G$55:$G$71,N97)</f>
        <v>854.18937382331887</v>
      </c>
      <c r="K98" s="68">
        <f t="shared" si="19"/>
        <v>0.18761480361927871</v>
      </c>
      <c r="L98" s="68">
        <f t="shared" ref="L98" si="43">L97+K98</f>
        <v>2.5433620068950828</v>
      </c>
      <c r="M98" s="68"/>
      <c r="N98" s="68">
        <f t="shared" si="23"/>
        <v>4.9481751106908227</v>
      </c>
      <c r="O98" s="68">
        <f t="shared" si="27"/>
        <v>15.946932532933495</v>
      </c>
      <c r="P98" s="164">
        <f t="shared" si="20"/>
        <v>146.76470668055114</v>
      </c>
      <c r="Q98" s="233" cm="1">
        <f t="array" ref="Q98">Lininterp($A$55:$A$71,$Z$55:$Z$71,V97)</f>
        <v>3083.7333224508661</v>
      </c>
      <c r="R98" s="68" cm="1">
        <f t="array" ref="R98">Lininterp($A$55:$A$71,$Y$55:$Y$71,V97)</f>
        <v>374.52963074511223</v>
      </c>
      <c r="S98" s="69">
        <f t="shared" si="21"/>
        <v>0.17089435283867502</v>
      </c>
      <c r="T98" s="68">
        <f t="shared" ref="T98" si="44">T97+S98</f>
        <v>2.3472805794084528</v>
      </c>
      <c r="U98" s="68"/>
      <c r="V98" s="68">
        <f t="shared" si="24"/>
        <v>4.5666937342576901</v>
      </c>
      <c r="W98" s="68">
        <f t="shared" si="25"/>
        <v>14.751850644868727</v>
      </c>
      <c r="X98" s="164">
        <f t="shared" si="22"/>
        <v>39.702812911480365</v>
      </c>
    </row>
    <row r="99" spans="1:24" x14ac:dyDescent="0.2">
      <c r="A99" s="227">
        <f t="shared" ref="A99:A162" si="45">A98+1</f>
        <v>11</v>
      </c>
      <c r="B99" s="227"/>
      <c r="C99" s="227"/>
      <c r="D99" s="227"/>
      <c r="E99" s="227"/>
      <c r="F99" s="227"/>
      <c r="G99" s="93" cm="1">
        <f t="array" ref="G99">Lininterp($A$55:$A$71,$N$55:$N$71,N98)</f>
        <v>9940.9060536853049</v>
      </c>
      <c r="H99" s="233"/>
      <c r="I99" s="233"/>
      <c r="J99" s="68" cm="1">
        <f t="array" ref="J99">Lininterp($A$55:$A$71,$G$55:$G$71,N98)</f>
        <v>986.24975504793974</v>
      </c>
      <c r="K99" s="68">
        <f t="shared" si="19"/>
        <v>0.1793993926248808</v>
      </c>
      <c r="L99" s="68">
        <f t="shared" ref="L99" si="46">L98+K99</f>
        <v>2.7227613995199635</v>
      </c>
      <c r="M99" s="68"/>
      <c r="N99" s="68">
        <f t="shared" si="23"/>
        <v>5.2972011663812522</v>
      </c>
      <c r="O99" s="68">
        <f t="shared" si="27"/>
        <v>18.669693932453459</v>
      </c>
      <c r="P99" s="164">
        <f t="shared" si="20"/>
        <v>168.19939992175844</v>
      </c>
      <c r="Q99" s="233" cm="1">
        <f t="array" ref="Q99">Lininterp($A$55:$A$71,$Z$55:$Z$71,V98)</f>
        <v>3009.2531957308042</v>
      </c>
      <c r="R99" s="68" cm="1">
        <f t="array" ref="R99">Lininterp($A$55:$A$71,$Y$55:$Y$71,V98)</f>
        <v>438.42529853785658</v>
      </c>
      <c r="S99" s="69">
        <f t="shared" si="21"/>
        <v>0.16216572090738063</v>
      </c>
      <c r="T99" s="68">
        <f t="shared" ref="T99" si="47">T98+S99</f>
        <v>2.5094463003158336</v>
      </c>
      <c r="U99" s="68"/>
      <c r="V99" s="68">
        <f t="shared" si="24"/>
        <v>4.8821912457506489</v>
      </c>
      <c r="W99" s="68">
        <f t="shared" si="25"/>
        <v>17.261296945184561</v>
      </c>
      <c r="X99" s="164">
        <f t="shared" si="22"/>
        <v>45.378180616681306</v>
      </c>
    </row>
    <row r="100" spans="1:24" x14ac:dyDescent="0.2">
      <c r="A100" s="227">
        <f t="shared" si="45"/>
        <v>12</v>
      </c>
      <c r="B100" s="227"/>
      <c r="C100" s="227"/>
      <c r="D100" s="227"/>
      <c r="E100" s="227"/>
      <c r="F100" s="227"/>
      <c r="G100" s="93" cm="1">
        <f t="array" ref="G100">Lininterp($A$55:$A$71,$N$55:$N$71,N99)</f>
        <v>9675.0707962149954</v>
      </c>
      <c r="H100" s="233"/>
      <c r="I100" s="233"/>
      <c r="J100" s="68" cm="1">
        <f t="array" ref="J100">Lininterp($A$55:$A$71,$G$55:$G$71,N99)</f>
        <v>1136.4223557737898</v>
      </c>
      <c r="K100" s="68">
        <f t="shared" si="19"/>
        <v>0.17106500718354062</v>
      </c>
      <c r="L100" s="68">
        <f t="shared" ref="L100" si="48">L99+K100</f>
        <v>2.893826406703504</v>
      </c>
      <c r="M100" s="68"/>
      <c r="N100" s="68">
        <f t="shared" si="23"/>
        <v>5.6300124644037037</v>
      </c>
      <c r="O100" s="68">
        <f t="shared" si="27"/>
        <v>21.563520339156963</v>
      </c>
      <c r="P100" s="164">
        <f t="shared" si="20"/>
        <v>189.99852206367257</v>
      </c>
      <c r="Q100" s="233" cm="1">
        <f t="array" ref="Q100">Lininterp($A$55:$A$71,$Z$55:$Z$71,V99)</f>
        <v>2938.5772298945681</v>
      </c>
      <c r="R100" s="68" cm="1">
        <f t="array" ref="R100">Lininterp($A$55:$A$71,$Y$55:$Y$71,V99)</f>
        <v>499.05741925076507</v>
      </c>
      <c r="S100" s="69">
        <f t="shared" si="21"/>
        <v>0.15388291421329539</v>
      </c>
      <c r="T100" s="68">
        <f t="shared" ref="T100" si="49">T99+S100</f>
        <v>2.6633292145291292</v>
      </c>
      <c r="U100" s="68"/>
      <c r="V100" s="68">
        <f t="shared" si="24"/>
        <v>5.1815743473329361</v>
      </c>
      <c r="W100" s="68">
        <f t="shared" si="25"/>
        <v>19.924626159713689</v>
      </c>
      <c r="X100" s="164">
        <f t="shared" si="22"/>
        <v>51.114129864171076</v>
      </c>
    </row>
    <row r="101" spans="1:24" x14ac:dyDescent="0.2">
      <c r="A101" s="227">
        <f t="shared" si="45"/>
        <v>13</v>
      </c>
      <c r="B101" s="227"/>
      <c r="C101" s="227"/>
      <c r="D101" s="227"/>
      <c r="E101" s="227"/>
      <c r="F101" s="227"/>
      <c r="G101" s="93" cm="1">
        <f t="array" ref="G101">Lininterp($A$55:$A$71,$N$55:$N$71,N100)</f>
        <v>9421.5854885814078</v>
      </c>
      <c r="H101" s="233"/>
      <c r="I101" s="233"/>
      <c r="J101" s="68" cm="1">
        <f t="array" ref="J101">Lininterp($A$55:$A$71,$G$55:$G$71,N100)</f>
        <v>1283.5915117593179</v>
      </c>
      <c r="K101" s="68">
        <f t="shared" si="19"/>
        <v>0.16303821474968089</v>
      </c>
      <c r="L101" s="68">
        <f t="shared" ref="L101" si="50">L100+K101</f>
        <v>3.0568646214531849</v>
      </c>
      <c r="M101" s="68"/>
      <c r="N101" s="68">
        <f t="shared" si="23"/>
        <v>5.9472074347338229</v>
      </c>
      <c r="O101" s="68">
        <f t="shared" si="27"/>
        <v>24.620384960610146</v>
      </c>
      <c r="P101" s="164">
        <f t="shared" si="20"/>
        <v>212.01065285688549</v>
      </c>
      <c r="Q101" s="233" cm="1">
        <f t="array" ref="Q101">Lininterp($A$55:$A$71,$Z$55:$Z$71,V100)</f>
        <v>2871.5111229092886</v>
      </c>
      <c r="R101" s="68" cm="1">
        <f t="array" ref="R101">Lininterp($A$55:$A$71,$Y$55:$Y$71,V100)</f>
        <v>572.86785247463115</v>
      </c>
      <c r="S101" s="69">
        <f t="shared" si="21"/>
        <v>0.14499653728899869</v>
      </c>
      <c r="T101" s="68">
        <f t="shared" ref="T101" si="51">T100+S101</f>
        <v>2.8083257518181277</v>
      </c>
      <c r="U101" s="68"/>
      <c r="V101" s="68">
        <f t="shared" si="24"/>
        <v>5.4636687778562791</v>
      </c>
      <c r="W101" s="68">
        <f t="shared" si="25"/>
        <v>22.732951911531817</v>
      </c>
      <c r="X101" s="164">
        <f t="shared" si="22"/>
        <v>56.831122076232205</v>
      </c>
    </row>
    <row r="102" spans="1:24" x14ac:dyDescent="0.2">
      <c r="A102" s="227">
        <f t="shared" si="45"/>
        <v>14</v>
      </c>
      <c r="B102" s="227"/>
      <c r="C102" s="227"/>
      <c r="D102" s="227"/>
      <c r="E102" s="227"/>
      <c r="F102" s="227"/>
      <c r="G102" s="93" cm="1">
        <f t="array" ref="G102">Lininterp($A$55:$A$71,$N$55:$N$71,N101)</f>
        <v>9179.9943373443111</v>
      </c>
      <c r="H102" s="233"/>
      <c r="I102" s="233"/>
      <c r="J102" s="68" cm="1">
        <f t="array" ref="J102">Lininterp($A$55:$A$71,$G$55:$G$71,N101)</f>
        <v>1423.8551276392966</v>
      </c>
      <c r="K102" s="68">
        <f t="shared" si="19"/>
        <v>0.15538805923202656</v>
      </c>
      <c r="L102" s="68">
        <f t="shared" ref="L102" si="52">L101+K102</f>
        <v>3.2122526806852116</v>
      </c>
      <c r="M102" s="68"/>
      <c r="N102" s="68">
        <f t="shared" si="23"/>
        <v>6.2495188340179215</v>
      </c>
      <c r="O102" s="68">
        <f t="shared" si="27"/>
        <v>27.832637641295356</v>
      </c>
      <c r="P102" s="164">
        <f t="shared" si="20"/>
        <v>234.11253763750173</v>
      </c>
      <c r="Q102" s="233" cm="1">
        <f t="array" ref="Q102">Lininterp($A$55:$A$71,$Z$55:$Z$71,V101)</f>
        <v>2808.3179261074642</v>
      </c>
      <c r="R102" s="68" cm="1">
        <f t="array" ref="R102">Lininterp($A$55:$A$71,$Y$55:$Y$71,V101)</f>
        <v>652.36574051631726</v>
      </c>
      <c r="S102" s="69">
        <f t="shared" si="21"/>
        <v>0.13599570037340045</v>
      </c>
      <c r="T102" s="68">
        <f t="shared" ref="T102" si="53">T101+S102</f>
        <v>2.9443214521915282</v>
      </c>
      <c r="U102" s="68"/>
      <c r="V102" s="68">
        <f t="shared" si="24"/>
        <v>5.7282518525127006</v>
      </c>
      <c r="W102" s="68">
        <f t="shared" si="25"/>
        <v>25.677273363723344</v>
      </c>
      <c r="X102" s="164">
        <f t="shared" si="22"/>
        <v>62.468591309150128</v>
      </c>
    </row>
    <row r="103" spans="1:24" x14ac:dyDescent="0.2">
      <c r="A103" s="227">
        <f t="shared" si="45"/>
        <v>15</v>
      </c>
      <c r="B103" s="227"/>
      <c r="C103" s="227"/>
      <c r="D103" s="227"/>
      <c r="E103" s="227"/>
      <c r="F103" s="227"/>
      <c r="G103" s="93" cm="1">
        <f t="array" ref="G103">Lininterp($A$55:$A$71,$N$55:$N$71,N102)</f>
        <v>8949.7392393232676</v>
      </c>
      <c r="H103" s="233"/>
      <c r="I103" s="233"/>
      <c r="J103" s="68" cm="1">
        <f t="array" ref="J103">Lininterp($A$55:$A$71,$G$55:$G$71,N102)</f>
        <v>1616.2739619305437</v>
      </c>
      <c r="K103" s="68">
        <f t="shared" si="19"/>
        <v>0.14692012431567095</v>
      </c>
      <c r="L103" s="68">
        <f t="shared" ref="L103" si="54">L102+K103</f>
        <v>3.3591728050008824</v>
      </c>
      <c r="M103" s="68"/>
      <c r="N103" s="68">
        <f t="shared" si="23"/>
        <v>6.5353556517526892</v>
      </c>
      <c r="O103" s="68">
        <f t="shared" si="27"/>
        <v>31.191810446296238</v>
      </c>
      <c r="P103" s="164">
        <f t="shared" si="20"/>
        <v>256.01768337488926</v>
      </c>
      <c r="Q103" s="233" cm="1">
        <f t="array" ref="Q103">Lininterp($A$55:$A$71,$Z$55:$Z$71,V102)</f>
        <v>2749.0475240786959</v>
      </c>
      <c r="R103" s="68" cm="1">
        <f t="array" ref="R103">Lininterp($A$55:$A$71,$Y$55:$Y$71,V102)</f>
        <v>726.92870018815233</v>
      </c>
      <c r="S103" s="69">
        <f t="shared" si="21"/>
        <v>0.1275536013883482</v>
      </c>
      <c r="T103" s="68">
        <f t="shared" ref="T103" si="55">T102+S103</f>
        <v>3.0718750535798764</v>
      </c>
      <c r="U103" s="68"/>
      <c r="V103" s="68">
        <f t="shared" si="24"/>
        <v>5.9764106100775809</v>
      </c>
      <c r="W103" s="68">
        <f t="shared" si="25"/>
        <v>28.749148417303221</v>
      </c>
      <c r="X103" s="164">
        <f t="shared" si="22"/>
        <v>67.99834776485234</v>
      </c>
    </row>
    <row r="104" spans="1:24" x14ac:dyDescent="0.2">
      <c r="A104" s="227">
        <f t="shared" si="45"/>
        <v>16</v>
      </c>
      <c r="B104" s="227"/>
      <c r="C104" s="227"/>
      <c r="D104" s="227"/>
      <c r="E104" s="227"/>
      <c r="F104" s="227"/>
      <c r="G104" s="93" cm="1">
        <f t="array" ref="G104">Lininterp($A$55:$A$71,$N$55:$N$71,N103)</f>
        <v>8732.0319856722344</v>
      </c>
      <c r="H104" s="233"/>
      <c r="I104" s="233"/>
      <c r="J104" s="68" cm="1">
        <f t="array" ref="J104">Lininterp($A$55:$A$71,$G$55:$G$71,N103)</f>
        <v>1809.9569896276223</v>
      </c>
      <c r="K104" s="68">
        <f t="shared" si="19"/>
        <v>0.13867824834139592</v>
      </c>
      <c r="L104" s="68">
        <f t="shared" ref="L104" si="56">L103+K104</f>
        <v>3.4978510533422784</v>
      </c>
      <c r="M104" s="68"/>
      <c r="N104" s="68">
        <f t="shared" si="23"/>
        <v>6.8051576913273895</v>
      </c>
      <c r="O104" s="68">
        <f t="shared" si="27"/>
        <v>34.689661499638518</v>
      </c>
      <c r="P104" s="164">
        <f t="shared" si="20"/>
        <v>277.59260764630682</v>
      </c>
      <c r="Q104" s="233" cm="1">
        <f t="array" ref="Q104">Lininterp($A$55:$A$71,$Z$55:$Z$71,V103)</f>
        <v>2693.456404552513</v>
      </c>
      <c r="R104" s="68" cm="1">
        <f t="array" ref="R104">Lininterp($A$55:$A$71,$Y$55:$Y$71,V103)</f>
        <v>796.86307318820445</v>
      </c>
      <c r="S104" s="69">
        <f t="shared" si="21"/>
        <v>0.1196355559952679</v>
      </c>
      <c r="T104" s="68">
        <f t="shared" ref="T104" si="57">T103+S104</f>
        <v>3.1915106095751442</v>
      </c>
      <c r="U104" s="68"/>
      <c r="V104" s="68">
        <f t="shared" si="24"/>
        <v>6.2091646100683739</v>
      </c>
      <c r="W104" s="68">
        <f t="shared" si="25"/>
        <v>31.940659026878365</v>
      </c>
      <c r="X104" s="164">
        <f t="shared" si="22"/>
        <v>73.39793661962625</v>
      </c>
    </row>
    <row r="105" spans="1:24" x14ac:dyDescent="0.2">
      <c r="A105" s="227">
        <f t="shared" si="45"/>
        <v>17</v>
      </c>
      <c r="B105" s="227"/>
      <c r="C105" s="227"/>
      <c r="D105" s="227"/>
      <c r="E105" s="227"/>
      <c r="F105" s="227"/>
      <c r="G105" s="93" cm="1">
        <f t="array" ref="G105">Lininterp($A$55:$A$71,$N$55:$N$71,N104)</f>
        <v>8526.5376006915048</v>
      </c>
      <c r="H105" s="233"/>
      <c r="I105" s="233"/>
      <c r="J105" s="68" cm="1">
        <f t="array" ref="J105">Lininterp($A$55:$A$71,$G$55:$G$71,N104)</f>
        <v>1992.7748516434392</v>
      </c>
      <c r="K105" s="68">
        <f t="shared" si="19"/>
        <v>0.13089872236778777</v>
      </c>
      <c r="L105" s="68">
        <f t="shared" ref="L105" si="58">L104+K105</f>
        <v>3.628749775710066</v>
      </c>
      <c r="M105" s="68"/>
      <c r="N105" s="68">
        <f t="shared" si="23"/>
        <v>7.059824466361996</v>
      </c>
      <c r="O105" s="68">
        <f t="shared" si="27"/>
        <v>38.318411275348581</v>
      </c>
      <c r="P105" s="164">
        <f t="shared" si="20"/>
        <v>298.75784356639645</v>
      </c>
      <c r="Q105" s="233" cm="1">
        <f t="array" ref="Q105">Lininterp($A$55:$A$71,$Z$55:$Z$71,V104)</f>
        <v>2641.316171579665</v>
      </c>
      <c r="R105" s="68" cm="1">
        <f t="array" ref="R105">Lininterp($A$55:$A$71,$Y$55:$Y$71,V104)</f>
        <v>896.18203272027233</v>
      </c>
      <c r="S105" s="69">
        <f t="shared" si="21"/>
        <v>0.11008163402039445</v>
      </c>
      <c r="T105" s="68">
        <f t="shared" ref="T105" si="59">T104+S105</f>
        <v>3.3015922435955387</v>
      </c>
      <c r="U105" s="68"/>
      <c r="V105" s="68">
        <f t="shared" si="24"/>
        <v>6.4233312132208926</v>
      </c>
      <c r="W105" s="68">
        <f t="shared" si="25"/>
        <v>35.242251270473901</v>
      </c>
      <c r="X105" s="164">
        <f t="shared" si="22"/>
        <v>78.548543645168749</v>
      </c>
    </row>
    <row r="106" spans="1:24" x14ac:dyDescent="0.2">
      <c r="A106" s="227">
        <f t="shared" si="45"/>
        <v>18</v>
      </c>
      <c r="B106" s="227"/>
      <c r="C106" s="227"/>
      <c r="D106" s="227"/>
      <c r="E106" s="227"/>
      <c r="F106" s="227"/>
      <c r="G106" s="93" cm="1">
        <f t="array" ref="G106">Lininterp($A$55:$A$71,$N$55:$N$71,N105)</f>
        <v>8332.5709709608454</v>
      </c>
      <c r="H106" s="233"/>
      <c r="I106" s="233"/>
      <c r="J106" s="68" cm="1">
        <f t="array" ref="J106">Lininterp($A$55:$A$71,$G$55:$G$71,N105)</f>
        <v>2192.2819980563318</v>
      </c>
      <c r="K106" s="68">
        <f t="shared" si="19"/>
        <v>0.12301578927690933</v>
      </c>
      <c r="L106" s="68">
        <f t="shared" ref="L106" si="60">L105+K106</f>
        <v>3.7517655649869752</v>
      </c>
      <c r="M106" s="68"/>
      <c r="N106" s="68">
        <f t="shared" si="23"/>
        <v>7.2991547956945038</v>
      </c>
      <c r="O106" s="68">
        <f t="shared" si="27"/>
        <v>42.070176840335556</v>
      </c>
      <c r="P106" s="164">
        <f t="shared" si="20"/>
        <v>319.35716036677582</v>
      </c>
      <c r="Q106" s="233" cm="1">
        <f t="array" ref="Q106">Lininterp($A$55:$A$71,$Z$55:$Z$71,V105)</f>
        <v>2593.3397819845668</v>
      </c>
      <c r="R106" s="68" cm="1">
        <f t="array" ref="R106">Lininterp($A$55:$A$71,$Y$55:$Y$71,V105)</f>
        <v>991.06934637280324</v>
      </c>
      <c r="S106" s="69">
        <f t="shared" si="21"/>
        <v>0.10106990847706024</v>
      </c>
      <c r="T106" s="68">
        <f t="shared" ref="T106" si="61">T105+S106</f>
        <v>3.4026621520725988</v>
      </c>
      <c r="U106" s="68"/>
      <c r="V106" s="68">
        <f t="shared" si="24"/>
        <v>6.6199652764058339</v>
      </c>
      <c r="W106" s="68">
        <f t="shared" si="25"/>
        <v>38.644913422546502</v>
      </c>
      <c r="X106" s="164">
        <f t="shared" si="22"/>
        <v>83.431283922895688</v>
      </c>
    </row>
    <row r="107" spans="1:24" x14ac:dyDescent="0.2">
      <c r="A107" s="227">
        <f t="shared" si="45"/>
        <v>19</v>
      </c>
      <c r="B107" s="227"/>
      <c r="C107" s="227"/>
      <c r="D107" s="227"/>
      <c r="E107" s="227"/>
      <c r="F107" s="227"/>
      <c r="G107" s="93" cm="1">
        <f t="array" ref="G107">Lininterp($A$55:$A$71,$N$55:$N$71,N106)</f>
        <v>8150.2853258599216</v>
      </c>
      <c r="H107" s="233"/>
      <c r="I107" s="233"/>
      <c r="J107" s="68" cm="1">
        <f t="array" ref="J107">Lininterp($A$55:$A$71,$G$55:$G$71,N106)</f>
        <v>2462.2466095434006</v>
      </c>
      <c r="K107" s="68">
        <f t="shared" si="19"/>
        <v>0.11395531630725683</v>
      </c>
      <c r="L107" s="68">
        <f t="shared" ref="L107" si="62">L106+K107</f>
        <v>3.8657208812942319</v>
      </c>
      <c r="M107" s="68"/>
      <c r="N107" s="68">
        <f t="shared" si="23"/>
        <v>7.5208577457086223</v>
      </c>
      <c r="O107" s="68">
        <f t="shared" si="27"/>
        <v>45.935897721629786</v>
      </c>
      <c r="P107" s="164">
        <f t="shared" si="20"/>
        <v>339.05195937925936</v>
      </c>
      <c r="Q107" s="233" cm="1">
        <f t="array" ref="Q107">Lininterp($A$55:$A$71,$Z$55:$Z$71,V106)</f>
        <v>2549.2909327047864</v>
      </c>
      <c r="R107" s="68" cm="1">
        <f t="array" ref="R107">Lininterp($A$55:$A$71,$Y$55:$Y$71,V106)</f>
        <v>1078.1888026911806</v>
      </c>
      <c r="S107" s="69">
        <f t="shared" si="21"/>
        <v>9.2795919051027326E-2</v>
      </c>
      <c r="T107" s="68">
        <f t="shared" ref="T107" si="63">T106+S107</f>
        <v>3.4954580711236263</v>
      </c>
      <c r="U107" s="68"/>
      <c r="V107" s="68">
        <f t="shared" si="24"/>
        <v>6.8005020838981052</v>
      </c>
      <c r="W107" s="68">
        <f t="shared" si="25"/>
        <v>42.140371493670131</v>
      </c>
      <c r="X107" s="164">
        <f t="shared" si="22"/>
        <v>88.043938174456557</v>
      </c>
    </row>
    <row r="108" spans="1:24" x14ac:dyDescent="0.2">
      <c r="A108" s="227">
        <f t="shared" si="45"/>
        <v>20</v>
      </c>
      <c r="B108" s="227"/>
      <c r="C108" s="227"/>
      <c r="D108" s="227"/>
      <c r="E108" s="227"/>
      <c r="F108" s="227"/>
      <c r="G108" s="93" cm="1">
        <f t="array" ref="G108">Lininterp($A$55:$A$71,$N$55:$N$71,N107)</f>
        <v>7981.4255521036484</v>
      </c>
      <c r="H108" s="233"/>
      <c r="I108" s="233"/>
      <c r="J108" s="68" cm="1">
        <f t="array" ref="J108">Lininterp($A$55:$A$71,$G$55:$G$71,N107)</f>
        <v>2712.3275371593263</v>
      </c>
      <c r="K108" s="68">
        <f t="shared" si="19"/>
        <v>0.10556217369345813</v>
      </c>
      <c r="L108" s="68">
        <f t="shared" ref="L108" si="64">L107+K108</f>
        <v>3.9712830549876901</v>
      </c>
      <c r="M108" s="68"/>
      <c r="N108" s="68">
        <f t="shared" si="23"/>
        <v>7.7262316244896692</v>
      </c>
      <c r="O108" s="68">
        <f t="shared" si="27"/>
        <v>49.907180776617473</v>
      </c>
      <c r="P108" s="164">
        <f t="shared" si="20"/>
        <v>357.82193296279297</v>
      </c>
      <c r="Q108" s="233" cm="1">
        <f t="array" ref="Q108">Lininterp($A$55:$A$71,$Z$55:$Z$71,V107)</f>
        <v>2508.8480994851916</v>
      </c>
      <c r="R108" s="68" cm="1">
        <f t="array" ref="R108">Lininterp($A$55:$A$71,$Y$55:$Y$71,V107)</f>
        <v>1158.1763097356202</v>
      </c>
      <c r="S108" s="69">
        <f t="shared" si="21"/>
        <v>8.5199271694989809E-2</v>
      </c>
      <c r="T108" s="68">
        <f t="shared" ref="T108" si="65">T107+S108</f>
        <v>3.5806573428186161</v>
      </c>
      <c r="U108" s="68"/>
      <c r="V108" s="68">
        <f t="shared" si="24"/>
        <v>6.9662594218261011</v>
      </c>
      <c r="W108" s="68">
        <f t="shared" si="25"/>
        <v>45.721028836488749</v>
      </c>
      <c r="X108" s="164">
        <f t="shared" si="22"/>
        <v>92.388260661103786</v>
      </c>
    </row>
    <row r="109" spans="1:24" x14ac:dyDescent="0.2">
      <c r="A109" s="227">
        <f t="shared" si="45"/>
        <v>21</v>
      </c>
      <c r="B109" s="227"/>
      <c r="C109" s="227"/>
      <c r="D109" s="227"/>
      <c r="E109" s="227"/>
      <c r="F109" s="227"/>
      <c r="G109" s="93" cm="1">
        <f t="array" ref="G109">Lininterp($A$55:$A$71,$N$55:$N$71,N108)</f>
        <v>7825.0027949675468</v>
      </c>
      <c r="H109" s="233"/>
      <c r="I109" s="233"/>
      <c r="J109" s="68" cm="1">
        <f t="array" ref="J109">Lininterp($A$55:$A$71,$G$55:$G$71,N108)</f>
        <v>2943.9892724243468</v>
      </c>
      <c r="K109" s="68">
        <f t="shared" si="19"/>
        <v>9.7787210601408381E-2</v>
      </c>
      <c r="L109" s="68">
        <f t="shared" ref="L109" si="66">L108+K109</f>
        <v>4.0690702655890982</v>
      </c>
      <c r="M109" s="68"/>
      <c r="N109" s="68">
        <f t="shared" si="23"/>
        <v>7.9164791159320975</v>
      </c>
      <c r="O109" s="68">
        <f t="shared" si="27"/>
        <v>53.97625104220657</v>
      </c>
      <c r="P109" s="164">
        <f t="shared" si="20"/>
        <v>375.66060263722949</v>
      </c>
      <c r="Q109" s="233" cm="1">
        <f t="array" ref="Q109">Lininterp($A$55:$A$71,$Z$55:$Z$71,V108)</f>
        <v>2471.7160793400312</v>
      </c>
      <c r="R109" s="68" cm="1">
        <f t="array" ref="R109">Lininterp($A$55:$A$71,$Y$55:$Y$71,V108)</f>
        <v>1231.615717573552</v>
      </c>
      <c r="S109" s="69">
        <f t="shared" si="21"/>
        <v>7.8224516461387755E-2</v>
      </c>
      <c r="T109" s="68">
        <f t="shared" ref="T109" si="67">T108+S109</f>
        <v>3.6588818592800041</v>
      </c>
      <c r="U109" s="68"/>
      <c r="V109" s="68">
        <f t="shared" si="24"/>
        <v>7.1184471970428094</v>
      </c>
      <c r="W109" s="68">
        <f t="shared" si="25"/>
        <v>49.37991069576875</v>
      </c>
      <c r="X109" s="164">
        <f t="shared" si="22"/>
        <v>96.469058471806122</v>
      </c>
    </row>
    <row r="110" spans="1:24" x14ac:dyDescent="0.2">
      <c r="A110" s="227">
        <f t="shared" si="45"/>
        <v>22</v>
      </c>
      <c r="B110" s="227"/>
      <c r="C110" s="227"/>
      <c r="D110" s="227"/>
      <c r="E110" s="227"/>
      <c r="F110" s="227"/>
      <c r="G110" s="93" cm="1">
        <f t="array" ref="G110">Lininterp($A$55:$A$71,$N$55:$N$71,N109)</f>
        <v>7680.1010317721484</v>
      </c>
      <c r="H110" s="233"/>
      <c r="I110" s="233"/>
      <c r="J110" s="68" cm="1">
        <f t="array" ref="J110">Lininterp($A$55:$A$71,$G$55:$G$71,N109)</f>
        <v>3158.5884427714063</v>
      </c>
      <c r="K110" s="68">
        <f t="shared" si="19"/>
        <v>9.0584896299807691E-2</v>
      </c>
      <c r="L110" s="68">
        <f t="shared" ref="L110" si="68">L109+K110</f>
        <v>4.1596551618889057</v>
      </c>
      <c r="M110" s="68"/>
      <c r="N110" s="68">
        <f t="shared" si="23"/>
        <v>8.0927143227410614</v>
      </c>
      <c r="O110" s="68">
        <f t="shared" si="27"/>
        <v>58.135906204095477</v>
      </c>
      <c r="P110" s="164">
        <f t="shared" si="20"/>
        <v>392.5725506425805</v>
      </c>
      <c r="Q110" s="233" cm="1">
        <f t="array" ref="Q110">Lininterp($A$55:$A$71,$Z$55:$Z$71,V109)</f>
        <v>2437.623835787901</v>
      </c>
      <c r="R110" s="68" cm="1">
        <f t="array" ref="R110">Lininterp($A$55:$A$71,$Y$55:$Y$71,V109)</f>
        <v>1307.1244942426604</v>
      </c>
      <c r="S110" s="69">
        <f t="shared" si="21"/>
        <v>7.1310973755643742E-2</v>
      </c>
      <c r="T110" s="68">
        <f t="shared" ref="T110" si="69">T109+S110</f>
        <v>3.7301928330356477</v>
      </c>
      <c r="U110" s="68"/>
      <c r="V110" s="68">
        <f t="shared" si="24"/>
        <v>7.2571845000693536</v>
      </c>
      <c r="W110" s="68">
        <f t="shared" si="25"/>
        <v>53.110103528804395</v>
      </c>
      <c r="X110" s="164">
        <f t="shared" si="22"/>
        <v>100.2660330510295</v>
      </c>
    </row>
    <row r="111" spans="1:24" x14ac:dyDescent="0.2">
      <c r="A111" s="227">
        <f t="shared" si="45"/>
        <v>23</v>
      </c>
      <c r="B111" s="227"/>
      <c r="C111" s="227"/>
      <c r="D111" s="227"/>
      <c r="E111" s="227"/>
      <c r="F111" s="227"/>
      <c r="G111" s="93" cm="1">
        <f t="array" ref="G111">Lininterp($A$55:$A$71,$N$55:$N$71,N110)</f>
        <v>7545.8717075896939</v>
      </c>
      <c r="H111" s="233"/>
      <c r="I111" s="233"/>
      <c r="J111" s="68" cm="1">
        <f t="array" ref="J111">Lininterp($A$55:$A$71,$G$55:$G$71,N110)</f>
        <v>3371.8266475349747</v>
      </c>
      <c r="K111" s="68">
        <f t="shared" si="19"/>
        <v>8.3623661655964313E-2</v>
      </c>
      <c r="L111" s="68">
        <f t="shared" ref="L111" si="70">L110+K111</f>
        <v>4.2432788235448697</v>
      </c>
      <c r="M111" s="68"/>
      <c r="N111" s="68">
        <f t="shared" si="23"/>
        <v>8.2554062714880736</v>
      </c>
      <c r="O111" s="68">
        <f t="shared" si="27"/>
        <v>62.379185027640347</v>
      </c>
      <c r="P111" s="164">
        <f t="shared" si="20"/>
        <v>408.51538022979213</v>
      </c>
      <c r="Q111" s="233" cm="1">
        <f t="array" ref="Q111">Lininterp($A$55:$A$71,$Z$55:$Z$71,V110)</f>
        <v>2406.5446908446788</v>
      </c>
      <c r="R111" s="68" cm="1">
        <f t="array" ref="R111">Lininterp($A$55:$A$71,$Y$55:$Y$71,V110)</f>
        <v>1378.0583421241447</v>
      </c>
      <c r="S111" s="69">
        <f t="shared" si="21"/>
        <v>6.4876077611331212E-2</v>
      </c>
      <c r="T111" s="68">
        <f t="shared" ref="T111" si="71">T110+S111</f>
        <v>3.7950689106469788</v>
      </c>
      <c r="U111" s="68"/>
      <c r="V111" s="68">
        <f t="shared" si="24"/>
        <v>7.3834025498968456</v>
      </c>
      <c r="W111" s="68">
        <f t="shared" si="25"/>
        <v>56.905172439451377</v>
      </c>
      <c r="X111" s="164">
        <f t="shared" si="22"/>
        <v>103.78404622099606</v>
      </c>
    </row>
    <row r="112" spans="1:24" x14ac:dyDescent="0.2">
      <c r="A112" s="227">
        <f t="shared" si="45"/>
        <v>24</v>
      </c>
      <c r="B112" s="227"/>
      <c r="C112" s="227"/>
      <c r="D112" s="227"/>
      <c r="E112" s="227"/>
      <c r="F112" s="227"/>
      <c r="G112" s="93" cm="1">
        <f t="array" ref="G112">Lininterp($A$55:$A$71,$N$55:$N$71,N111)</f>
        <v>7421.9575889203743</v>
      </c>
      <c r="H112" s="233"/>
      <c r="I112" s="233"/>
      <c r="J112" s="68" cm="1">
        <f t="array" ref="J112">Lininterp($A$55:$A$71,$G$55:$G$71,N111)</f>
        <v>3580.690571336389</v>
      </c>
      <c r="K112" s="68">
        <f t="shared" si="19"/>
        <v>7.6956719150618677E-2</v>
      </c>
      <c r="L112" s="68">
        <f t="shared" ref="L112" si="72">L111+K112</f>
        <v>4.3202355426954888</v>
      </c>
      <c r="M112" s="68"/>
      <c r="N112" s="68">
        <f t="shared" si="23"/>
        <v>8.4051275149717686</v>
      </c>
      <c r="O112" s="68">
        <f t="shared" si="27"/>
        <v>66.699420570335832</v>
      </c>
      <c r="P112" s="164">
        <f t="shared" si="20"/>
        <v>423.46753717963117</v>
      </c>
      <c r="Q112" s="233" cm="1">
        <f t="array" ref="Q112">Lininterp($A$55:$A$71,$Z$55:$Z$71,V111)</f>
        <v>2378.2700381055456</v>
      </c>
      <c r="R112" s="68" cm="1">
        <f t="array" ref="R112">Lininterp($A$55:$A$71,$Y$55:$Y$71,V111)</f>
        <v>1442.5913246101022</v>
      </c>
      <c r="S112" s="69">
        <f t="shared" si="21"/>
        <v>5.9021847894741006E-2</v>
      </c>
      <c r="T112" s="68">
        <f t="shared" ref="T112" si="73">T111+S112</f>
        <v>3.8540907585417199</v>
      </c>
      <c r="U112" s="68"/>
      <c r="V112" s="68">
        <f t="shared" si="24"/>
        <v>7.4982310477465361</v>
      </c>
      <c r="W112" s="68">
        <f t="shared" si="25"/>
        <v>60.7592631979931</v>
      </c>
      <c r="X112" s="164">
        <f t="shared" si="22"/>
        <v>107.0372988930814</v>
      </c>
    </row>
    <row r="113" spans="1:24" x14ac:dyDescent="0.2">
      <c r="A113" s="227">
        <f t="shared" si="45"/>
        <v>25</v>
      </c>
      <c r="B113" s="227"/>
      <c r="C113" s="227"/>
      <c r="D113" s="227"/>
      <c r="E113" s="227"/>
      <c r="F113" s="227"/>
      <c r="G113" s="93" cm="1">
        <f t="array" ref="G113">Lininterp($A$55:$A$71,$N$55:$N$71,N112)</f>
        <v>7307.922591643367</v>
      </c>
      <c r="H113" s="233"/>
      <c r="I113" s="233"/>
      <c r="J113" s="68" cm="1">
        <f t="array" ref="J113">Lininterp($A$55:$A$71,$G$55:$G$71,N112)</f>
        <v>3772.9027037207561</v>
      </c>
      <c r="K113" s="68">
        <f t="shared" si="19"/>
        <v>7.082130231025105E-2</v>
      </c>
      <c r="L113" s="68">
        <f t="shared" ref="L113" si="74">L112+K113</f>
        <v>4.3910568450057399</v>
      </c>
      <c r="M113" s="68"/>
      <c r="N113" s="68">
        <f t="shared" si="23"/>
        <v>8.5429121498166136</v>
      </c>
      <c r="O113" s="68">
        <f t="shared" si="27"/>
        <v>71.090477415341567</v>
      </c>
      <c r="P113" s="164">
        <f t="shared" si="20"/>
        <v>437.46507892510061</v>
      </c>
      <c r="Q113" s="233" cm="1">
        <f t="array" ref="Q113">Lininterp($A$55:$A$71,$Z$55:$Z$71,V112)</f>
        <v>2352.5468083005071</v>
      </c>
      <c r="R113" s="68" cm="1">
        <f t="array" ref="R113">Lininterp($A$55:$A$71,$Y$55:$Y$71,V112)</f>
        <v>1501.3010372918525</v>
      </c>
      <c r="S113" s="69">
        <f t="shared" si="21"/>
        <v>5.3695886945876341E-2</v>
      </c>
      <c r="T113" s="68">
        <f t="shared" ref="T113" si="75">T112+S113</f>
        <v>3.907786645487596</v>
      </c>
      <c r="U113" s="68"/>
      <c r="V113" s="68">
        <f t="shared" si="24"/>
        <v>7.6026977538669183</v>
      </c>
      <c r="W113" s="68">
        <f t="shared" si="25"/>
        <v>64.667049843480697</v>
      </c>
      <c r="X113" s="164">
        <f t="shared" si="22"/>
        <v>110.04060130911211</v>
      </c>
    </row>
    <row r="114" spans="1:24" x14ac:dyDescent="0.2">
      <c r="A114" s="227">
        <f t="shared" si="45"/>
        <v>26</v>
      </c>
      <c r="B114" s="227"/>
      <c r="C114" s="227"/>
      <c r="D114" s="227"/>
      <c r="E114" s="227"/>
      <c r="F114" s="227"/>
      <c r="G114" s="93" cm="1">
        <f t="array" ref="G114">Lininterp($A$55:$A$71,$N$55:$N$71,N113)</f>
        <v>7202.9790973618983</v>
      </c>
      <c r="H114" s="233"/>
      <c r="I114" s="233"/>
      <c r="J114" s="68" cm="1">
        <f t="array" ref="J114">Lininterp($A$55:$A$71,$G$55:$G$71,N113)</f>
        <v>3949.7906179345682</v>
      </c>
      <c r="K114" s="68">
        <f t="shared" si="19"/>
        <v>6.5175034958330269E-2</v>
      </c>
      <c r="L114" s="68">
        <f t="shared" ref="L114" si="76">L113+K114</f>
        <v>4.4562318799640703</v>
      </c>
      <c r="M114" s="68"/>
      <c r="N114" s="68">
        <f t="shared" si="23"/>
        <v>8.6697118287238712</v>
      </c>
      <c r="O114" s="68">
        <f t="shared" si="27"/>
        <v>75.546709295305632</v>
      </c>
      <c r="P114" s="164">
        <f t="shared" si="20"/>
        <v>450.54775972248206</v>
      </c>
      <c r="Q114" s="233" cm="1">
        <f t="array" ref="Q114">Lininterp($A$55:$A$71,$Z$55:$Z$71,V113)</f>
        <v>2329.1447683989882</v>
      </c>
      <c r="R114" s="68" cm="1">
        <f t="array" ref="R114">Lininterp($A$55:$A$71,$Y$55:$Y$71,V113)</f>
        <v>1554.7129552041183</v>
      </c>
      <c r="S114" s="69">
        <f t="shared" si="21"/>
        <v>4.8850525318121049E-2</v>
      </c>
      <c r="T114" s="68">
        <f t="shared" ref="T114" si="77">T113+S114</f>
        <v>3.9566371708057169</v>
      </c>
      <c r="U114" s="68"/>
      <c r="V114" s="68">
        <f t="shared" si="24"/>
        <v>7.6977376863924452</v>
      </c>
      <c r="W114" s="68">
        <f t="shared" si="25"/>
        <v>68.623687014286418</v>
      </c>
      <c r="X114" s="164">
        <f t="shared" si="22"/>
        <v>112.80899221628707</v>
      </c>
    </row>
    <row r="115" spans="1:24" x14ac:dyDescent="0.2">
      <c r="A115" s="227">
        <f t="shared" si="45"/>
        <v>27</v>
      </c>
      <c r="B115" s="227"/>
      <c r="C115" s="227"/>
      <c r="D115" s="227"/>
      <c r="E115" s="227"/>
      <c r="F115" s="227"/>
      <c r="G115" s="93" cm="1">
        <f t="array" ref="G115">Lininterp($A$55:$A$71,$N$55:$N$71,N114)</f>
        <v>7106.4022809898834</v>
      </c>
      <c r="H115" s="233"/>
      <c r="I115" s="233"/>
      <c r="J115" s="68" cm="1">
        <f t="array" ref="J115">Lininterp($A$55:$A$71,$G$55:$G$71,N114)</f>
        <v>4112.5760457157057</v>
      </c>
      <c r="K115" s="68">
        <f t="shared" si="19"/>
        <v>5.9978919382349755E-2</v>
      </c>
      <c r="L115" s="68">
        <f t="shared" ref="L115" si="78">L114+K115</f>
        <v>4.5162107993464202</v>
      </c>
      <c r="M115" s="68"/>
      <c r="N115" s="68">
        <f t="shared" si="23"/>
        <v>8.7864023333587937</v>
      </c>
      <c r="O115" s="68">
        <f t="shared" si="27"/>
        <v>80.062920094652057</v>
      </c>
      <c r="P115" s="164">
        <f t="shared" si="20"/>
        <v>462.75772985330633</v>
      </c>
      <c r="Q115" s="233" cm="1">
        <f t="array" ref="Q115">Lininterp($A$55:$A$71,$Z$55:$Z$71,V114)</f>
        <v>2307.8544609335922</v>
      </c>
      <c r="R115" s="68" cm="1">
        <f t="array" ref="R115">Lininterp($A$55:$A$71,$Y$55:$Y$71,V114)</f>
        <v>1603.305136033397</v>
      </c>
      <c r="S115" s="69">
        <f t="shared" si="21"/>
        <v>4.4442395117930925E-2</v>
      </c>
      <c r="T115" s="68">
        <f t="shared" ref="T115" si="79">T114+S115</f>
        <v>4.0010795659236482</v>
      </c>
      <c r="U115" s="68"/>
      <c r="V115" s="68">
        <f t="shared" si="24"/>
        <v>7.784201490123829</v>
      </c>
      <c r="W115" s="68">
        <f t="shared" si="25"/>
        <v>72.624766580210064</v>
      </c>
      <c r="X115" s="164">
        <f t="shared" si="22"/>
        <v>115.3574485592915</v>
      </c>
    </row>
    <row r="116" spans="1:24" x14ac:dyDescent="0.2">
      <c r="A116" s="227">
        <f t="shared" si="45"/>
        <v>28</v>
      </c>
      <c r="B116" s="227"/>
      <c r="C116" s="227"/>
      <c r="D116" s="227"/>
      <c r="E116" s="227"/>
      <c r="F116" s="227"/>
      <c r="G116" s="93" cm="1">
        <f t="array" ref="G116">Lininterp($A$55:$A$71,$N$55:$N$71,N115)</f>
        <v>7017.5251045206323</v>
      </c>
      <c r="H116" s="233"/>
      <c r="I116" s="233"/>
      <c r="J116" s="68" cm="1">
        <f t="array" ref="J116">Lininterp($A$55:$A$71,$G$55:$G$71,N115)</f>
        <v>4262.3833155660186</v>
      </c>
      <c r="K116" s="68">
        <f t="shared" si="19"/>
        <v>5.5197066983921947E-2</v>
      </c>
      <c r="L116" s="68">
        <f t="shared" ref="L116" si="80">L115+K116</f>
        <v>4.5714078663303424</v>
      </c>
      <c r="M116" s="68"/>
      <c r="N116" s="68">
        <f t="shared" si="23"/>
        <v>8.8937896232107825</v>
      </c>
      <c r="O116" s="68">
        <f t="shared" si="27"/>
        <v>84.634327960982404</v>
      </c>
      <c r="P116" s="164">
        <f t="shared" si="20"/>
        <v>474.13849255689274</v>
      </c>
      <c r="Q116" s="233" cm="1">
        <f t="array" ref="Q116">Lininterp($A$55:$A$71,$Z$55:$Z$71,V115)</f>
        <v>2288.485329273336</v>
      </c>
      <c r="R116" s="68" cm="1">
        <f t="array" ref="R116">Lininterp($A$55:$A$71,$Y$55:$Y$71,V115)</f>
        <v>1647.5124989224037</v>
      </c>
      <c r="S116" s="69">
        <f t="shared" si="21"/>
        <v>4.0432041845118449E-2</v>
      </c>
      <c r="T116" s="68">
        <f t="shared" ref="T116" si="81">T115+S116</f>
        <v>4.0415116077687667</v>
      </c>
      <c r="U116" s="68"/>
      <c r="V116" s="68">
        <f t="shared" si="24"/>
        <v>7.8628630501337868</v>
      </c>
      <c r="W116" s="68">
        <f t="shared" si="25"/>
        <v>76.666278187978833</v>
      </c>
      <c r="X116" s="164">
        <f t="shared" si="22"/>
        <v>117.70066784472651</v>
      </c>
    </row>
    <row r="117" spans="1:24" x14ac:dyDescent="0.2">
      <c r="A117" s="227">
        <f t="shared" si="45"/>
        <v>29</v>
      </c>
      <c r="B117" s="227"/>
      <c r="C117" s="227"/>
      <c r="D117" s="227"/>
      <c r="E117" s="227"/>
      <c r="F117" s="227"/>
      <c r="G117" s="93" cm="1">
        <f t="array" ref="G117">Lininterp($A$55:$A$71,$N$55:$N$71,N116)</f>
        <v>6935.7337099201031</v>
      </c>
      <c r="H117" s="233"/>
      <c r="I117" s="233"/>
      <c r="J117" s="68" cm="1">
        <f t="array" ref="J117">Lininterp($A$55:$A$71,$G$55:$G$71,N116)</f>
        <v>4400.2471182780018</v>
      </c>
      <c r="K117" s="68">
        <f t="shared" si="19"/>
        <v>5.0796450402941673E-2</v>
      </c>
      <c r="L117" s="68">
        <f t="shared" ref="L117" si="82">L116+K117</f>
        <v>4.622204316733284</v>
      </c>
      <c r="M117" s="68"/>
      <c r="N117" s="68">
        <f t="shared" si="23"/>
        <v>8.9926154022048319</v>
      </c>
      <c r="O117" s="68">
        <f t="shared" si="27"/>
        <v>89.256532277715692</v>
      </c>
      <c r="P117" s="164">
        <f t="shared" si="20"/>
        <v>484.73407456549063</v>
      </c>
      <c r="Q117" s="233" cm="1">
        <f t="array" ref="Q117">Lininterp($A$55:$A$71,$Z$55:$Z$71,V116)</f>
        <v>2270.8640120668042</v>
      </c>
      <c r="R117" s="68" cm="1">
        <f t="array" ref="R117">Lininterp($A$55:$A$71,$Y$55:$Y$71,V116)</f>
        <v>1687.7307171675648</v>
      </c>
      <c r="S117" s="69">
        <f t="shared" si="21"/>
        <v>3.6783571259548238E-2</v>
      </c>
      <c r="T117" s="68">
        <f t="shared" ref="T117" si="83">T116+S117</f>
        <v>4.0782951790283146</v>
      </c>
      <c r="U117" s="68"/>
      <c r="V117" s="68">
        <f t="shared" si="24"/>
        <v>7.9344264183430244</v>
      </c>
      <c r="W117" s="68">
        <f t="shared" si="25"/>
        <v>80.744573367007149</v>
      </c>
      <c r="X117" s="164">
        <f t="shared" si="22"/>
        <v>119.85290861087658</v>
      </c>
    </row>
    <row r="118" spans="1:24" x14ac:dyDescent="0.2">
      <c r="A118" s="227">
        <f t="shared" si="45"/>
        <v>30</v>
      </c>
      <c r="B118" s="227"/>
      <c r="C118" s="227"/>
      <c r="D118" s="227"/>
      <c r="E118" s="227"/>
      <c r="F118" s="227"/>
      <c r="G118" s="93" cm="1">
        <f t="array" ref="G118">Lininterp($A$55:$A$71,$N$55:$N$71,N117)</f>
        <v>6860.463179324277</v>
      </c>
      <c r="H118" s="233"/>
      <c r="I118" s="233"/>
      <c r="J118" s="68" cm="1">
        <f t="array" ref="J118">Lininterp($A$55:$A$71,$G$55:$G$71,N117)</f>
        <v>4527.1196533505627</v>
      </c>
      <c r="K118" s="68">
        <f t="shared" si="19"/>
        <v>4.6746675403787498E-2</v>
      </c>
      <c r="L118" s="68">
        <f t="shared" ref="L118" si="84">L117+K118</f>
        <v>4.6689509921370718</v>
      </c>
      <c r="M118" s="68"/>
      <c r="N118" s="68">
        <f t="shared" si="23"/>
        <v>9.083562241511812</v>
      </c>
      <c r="O118" s="68">
        <f t="shared" si="27"/>
        <v>93.925483269852762</v>
      </c>
      <c r="P118" s="164">
        <f t="shared" si="20"/>
        <v>494.58837324220383</v>
      </c>
      <c r="Q118" s="233" cm="1">
        <f t="array" ref="Q118">Lininterp($A$55:$A$71,$Z$55:$Z$71,V117)</f>
        <v>2254.8327915898244</v>
      </c>
      <c r="R118" s="68" cm="1">
        <f t="array" ref="R118">Lininterp($A$55:$A$71,$Y$55:$Y$71,V117)</f>
        <v>1724.3197596507496</v>
      </c>
      <c r="S118" s="69">
        <f t="shared" si="21"/>
        <v>3.3464328113560787E-2</v>
      </c>
      <c r="T118" s="68">
        <f t="shared" ref="T118" si="85">T117+S118</f>
        <v>4.1117595071418753</v>
      </c>
      <c r="U118" s="68"/>
      <c r="V118" s="68">
        <f t="shared" si="24"/>
        <v>7.9995321150620144</v>
      </c>
      <c r="W118" s="68">
        <f t="shared" si="25"/>
        <v>84.856332874149018</v>
      </c>
      <c r="X118" s="164">
        <f t="shared" si="22"/>
        <v>121.82787713056155</v>
      </c>
    </row>
    <row r="119" spans="1:24" x14ac:dyDescent="0.2">
      <c r="A119" s="227">
        <f t="shared" si="45"/>
        <v>31</v>
      </c>
      <c r="B119" s="227"/>
      <c r="C119" s="227"/>
      <c r="D119" s="227"/>
      <c r="E119" s="227"/>
      <c r="F119" s="227"/>
      <c r="G119" s="93" cm="1">
        <f t="array" ref="G119">Lininterp($A$55:$A$71,$N$55:$N$71,N118)</f>
        <v>6791.1936332571322</v>
      </c>
      <c r="H119" s="233"/>
      <c r="I119" s="233"/>
      <c r="J119" s="68" cm="1">
        <f t="array" ref="J119">Lininterp($A$55:$A$71,$G$55:$G$71,N118)</f>
        <v>4677.2686773609839</v>
      </c>
      <c r="K119" s="68">
        <f t="shared" si="19"/>
        <v>4.2350799460617559E-2</v>
      </c>
      <c r="L119" s="68">
        <f t="shared" ref="L119" si="86">L118+K119</f>
        <v>4.7113017915976894</v>
      </c>
      <c r="M119" s="68"/>
      <c r="N119" s="68">
        <f t="shared" si="23"/>
        <v>9.1659567929916133</v>
      </c>
      <c r="O119" s="68">
        <f t="shared" si="27"/>
        <v>98.636785061450453</v>
      </c>
      <c r="P119" s="164">
        <f t="shared" si="20"/>
        <v>503.60162344772715</v>
      </c>
      <c r="Q119" s="233" cm="1">
        <f t="array" ref="Q119">Lininterp($A$55:$A$71,$Z$55:$Z$71,V118)</f>
        <v>2240.248182109764</v>
      </c>
      <c r="R119" s="68" cm="1">
        <f t="array" ref="R119">Lininterp($A$55:$A$71,$Y$55:$Y$71,V118)</f>
        <v>1757.6071127024325</v>
      </c>
      <c r="S119" s="69">
        <f t="shared" si="21"/>
        <v>3.0444603874654017E-2</v>
      </c>
      <c r="T119" s="68">
        <f t="shared" ref="T119" si="87">T118+S119</f>
        <v>4.1422041110165297</v>
      </c>
      <c r="U119" s="68"/>
      <c r="V119" s="68">
        <f t="shared" si="24"/>
        <v>8.0587628618998632</v>
      </c>
      <c r="W119" s="68">
        <f t="shared" si="25"/>
        <v>88.998536985165543</v>
      </c>
      <c r="X119" s="164">
        <f t="shared" si="22"/>
        <v>123.63865068852392</v>
      </c>
    </row>
    <row r="120" spans="1:24" x14ac:dyDescent="0.2">
      <c r="A120" s="227">
        <f t="shared" si="45"/>
        <v>32</v>
      </c>
      <c r="B120" s="227"/>
      <c r="C120" s="227"/>
      <c r="D120" s="227"/>
      <c r="E120" s="227"/>
      <c r="F120" s="227"/>
      <c r="G120" s="93" cm="1">
        <f t="array" ref="G120">Lininterp($A$55:$A$71,$N$55:$N$71,N119)</f>
        <v>6728.4379264848822</v>
      </c>
      <c r="H120" s="233"/>
      <c r="I120" s="233"/>
      <c r="J120" s="68" cm="1">
        <f t="array" ref="J120">Lininterp($A$55:$A$71,$G$55:$G$71,N119)</f>
        <v>4815.9716653220812</v>
      </c>
      <c r="K120" s="68">
        <f t="shared" si="19"/>
        <v>3.8314735286980491E-2</v>
      </c>
      <c r="L120" s="68">
        <f t="shared" ref="L120" si="88">L119+K120</f>
        <v>4.7496165268846697</v>
      </c>
      <c r="M120" s="68"/>
      <c r="N120" s="68">
        <f t="shared" si="23"/>
        <v>9.2404990795421593</v>
      </c>
      <c r="O120" s="68">
        <f t="shared" si="27"/>
        <v>103.38640158833512</v>
      </c>
      <c r="P120" s="164">
        <f t="shared" si="20"/>
        <v>511.82602666759738</v>
      </c>
      <c r="Q120" s="233" cm="1">
        <f t="array" ref="Q120">Lininterp($A$55:$A$71,$Z$55:$Z$71,V119)</f>
        <v>2226.9796456317513</v>
      </c>
      <c r="R120" s="68" cm="1">
        <f t="array" ref="R120">Lininterp($A$55:$A$71,$Y$55:$Y$71,V119)</f>
        <v>1796.4945300929862</v>
      </c>
      <c r="S120" s="69">
        <f t="shared" si="21"/>
        <v>2.7154648966375927E-2</v>
      </c>
      <c r="T120" s="68">
        <f t="shared" ref="T120" si="89">T119+S120</f>
        <v>4.1693587599829058</v>
      </c>
      <c r="U120" s="68"/>
      <c r="V120" s="68">
        <f t="shared" si="24"/>
        <v>8.1115929182546811</v>
      </c>
      <c r="W120" s="68">
        <f t="shared" si="25"/>
        <v>93.167895745148456</v>
      </c>
      <c r="X120" s="164">
        <f t="shared" si="22"/>
        <v>125.26501618981027</v>
      </c>
    </row>
    <row r="121" spans="1:24" x14ac:dyDescent="0.2">
      <c r="A121" s="227">
        <f t="shared" si="45"/>
        <v>33</v>
      </c>
      <c r="B121" s="227"/>
      <c r="C121" s="227"/>
      <c r="D121" s="227"/>
      <c r="E121" s="227"/>
      <c r="F121" s="227"/>
      <c r="G121" s="93" cm="1">
        <f t="array" ref="G121">Lininterp($A$55:$A$71,$N$55:$N$71,N120)</f>
        <v>6671.6628874454882</v>
      </c>
      <c r="H121" s="233"/>
      <c r="I121" s="233"/>
      <c r="J121" s="68" cm="1">
        <f t="array" ref="J121">Lininterp($A$55:$A$71,$G$55:$G$71,N120)</f>
        <v>4941.4561505012707</v>
      </c>
      <c r="K121" s="68">
        <f t="shared" si="19"/>
        <v>3.4663311172591062E-2</v>
      </c>
      <c r="L121" s="68">
        <f t="shared" ref="L121" si="90">L120+K121</f>
        <v>4.7842798380572606</v>
      </c>
      <c r="M121" s="68"/>
      <c r="N121" s="68">
        <f t="shared" si="23"/>
        <v>9.3079374281269658</v>
      </c>
      <c r="O121" s="68">
        <f t="shared" ref="O121:O152" si="91">O120+L121</f>
        <v>108.17068142639238</v>
      </c>
      <c r="P121" s="164">
        <f t="shared" si="20"/>
        <v>519.32403199484759</v>
      </c>
      <c r="Q121" s="233" cm="1">
        <f t="array" ref="Q121">Lininterp($A$55:$A$71,$Z$55:$Z$71,V120)</f>
        <v>2215.144955588109</v>
      </c>
      <c r="R121" s="68" cm="1">
        <f t="array" ref="R121">Lininterp($A$55:$A$71,$Y$55:$Y$71,V120)</f>
        <v>1831.2407341801081</v>
      </c>
      <c r="S121" s="69">
        <f t="shared" si="21"/>
        <v>2.4216364266154002E-2</v>
      </c>
      <c r="T121" s="68">
        <f t="shared" ref="T121" si="92">T120+S121</f>
        <v>4.19357512424906</v>
      </c>
      <c r="U121" s="68"/>
      <c r="V121" s="68">
        <f t="shared" si="24"/>
        <v>8.1587064674106227</v>
      </c>
      <c r="W121" s="68">
        <f t="shared" ref="W121:W152" si="93">W120+T121</f>
        <v>97.361470869397522</v>
      </c>
      <c r="X121" s="164">
        <f t="shared" si="22"/>
        <v>126.72436419958876</v>
      </c>
    </row>
    <row r="122" spans="1:24" x14ac:dyDescent="0.2">
      <c r="A122" s="227">
        <f t="shared" si="45"/>
        <v>34</v>
      </c>
      <c r="B122" s="227"/>
      <c r="C122" s="227"/>
      <c r="D122" s="227"/>
      <c r="E122" s="227"/>
      <c r="F122" s="227"/>
      <c r="G122" s="93" cm="1">
        <f t="array" ref="G122">Lininterp($A$55:$A$71,$N$55:$N$71,N121)</f>
        <v>6620.2985538459488</v>
      </c>
      <c r="H122" s="233"/>
      <c r="I122" s="233"/>
      <c r="J122" s="68" cm="1">
        <f t="array" ref="J122">Lininterp($A$55:$A$71,$G$55:$G$71,N121)</f>
        <v>5054.9818665089342</v>
      </c>
      <c r="K122" s="68">
        <f t="shared" si="19"/>
        <v>3.1359870620225022E-2</v>
      </c>
      <c r="L122" s="68">
        <f t="shared" ref="L122" si="94">L121+K122</f>
        <v>4.8156397086774856</v>
      </c>
      <c r="M122" s="68"/>
      <c r="N122" s="68">
        <f t="shared" si="23"/>
        <v>9.3689488495670918</v>
      </c>
      <c r="O122" s="68">
        <f t="shared" si="91"/>
        <v>112.98632113506986</v>
      </c>
      <c r="P122" s="164">
        <f t="shared" si="20"/>
        <v>526.15444756920976</v>
      </c>
      <c r="Q122" s="233" cm="1">
        <f t="array" ref="Q122">Lininterp($A$55:$A$71,$Z$55:$Z$71,V121)</f>
        <v>2204.5908451141081</v>
      </c>
      <c r="R122" s="68" cm="1">
        <f t="array" ref="R122">Lininterp($A$55:$A$71,$Y$55:$Y$71,V121)</f>
        <v>1862.2272048975806</v>
      </c>
      <c r="S122" s="69">
        <f t="shared" si="21"/>
        <v>2.1596018383342359E-2</v>
      </c>
      <c r="T122" s="68">
        <f t="shared" ref="T122" si="95">T121+S122</f>
        <v>4.2151711426324026</v>
      </c>
      <c r="U122" s="68"/>
      <c r="V122" s="68">
        <f t="shared" si="24"/>
        <v>8.2007220673782157</v>
      </c>
      <c r="W122" s="68">
        <f t="shared" si="93"/>
        <v>101.57664201202992</v>
      </c>
      <c r="X122" s="164">
        <f t="shared" si="22"/>
        <v>128.03293191849181</v>
      </c>
    </row>
    <row r="123" spans="1:24" x14ac:dyDescent="0.2">
      <c r="A123" s="227">
        <f t="shared" si="45"/>
        <v>35</v>
      </c>
      <c r="B123" s="227"/>
      <c r="C123" s="227"/>
      <c r="D123" s="227"/>
      <c r="E123" s="227"/>
      <c r="F123" s="227"/>
      <c r="G123" s="93" cm="1">
        <f t="array" ref="G123">Lininterp($A$55:$A$71,$N$55:$N$71,N122)</f>
        <v>6573.8292812437021</v>
      </c>
      <c r="H123" s="233"/>
      <c r="I123" s="233"/>
      <c r="J123" s="68" cm="1">
        <f t="array" ref="J123">Lininterp($A$55:$A$71,$G$55:$G$71,N122)</f>
        <v>5157.6884933612419</v>
      </c>
      <c r="K123" s="68">
        <f t="shared" si="19"/>
        <v>2.8371250525393497E-2</v>
      </c>
      <c r="L123" s="68">
        <f t="shared" ref="L123" si="96">L122+K123</f>
        <v>4.8440109592028788</v>
      </c>
      <c r="M123" s="68"/>
      <c r="N123" s="68">
        <f t="shared" si="23"/>
        <v>9.4241458350250564</v>
      </c>
      <c r="O123" s="68">
        <f t="shared" si="91"/>
        <v>117.83033209427273</v>
      </c>
      <c r="P123" s="164">
        <f t="shared" si="20"/>
        <v>532.37236816351935</v>
      </c>
      <c r="Q123" s="233" cm="1">
        <f t="array" ref="Q123">Lininterp($A$55:$A$71,$Z$55:$Z$71,V122)</f>
        <v>2195.178748347174</v>
      </c>
      <c r="R123" s="68" cm="1">
        <f t="array" ref="R123">Lininterp($A$55:$A$71,$Y$55:$Y$71,V122)</f>
        <v>1889.8607663973446</v>
      </c>
      <c r="S123" s="69">
        <f t="shared" si="21"/>
        <v>1.9259208561935363E-2</v>
      </c>
      <c r="T123" s="68">
        <f t="shared" ref="T123" si="97">T122+S123</f>
        <v>4.2344303511943382</v>
      </c>
      <c r="U123" s="68"/>
      <c r="V123" s="68">
        <f t="shared" si="24"/>
        <v>8.238191344736066</v>
      </c>
      <c r="W123" s="68">
        <f t="shared" si="93"/>
        <v>105.81107236322426</v>
      </c>
      <c r="X123" s="164">
        <f t="shared" si="22"/>
        <v>129.20557522593521</v>
      </c>
    </row>
    <row r="124" spans="1:24" x14ac:dyDescent="0.2">
      <c r="A124" s="227">
        <f t="shared" si="45"/>
        <v>36</v>
      </c>
      <c r="B124" s="227"/>
      <c r="C124" s="227"/>
      <c r="D124" s="227"/>
      <c r="E124" s="227"/>
      <c r="F124" s="227"/>
      <c r="G124" s="93" cm="1">
        <f t="array" ref="G124">Lininterp($A$55:$A$71,$N$55:$N$71,N123)</f>
        <v>6531.7885665131735</v>
      </c>
      <c r="H124" s="233"/>
      <c r="I124" s="233"/>
      <c r="J124" s="68" cm="1">
        <f t="array" ref="J124">Lininterp($A$55:$A$71,$G$55:$G$71,N123)</f>
        <v>5250.6070986811792</v>
      </c>
      <c r="K124" s="68">
        <f t="shared" si="19"/>
        <v>2.5667448253294589E-2</v>
      </c>
      <c r="L124" s="68">
        <f t="shared" ref="L124" si="98">L123+K124</f>
        <v>4.8696784074561732</v>
      </c>
      <c r="M124" s="68"/>
      <c r="N124" s="68">
        <f t="shared" si="23"/>
        <v>9.4740825047785471</v>
      </c>
      <c r="O124" s="68">
        <f t="shared" si="91"/>
        <v>122.70001050172891</v>
      </c>
      <c r="P124" s="164">
        <f t="shared" si="20"/>
        <v>538.02918580026494</v>
      </c>
      <c r="Q124" s="233" cm="1">
        <f t="array" ref="Q124">Lininterp($A$55:$A$71,$Z$55:$Z$71,V123)</f>
        <v>2186.7850930250752</v>
      </c>
      <c r="R124" s="68" cm="1">
        <f t="array" ref="R124">Lininterp($A$55:$A$71,$Y$55:$Y$71,V123)</f>
        <v>1914.5042221856347</v>
      </c>
      <c r="S124" s="69">
        <f t="shared" si="21"/>
        <v>1.7175254616296601E-2</v>
      </c>
      <c r="T124" s="68">
        <f t="shared" ref="T124" si="99">T123+S124</f>
        <v>4.2516056058106351</v>
      </c>
      <c r="U124" s="68"/>
      <c r="V124" s="68">
        <f t="shared" si="24"/>
        <v>8.2716062369856704</v>
      </c>
      <c r="W124" s="68">
        <f t="shared" si="93"/>
        <v>110.06267796903489</v>
      </c>
      <c r="X124" s="164">
        <f t="shared" si="22"/>
        <v>130.25584125336619</v>
      </c>
    </row>
    <row r="125" spans="1:24" x14ac:dyDescent="0.2">
      <c r="A125" s="227">
        <f t="shared" si="45"/>
        <v>37</v>
      </c>
      <c r="B125" s="227"/>
      <c r="C125" s="227"/>
      <c r="D125" s="227"/>
      <c r="E125" s="227"/>
      <c r="F125" s="227"/>
      <c r="G125" s="93" cm="1">
        <f t="array" ref="G125">Lininterp($A$55:$A$71,$N$55:$N$71,N124)</f>
        <v>6493.7543646399954</v>
      </c>
      <c r="H125" s="233"/>
      <c r="I125" s="233"/>
      <c r="J125" s="68" cm="1">
        <f t="array" ref="J125">Lininterp($A$55:$A$71,$G$55:$G$71,N124)</f>
        <v>5334.6704885442059</v>
      </c>
      <c r="K125" s="68">
        <f t="shared" si="19"/>
        <v>2.3221320443590827E-2</v>
      </c>
      <c r="L125" s="68">
        <f t="shared" ref="L125" si="100">L124+K125</f>
        <v>4.8928997278997644</v>
      </c>
      <c r="M125" s="68"/>
      <c r="N125" s="68">
        <f t="shared" si="23"/>
        <v>9.519260171011215</v>
      </c>
      <c r="O125" s="68">
        <f t="shared" si="91"/>
        <v>127.59291022962867</v>
      </c>
      <c r="P125" s="164">
        <f t="shared" si="20"/>
        <v>543.1726616665452</v>
      </c>
      <c r="Q125" s="233" cm="1">
        <f t="array" ref="Q125">Lininterp($A$55:$A$71,$Z$55:$Z$71,V124)</f>
        <v>2179.2996780946082</v>
      </c>
      <c r="R125" s="68" cm="1">
        <f t="array" ref="R125">Lininterp($A$55:$A$71,$Y$55:$Y$71,V124)</f>
        <v>1936.4811184027456</v>
      </c>
      <c r="S125" s="69">
        <f t="shared" si="21"/>
        <v>1.5316796128250279E-2</v>
      </c>
      <c r="T125" s="68">
        <f t="shared" ref="T125" si="101">T124+S125</f>
        <v>4.2669224019388849</v>
      </c>
      <c r="U125" s="68"/>
      <c r="V125" s="68">
        <f t="shared" si="24"/>
        <v>8.3014054512429674</v>
      </c>
      <c r="W125" s="68">
        <f t="shared" si="93"/>
        <v>114.32960037097378</v>
      </c>
      <c r="X125" s="164">
        <f t="shared" si="22"/>
        <v>131.19604884497366</v>
      </c>
    </row>
    <row r="126" spans="1:24" x14ac:dyDescent="0.2">
      <c r="A126" s="227">
        <f t="shared" si="45"/>
        <v>38</v>
      </c>
      <c r="B126" s="227"/>
      <c r="C126" s="227"/>
      <c r="D126" s="227"/>
      <c r="E126" s="227"/>
      <c r="F126" s="227"/>
      <c r="G126" s="93" cm="1">
        <f t="array" ref="G126">Lininterp($A$55:$A$71,$N$55:$N$71,N125)</f>
        <v>6459.3448518283758</v>
      </c>
      <c r="H126" s="233"/>
      <c r="I126" s="233"/>
      <c r="J126" s="68" cm="1">
        <f t="array" ref="J126">Lininterp($A$55:$A$71,$G$55:$G$71,N125)</f>
        <v>5410.7225718802792</v>
      </c>
      <c r="K126" s="68">
        <f t="shared" si="19"/>
        <v>2.1008310519325338E-2</v>
      </c>
      <c r="L126" s="68">
        <f t="shared" ref="L126" si="102">L125+K126</f>
        <v>4.9139080384190894</v>
      </c>
      <c r="M126" s="68"/>
      <c r="N126" s="68">
        <f t="shared" si="23"/>
        <v>9.5601323704651548</v>
      </c>
      <c r="O126" s="68">
        <f t="shared" si="91"/>
        <v>132.50681826804777</v>
      </c>
      <c r="P126" s="164">
        <f t="shared" si="20"/>
        <v>547.84704217514968</v>
      </c>
      <c r="Q126" s="233" cm="1">
        <f t="array" ref="Q126">Lininterp($A$55:$A$71,$Z$55:$Z$71,V125)</f>
        <v>2172.6242268720953</v>
      </c>
      <c r="R126" s="68" cm="1">
        <f t="array" ref="R126">Lininterp($A$55:$A$71,$Y$55:$Y$71,V125)</f>
        <v>1956.0799916893056</v>
      </c>
      <c r="S126" s="69">
        <f t="shared" si="21"/>
        <v>1.3659433229698962E-2</v>
      </c>
      <c r="T126" s="68">
        <f t="shared" ref="T126" si="103">T125+S126</f>
        <v>4.2805818351685838</v>
      </c>
      <c r="U126" s="68"/>
      <c r="V126" s="68">
        <f t="shared" si="24"/>
        <v>8.327980224063392</v>
      </c>
      <c r="W126" s="68">
        <f t="shared" si="93"/>
        <v>118.61018220614237</v>
      </c>
      <c r="X126" s="164">
        <f t="shared" si="22"/>
        <v>132.03737283031279</v>
      </c>
    </row>
    <row r="127" spans="1:24" x14ac:dyDescent="0.2">
      <c r="A127" s="227">
        <f t="shared" si="45"/>
        <v>39</v>
      </c>
      <c r="B127" s="227"/>
      <c r="C127" s="227"/>
      <c r="D127" s="227"/>
      <c r="E127" s="227"/>
      <c r="F127" s="227"/>
      <c r="G127" s="93" cm="1">
        <f t="array" ref="G127">Lininterp($A$55:$A$71,$N$55:$N$71,N126)</f>
        <v>6428.2145923876506</v>
      </c>
      <c r="H127" s="233"/>
      <c r="I127" s="233"/>
      <c r="J127" s="68" cm="1">
        <f t="array" ref="J127">Lininterp($A$55:$A$71,$G$55:$G$71,N126)</f>
        <v>5479.5268324410417</v>
      </c>
      <c r="K127" s="68">
        <f t="shared" si="19"/>
        <v>1.9006202164451456E-2</v>
      </c>
      <c r="L127" s="68">
        <f t="shared" ref="L127" si="104">L126+K127</f>
        <v>4.9329142405835409</v>
      </c>
      <c r="M127" s="68"/>
      <c r="N127" s="68">
        <f t="shared" si="23"/>
        <v>9.5971094174777054</v>
      </c>
      <c r="O127" s="68">
        <f t="shared" si="91"/>
        <v>137.43973250863129</v>
      </c>
      <c r="P127" s="164">
        <f t="shared" si="20"/>
        <v>552.09320570717659</v>
      </c>
      <c r="Q127" s="233" cm="1">
        <f t="array" ref="Q127">Lininterp($A$55:$A$71,$Z$55:$Z$71,V126)</f>
        <v>2166.6710967599929</v>
      </c>
      <c r="R127" s="68" cm="1">
        <f t="array" ref="R127">Lininterp($A$55:$A$71,$Y$55:$Y$71,V126)</f>
        <v>1973.5581574097018</v>
      </c>
      <c r="S127" s="69">
        <f t="shared" si="21"/>
        <v>1.218140625456767E-2</v>
      </c>
      <c r="T127" s="68">
        <f t="shared" ref="T127" si="105">T126+S127</f>
        <v>4.2927632414231516</v>
      </c>
      <c r="U127" s="68"/>
      <c r="V127" s="68">
        <f t="shared" si="24"/>
        <v>8.351679458021696</v>
      </c>
      <c r="W127" s="68">
        <f t="shared" si="93"/>
        <v>122.90294544756551</v>
      </c>
      <c r="X127" s="164">
        <f t="shared" si="22"/>
        <v>132.78992913386051</v>
      </c>
    </row>
    <row r="128" spans="1:24" x14ac:dyDescent="0.2">
      <c r="A128" s="227">
        <f t="shared" si="45"/>
        <v>40</v>
      </c>
      <c r="B128" s="227"/>
      <c r="C128" s="227"/>
      <c r="D128" s="227"/>
      <c r="E128" s="227"/>
      <c r="F128" s="227"/>
      <c r="G128" s="93" cm="1">
        <f t="array" ref="G128">Lininterp($A$55:$A$71,$N$55:$N$71,N127)</f>
        <v>6400.0510709175178</v>
      </c>
      <c r="H128" s="233"/>
      <c r="I128" s="233"/>
      <c r="J128" s="68" cm="1">
        <f t="array" ref="J128">Lininterp($A$55:$A$71,$G$55:$G$71,N127)</f>
        <v>5541.7739933819694</v>
      </c>
      <c r="K128" s="68">
        <f t="shared" si="19"/>
        <v>1.7194896295144847E-2</v>
      </c>
      <c r="L128" s="68">
        <f t="shared" ref="L128" si="106">L127+K128</f>
        <v>4.9501091368786856</v>
      </c>
      <c r="M128" s="68"/>
      <c r="N128" s="68">
        <f t="shared" si="23"/>
        <v>9.6305625231102834</v>
      </c>
      <c r="O128" s="68">
        <f t="shared" si="91"/>
        <v>142.38984164550999</v>
      </c>
      <c r="P128" s="164">
        <f t="shared" si="20"/>
        <v>555.94882953518743</v>
      </c>
      <c r="Q128" s="233" cm="1">
        <f t="array" ref="Q128">Lininterp($A$55:$A$71,$Z$55:$Z$71,V127)</f>
        <v>2161.3621285793693</v>
      </c>
      <c r="R128" s="68" cm="1">
        <f t="array" ref="R128">Lininterp($A$55:$A$71,$Y$55:$Y$71,V127)</f>
        <v>1989.1450879685706</v>
      </c>
      <c r="S128" s="69">
        <f t="shared" si="21"/>
        <v>1.0863310054196818E-2</v>
      </c>
      <c r="T128" s="68">
        <f t="shared" ref="T128" si="107">T127+S128</f>
        <v>4.3036265514773486</v>
      </c>
      <c r="U128" s="68"/>
      <c r="V128" s="68">
        <f t="shared" si="24"/>
        <v>8.3728143024851143</v>
      </c>
      <c r="W128" s="68">
        <f t="shared" si="93"/>
        <v>127.20657199904286</v>
      </c>
      <c r="X128" s="164">
        <f t="shared" si="22"/>
        <v>133.46285859298334</v>
      </c>
    </row>
    <row r="129" spans="1:24" x14ac:dyDescent="0.2">
      <c r="A129" s="227">
        <f t="shared" si="45"/>
        <v>41</v>
      </c>
      <c r="B129" s="227"/>
      <c r="C129" s="227"/>
      <c r="D129" s="227"/>
      <c r="E129" s="227"/>
      <c r="F129" s="227"/>
      <c r="G129" s="93" cm="1">
        <f t="array" ref="G129">Lininterp($A$55:$A$71,$N$55:$N$71,N128)</f>
        <v>6374.5715549787265</v>
      </c>
      <c r="H129" s="233"/>
      <c r="I129" s="233"/>
      <c r="J129" s="68" cm="1">
        <f t="array" ref="J129">Lininterp($A$55:$A$71,$G$55:$G$71,N128)</f>
        <v>5598.0889514038508</v>
      </c>
      <c r="K129" s="68">
        <f t="shared" si="19"/>
        <v>1.5556209285923817E-2</v>
      </c>
      <c r="L129" s="68">
        <f t="shared" ref="L129" si="108">L128+K129</f>
        <v>4.9656653461646094</v>
      </c>
      <c r="M129" s="68"/>
      <c r="N129" s="68">
        <f t="shared" si="23"/>
        <v>9.6608275217210302</v>
      </c>
      <c r="O129" s="68">
        <f t="shared" si="91"/>
        <v>147.35550699167459</v>
      </c>
      <c r="P129" s="164">
        <f t="shared" si="20"/>
        <v>559.44856880203042</v>
      </c>
      <c r="Q129" s="233" cm="1">
        <f t="array" ref="Q129">Lininterp($A$55:$A$71,$Z$55:$Z$71,V128)</f>
        <v>2156.6276204110409</v>
      </c>
      <c r="R129" s="68" cm="1">
        <f t="array" ref="R129">Lininterp($A$55:$A$71,$Y$55:$Y$71,V128)</f>
        <v>2003.0454255745619</v>
      </c>
      <c r="S129" s="69">
        <f t="shared" si="21"/>
        <v>9.6878392254065981E-3</v>
      </c>
      <c r="T129" s="68">
        <f t="shared" ref="T129" si="109">T128+S129</f>
        <v>4.3133143907027556</v>
      </c>
      <c r="U129" s="68"/>
      <c r="V129" s="68">
        <f t="shared" si="24"/>
        <v>8.3916622387213149</v>
      </c>
      <c r="W129" s="68">
        <f t="shared" si="93"/>
        <v>131.51988638974561</v>
      </c>
      <c r="X129" s="164">
        <f t="shared" si="22"/>
        <v>134.06440800329079</v>
      </c>
    </row>
    <row r="130" spans="1:24" x14ac:dyDescent="0.2">
      <c r="A130" s="227">
        <f t="shared" si="45"/>
        <v>42</v>
      </c>
      <c r="B130" s="227"/>
      <c r="C130" s="227"/>
      <c r="D130" s="227"/>
      <c r="E130" s="227"/>
      <c r="F130" s="227"/>
      <c r="G130" s="93" cm="1">
        <f t="array" ref="G130">Lininterp($A$55:$A$71,$N$55:$N$71,N129)</f>
        <v>6351.5202567536953</v>
      </c>
      <c r="H130" s="233"/>
      <c r="I130" s="233"/>
      <c r="J130" s="68" cm="1">
        <f t="array" ref="J130">Lininterp($A$55:$A$71,$G$55:$G$71,N129)</f>
        <v>5649.0370500651825</v>
      </c>
      <c r="K130" s="68">
        <f t="shared" si="19"/>
        <v>1.4073690424977574E-2</v>
      </c>
      <c r="L130" s="68">
        <f t="shared" ref="L130" si="110">L129+K130</f>
        <v>4.9797390365895868</v>
      </c>
      <c r="M130" s="68"/>
      <c r="N130" s="68">
        <f t="shared" si="23"/>
        <v>9.6882082423921929</v>
      </c>
      <c r="O130" s="68">
        <f t="shared" si="91"/>
        <v>152.33524602826418</v>
      </c>
      <c r="P130" s="164">
        <f t="shared" si="20"/>
        <v>562.62424133049012</v>
      </c>
      <c r="Q130" s="233" cm="1">
        <f t="array" ref="Q130">Lininterp($A$55:$A$71,$Z$55:$Z$71,V129)</f>
        <v>2152.4054124728241</v>
      </c>
      <c r="R130" s="68" cm="1">
        <f t="array" ref="R130">Lininterp($A$55:$A$71,$Y$55:$Y$71,V129)</f>
        <v>2015.4416690062492</v>
      </c>
      <c r="S130" s="69">
        <f t="shared" si="21"/>
        <v>8.6395609063066262E-3</v>
      </c>
      <c r="T130" s="68">
        <f t="shared" ref="T130" si="111">T129+S130</f>
        <v>4.3219539516090624</v>
      </c>
      <c r="U130" s="68"/>
      <c r="V130" s="68">
        <f t="shared" si="24"/>
        <v>8.4084707229748297</v>
      </c>
      <c r="W130" s="68">
        <f t="shared" si="93"/>
        <v>135.84184034135467</v>
      </c>
      <c r="X130" s="164">
        <f t="shared" si="22"/>
        <v>134.60200740238238</v>
      </c>
    </row>
    <row r="131" spans="1:24" x14ac:dyDescent="0.2">
      <c r="A131" s="227">
        <f t="shared" si="45"/>
        <v>43</v>
      </c>
      <c r="B131" s="227"/>
      <c r="C131" s="227"/>
      <c r="D131" s="227"/>
      <c r="E131" s="227"/>
      <c r="F131" s="227"/>
      <c r="G131" s="93" cm="1">
        <f t="array" ref="G131">Lininterp($A$55:$A$71,$N$55:$N$71,N130)</f>
        <v>6330.665765203079</v>
      </c>
      <c r="H131" s="233"/>
      <c r="I131" s="233"/>
      <c r="J131" s="68" cm="1">
        <f t="array" ref="J131">Lininterp($A$55:$A$71,$G$55:$G$71,N130)</f>
        <v>5695.1297552430169</v>
      </c>
      <c r="K131" s="68">
        <f t="shared" si="19"/>
        <v>1.2732456766143556E-2</v>
      </c>
      <c r="L131" s="68">
        <f t="shared" ref="L131" si="112">L130+K131</f>
        <v>4.9924714933557306</v>
      </c>
      <c r="M131" s="68"/>
      <c r="N131" s="68">
        <f t="shared" si="23"/>
        <v>9.7129795590578407</v>
      </c>
      <c r="O131" s="68">
        <f t="shared" si="91"/>
        <v>157.32771752161992</v>
      </c>
      <c r="P131" s="164">
        <f t="shared" si="20"/>
        <v>565.50501355352799</v>
      </c>
      <c r="Q131" s="233" cm="1">
        <f t="array" ref="Q131">Lininterp($A$55:$A$71,$Z$55:$Z$71,V130)</f>
        <v>2148.6400710181833</v>
      </c>
      <c r="R131" s="68" cm="1">
        <f t="array" ref="R131">Lininterp($A$55:$A$71,$Y$55:$Y$71,V130)</f>
        <v>2026.4965696549505</v>
      </c>
      <c r="S131" s="69">
        <f t="shared" si="21"/>
        <v>7.7047121568689283E-3</v>
      </c>
      <c r="T131" s="68">
        <f t="shared" ref="T131" si="113">T130+S131</f>
        <v>4.3296586637659313</v>
      </c>
      <c r="U131" s="68"/>
      <c r="V131" s="68">
        <f t="shared" si="24"/>
        <v>8.4234604353422782</v>
      </c>
      <c r="W131" s="68">
        <f t="shared" si="93"/>
        <v>140.17149900512061</v>
      </c>
      <c r="X131" s="164">
        <f t="shared" si="22"/>
        <v>135.08234297387338</v>
      </c>
    </row>
    <row r="132" spans="1:24" x14ac:dyDescent="0.2">
      <c r="A132" s="227">
        <f t="shared" si="45"/>
        <v>44</v>
      </c>
      <c r="B132" s="227"/>
      <c r="C132" s="227"/>
      <c r="D132" s="227"/>
      <c r="E132" s="227"/>
      <c r="F132" s="227"/>
      <c r="G132" s="93" cm="1">
        <f t="array" ref="G132">Lininterp($A$55:$A$71,$N$55:$N$71,N131)</f>
        <v>6311.7987229398168</v>
      </c>
      <c r="H132" s="233"/>
      <c r="I132" s="233"/>
      <c r="J132" s="68" cm="1">
        <f t="array" ref="J132">Lininterp($A$55:$A$71,$G$55:$G$71,N131)</f>
        <v>5736.8297897179691</v>
      </c>
      <c r="K132" s="68">
        <f t="shared" si="19"/>
        <v>1.1519043719620078E-2</v>
      </c>
      <c r="L132" s="68">
        <f t="shared" ref="L132" si="114">L131+K132</f>
        <v>5.0039905370753504</v>
      </c>
      <c r="M132" s="68"/>
      <c r="N132" s="68">
        <f t="shared" si="23"/>
        <v>9.7353901499520425</v>
      </c>
      <c r="O132" s="68">
        <f t="shared" si="91"/>
        <v>162.33170805869526</v>
      </c>
      <c r="P132" s="164">
        <f t="shared" si="20"/>
        <v>568.11758405790499</v>
      </c>
      <c r="Q132" s="233" cm="1">
        <f t="array" ref="Q132">Lininterp($A$55:$A$71,$Z$55:$Z$71,V131)</f>
        <v>2145.2821605416043</v>
      </c>
      <c r="R132" s="68" cm="1">
        <f t="array" ref="R132">Lininterp($A$55:$A$71,$Y$55:$Y$71,V131)</f>
        <v>2036.3552683023374</v>
      </c>
      <c r="S132" s="69">
        <f t="shared" si="21"/>
        <v>6.8710192640544258E-3</v>
      </c>
      <c r="T132" s="68">
        <f t="shared" ref="T132" si="115">T131+S132</f>
        <v>4.336529683029986</v>
      </c>
      <c r="U132" s="68"/>
      <c r="V132" s="68">
        <f t="shared" si="24"/>
        <v>8.4368281771011393</v>
      </c>
      <c r="W132" s="68">
        <f t="shared" si="93"/>
        <v>144.5080286881506</v>
      </c>
      <c r="X132" s="164">
        <f t="shared" si="22"/>
        <v>135.51142523031731</v>
      </c>
    </row>
    <row r="133" spans="1:24" x14ac:dyDescent="0.2">
      <c r="A133" s="227">
        <f t="shared" si="45"/>
        <v>45</v>
      </c>
      <c r="B133" s="227"/>
      <c r="C133" s="227"/>
      <c r="D133" s="227"/>
      <c r="E133" s="227"/>
      <c r="F133" s="227"/>
      <c r="G133" s="93" cm="1">
        <f t="array" ref="G133">Lininterp($A$55:$A$71,$N$55:$N$71,N132)</f>
        <v>6294.7297244988922</v>
      </c>
      <c r="H133" s="233"/>
      <c r="I133" s="233"/>
      <c r="J133" s="68" cm="1">
        <f t="array" ref="J133">Lininterp($A$55:$A$71,$G$55:$G$71,N132)</f>
        <v>5774.5557784292687</v>
      </c>
      <c r="K133" s="68">
        <f t="shared" si="19"/>
        <v>1.042126988150046E-2</v>
      </c>
      <c r="L133" s="68">
        <f t="shared" ref="L133" si="116">L132+K133</f>
        <v>5.0144118069568506</v>
      </c>
      <c r="M133" s="68"/>
      <c r="N133" s="68">
        <f t="shared" si="23"/>
        <v>9.755664994079476</v>
      </c>
      <c r="O133" s="68">
        <f t="shared" si="91"/>
        <v>167.3461198656521</v>
      </c>
      <c r="P133" s="164">
        <f t="shared" si="20"/>
        <v>570.48636218545414</v>
      </c>
      <c r="Q133" s="233" cm="1">
        <f t="array" ref="Q133">Lininterp($A$55:$A$71,$Z$55:$Z$71,V132)</f>
        <v>2142.2875947354082</v>
      </c>
      <c r="R133" s="68" cm="1">
        <f t="array" ref="R133">Lininterp($A$55:$A$71,$Y$55:$Y$71,V132)</f>
        <v>2045.1472006867702</v>
      </c>
      <c r="S133" s="69">
        <f t="shared" si="21"/>
        <v>6.1275365991339675E-3</v>
      </c>
      <c r="T133" s="68">
        <f t="shared" ref="T133" si="117">T132+S133</f>
        <v>4.3426572196291202</v>
      </c>
      <c r="U133" s="68"/>
      <c r="V133" s="68">
        <f t="shared" si="24"/>
        <v>8.4487494545313613</v>
      </c>
      <c r="W133" s="68">
        <f t="shared" si="93"/>
        <v>148.85068590777973</v>
      </c>
      <c r="X133" s="164">
        <f t="shared" si="22"/>
        <v>135.89465233747464</v>
      </c>
    </row>
    <row r="134" spans="1:24" x14ac:dyDescent="0.2">
      <c r="A134" s="227">
        <f t="shared" si="45"/>
        <v>46</v>
      </c>
      <c r="B134" s="227"/>
      <c r="C134" s="227"/>
      <c r="D134" s="227"/>
      <c r="E134" s="227"/>
      <c r="F134" s="227"/>
      <c r="G134" s="93" cm="1">
        <f t="array" ref="G134">Lininterp($A$55:$A$71,$N$55:$N$71,N133)</f>
        <v>6279.2874149036243</v>
      </c>
      <c r="H134" s="233"/>
      <c r="I134" s="233"/>
      <c r="J134" s="68" cm="1">
        <f t="array" ref="J134">Lininterp($A$55:$A$71,$G$55:$G$71,N133)</f>
        <v>5808.6864510333899</v>
      </c>
      <c r="K134" s="68">
        <f t="shared" si="19"/>
        <v>9.4281147451578465E-3</v>
      </c>
      <c r="L134" s="68">
        <f t="shared" ref="L134" si="118">L133+K134</f>
        <v>5.0238399217020087</v>
      </c>
      <c r="M134" s="68"/>
      <c r="N134" s="68">
        <f t="shared" si="23"/>
        <v>9.7740076297704448</v>
      </c>
      <c r="O134" s="68">
        <f t="shared" si="91"/>
        <v>172.36995978735411</v>
      </c>
      <c r="P134" s="164">
        <f t="shared" si="20"/>
        <v>572.63363988503556</v>
      </c>
      <c r="Q134" s="233" cm="1">
        <f t="array" ref="Q134">Lininterp($A$55:$A$71,$Z$55:$Z$71,V133)</f>
        <v>2139.6170576766667</v>
      </c>
      <c r="R134" s="68" cm="1">
        <f t="array" ref="R134">Lininterp($A$55:$A$71,$Y$55:$Y$71,V133)</f>
        <v>2052.9877968767059</v>
      </c>
      <c r="S134" s="69">
        <f t="shared" si="21"/>
        <v>5.4645029115477839E-3</v>
      </c>
      <c r="T134" s="68">
        <f t="shared" ref="T134" si="119">T133+S134</f>
        <v>4.3481217225406681</v>
      </c>
      <c r="U134" s="68"/>
      <c r="V134" s="68">
        <f t="shared" si="24"/>
        <v>8.4593807831530512</v>
      </c>
      <c r="W134" s="68">
        <f t="shared" si="93"/>
        <v>153.1988076303204</v>
      </c>
      <c r="X134" s="164">
        <f t="shared" si="22"/>
        <v>136.23686858999102</v>
      </c>
    </row>
    <row r="135" spans="1:24" x14ac:dyDescent="0.2">
      <c r="A135" s="227">
        <f t="shared" si="45"/>
        <v>47</v>
      </c>
      <c r="B135" s="227"/>
      <c r="C135" s="227"/>
      <c r="D135" s="227"/>
      <c r="E135" s="227"/>
      <c r="F135" s="227"/>
      <c r="G135" s="93" cm="1">
        <f t="array" ref="G135">Lininterp($A$55:$A$71,$N$55:$N$71,N134)</f>
        <v>6265.3167694400727</v>
      </c>
      <c r="H135" s="233"/>
      <c r="I135" s="233"/>
      <c r="J135" s="68" cm="1">
        <f t="array" ref="J135">Lininterp($A$55:$A$71,$G$55:$G$71,N134)</f>
        <v>5839.5644439555672</v>
      </c>
      <c r="K135" s="68">
        <f t="shared" si="19"/>
        <v>8.5296080668303912E-3</v>
      </c>
      <c r="L135" s="68">
        <f t="shared" ref="L135" si="120">L134+K135</f>
        <v>5.0323695297688387</v>
      </c>
      <c r="M135" s="68"/>
      <c r="N135" s="68">
        <f t="shared" si="23"/>
        <v>9.7906021979938487</v>
      </c>
      <c r="O135" s="68">
        <f t="shared" si="91"/>
        <v>177.40232931712293</v>
      </c>
      <c r="P135" s="164">
        <f t="shared" si="20"/>
        <v>574.57975559390957</v>
      </c>
      <c r="Q135" s="233" cm="1">
        <f t="array" ref="Q135">Lininterp($A$55:$A$71,$Z$55:$Z$71,V134)</f>
        <v>2137.2354876449258</v>
      </c>
      <c r="R135" s="68" cm="1">
        <f t="array" ref="R135">Lininterp($A$55:$A$71,$Y$55:$Y$71,V134)</f>
        <v>2059.9799967624217</v>
      </c>
      <c r="S135" s="69">
        <f t="shared" si="21"/>
        <v>4.8732131725714549E-3</v>
      </c>
      <c r="T135" s="68">
        <f t="shared" ref="T135" si="121">T134+S135</f>
        <v>4.3529949357132391</v>
      </c>
      <c r="U135" s="68"/>
      <c r="V135" s="68">
        <f t="shared" si="24"/>
        <v>8.468861742632761</v>
      </c>
      <c r="W135" s="68">
        <f t="shared" si="93"/>
        <v>157.55180256603364</v>
      </c>
      <c r="X135" s="164">
        <f t="shared" si="22"/>
        <v>136.54241815301796</v>
      </c>
    </row>
    <row r="136" spans="1:24" x14ac:dyDescent="0.2">
      <c r="A136" s="227">
        <f t="shared" si="45"/>
        <v>48</v>
      </c>
      <c r="B136" s="227"/>
      <c r="C136" s="227"/>
      <c r="D136" s="227"/>
      <c r="E136" s="227"/>
      <c r="F136" s="227"/>
      <c r="G136" s="93" cm="1">
        <f t="array" ref="G136">Lininterp($A$55:$A$71,$N$55:$N$71,N135)</f>
        <v>6252.6775373702767</v>
      </c>
      <c r="H136" s="233"/>
      <c r="I136" s="233"/>
      <c r="J136" s="68" cm="1">
        <f t="array" ref="J136">Lininterp($A$55:$A$71,$G$55:$G$71,N135)</f>
        <v>5867.499740102845</v>
      </c>
      <c r="K136" s="68">
        <f t="shared" si="19"/>
        <v>7.7167297747521377E-3</v>
      </c>
      <c r="L136" s="68">
        <f t="shared" ref="L136" si="122">L135+K136</f>
        <v>5.0400862595435907</v>
      </c>
      <c r="M136" s="68"/>
      <c r="N136" s="68">
        <f t="shared" si="23"/>
        <v>9.8056152909408372</v>
      </c>
      <c r="O136" s="68">
        <f t="shared" si="91"/>
        <v>182.44241557666652</v>
      </c>
      <c r="P136" s="164">
        <f t="shared" si="20"/>
        <v>576.34324938209181</v>
      </c>
      <c r="Q136" s="233" cm="1">
        <f t="array" ref="Q136">Lininterp($A$55:$A$71,$Z$55:$Z$71,V135)</f>
        <v>2135.1116167937366</v>
      </c>
      <c r="R136" s="68" cm="1">
        <f t="array" ref="R136">Lininterp($A$55:$A$71,$Y$55:$Y$71,V135)</f>
        <v>2066.215601563053</v>
      </c>
      <c r="S136" s="69">
        <f t="shared" si="21"/>
        <v>4.3459042862141256E-3</v>
      </c>
      <c r="T136" s="68">
        <f t="shared" ref="T136" si="123">T135+S136</f>
        <v>4.3573408399994529</v>
      </c>
      <c r="U136" s="68"/>
      <c r="V136" s="68">
        <f t="shared" si="24"/>
        <v>8.4773168093374576</v>
      </c>
      <c r="W136" s="68">
        <f t="shared" si="93"/>
        <v>161.90914340603311</v>
      </c>
      <c r="X136" s="164">
        <f t="shared" si="22"/>
        <v>136.815194255867</v>
      </c>
    </row>
    <row r="137" spans="1:24" x14ac:dyDescent="0.2">
      <c r="A137" s="227">
        <f t="shared" si="45"/>
        <v>49</v>
      </c>
      <c r="B137" s="227"/>
      <c r="C137" s="227"/>
      <c r="D137" s="227"/>
      <c r="E137" s="227"/>
      <c r="F137" s="227"/>
      <c r="G137" s="93" cm="1">
        <f t="array" ref="G137">Lininterp($A$55:$A$71,$N$55:$N$71,N136)</f>
        <v>6241.2428339608314</v>
      </c>
      <c r="H137" s="233"/>
      <c r="I137" s="233"/>
      <c r="J137" s="68" cm="1">
        <f t="array" ref="J137">Lininterp($A$55:$A$71,$G$55:$G$71,N136)</f>
        <v>5892.7727807698047</v>
      </c>
      <c r="K137" s="68">
        <f t="shared" si="19"/>
        <v>6.9813194170214076E-3</v>
      </c>
      <c r="L137" s="68">
        <f t="shared" ref="L137" si="124">L136+K137</f>
        <v>5.0470675789606121</v>
      </c>
      <c r="M137" s="68"/>
      <c r="N137" s="68">
        <f t="shared" si="23"/>
        <v>9.8191976244369883</v>
      </c>
      <c r="O137" s="68">
        <f t="shared" si="91"/>
        <v>187.48948315562714</v>
      </c>
      <c r="P137" s="164">
        <f t="shared" si="20"/>
        <v>577.9410089432962</v>
      </c>
      <c r="Q137" s="233" cm="1">
        <f t="array" ref="Q137">Lininterp($A$55:$A$71,$Z$55:$Z$71,V136)</f>
        <v>2133.2175606322903</v>
      </c>
      <c r="R137" s="68" cm="1">
        <f t="array" ref="R137">Lininterp($A$55:$A$71,$Y$55:$Y$71,V136)</f>
        <v>2071.7764790930432</v>
      </c>
      <c r="S137" s="69">
        <f t="shared" si="21"/>
        <v>3.8756531668340459E-3</v>
      </c>
      <c r="T137" s="68">
        <f t="shared" ref="T137" si="125">T136+S137</f>
        <v>4.3612164931662871</v>
      </c>
      <c r="U137" s="68"/>
      <c r="V137" s="68">
        <f t="shared" si="24"/>
        <v>8.4848569905958886</v>
      </c>
      <c r="W137" s="68">
        <f t="shared" si="93"/>
        <v>166.27035989919941</v>
      </c>
      <c r="X137" s="164">
        <f t="shared" si="22"/>
        <v>137.05868407041774</v>
      </c>
    </row>
    <row r="138" spans="1:24" x14ac:dyDescent="0.2">
      <c r="A138" s="227">
        <f t="shared" si="45"/>
        <v>50</v>
      </c>
      <c r="B138" s="227"/>
      <c r="C138" s="227"/>
      <c r="D138" s="227"/>
      <c r="E138" s="227"/>
      <c r="F138" s="227"/>
      <c r="G138" s="93" cm="1">
        <f t="array" ref="G138">Lininterp($A$55:$A$71,$N$55:$N$71,N137)</f>
        <v>6230.8978666922576</v>
      </c>
      <c r="H138" s="233"/>
      <c r="I138" s="233"/>
      <c r="J138" s="68" cm="1">
        <f t="array" ref="J138">Lininterp($A$55:$A$71,$G$55:$G$71,N137)</f>
        <v>5915.6372809772256</v>
      </c>
      <c r="K138" s="68">
        <f t="shared" si="19"/>
        <v>6.3159942391588283E-3</v>
      </c>
      <c r="L138" s="68">
        <f t="shared" ref="L138" si="126">L137+K138</f>
        <v>5.0533835731997705</v>
      </c>
      <c r="M138" s="68"/>
      <c r="N138" s="68">
        <f t="shared" si="23"/>
        <v>9.8314855509723156</v>
      </c>
      <c r="O138" s="68">
        <f t="shared" si="91"/>
        <v>192.54286672882691</v>
      </c>
      <c r="P138" s="164">
        <f t="shared" si="20"/>
        <v>579.38840628248522</v>
      </c>
      <c r="Q138" s="233" cm="1">
        <f t="array" ref="Q138">Lininterp($A$55:$A$71,$Z$55:$Z$71,V137)</f>
        <v>2131.5284519274446</v>
      </c>
      <c r="R138" s="68" cm="1">
        <f t="array" ref="R138">Lininterp($A$55:$A$71,$Y$55:$Y$71,V137)</f>
        <v>2076.7356386120059</v>
      </c>
      <c r="S138" s="69">
        <f t="shared" si="21"/>
        <v>3.4562858453277318E-3</v>
      </c>
      <c r="T138" s="68">
        <f t="shared" ref="T138" si="127">T137+S138</f>
        <v>4.3646727790116149</v>
      </c>
      <c r="U138" s="68"/>
      <c r="V138" s="68">
        <f t="shared" si="24"/>
        <v>8.4915812821237644</v>
      </c>
      <c r="W138" s="68">
        <f t="shared" si="93"/>
        <v>170.63503267821102</v>
      </c>
      <c r="X138" s="164">
        <f t="shared" si="22"/>
        <v>137.27600953491847</v>
      </c>
    </row>
    <row r="139" spans="1:24" x14ac:dyDescent="0.2">
      <c r="A139" s="227">
        <f t="shared" si="45"/>
        <v>51</v>
      </c>
      <c r="B139" s="227"/>
      <c r="C139" s="227"/>
      <c r="D139" s="227"/>
      <c r="E139" s="227"/>
      <c r="F139" s="227"/>
      <c r="G139" s="93" cm="1">
        <f t="array" ref="G139">Lininterp($A$55:$A$71,$N$55:$N$71,N138)</f>
        <v>6221.5387828615876</v>
      </c>
      <c r="H139" s="233"/>
      <c r="I139" s="233"/>
      <c r="J139" s="68" cm="1">
        <f t="array" ref="J139">Lininterp($A$55:$A$71,$G$55:$G$71,N138)</f>
        <v>5936.3227765067959</v>
      </c>
      <c r="K139" s="68">
        <f t="shared" si="19"/>
        <v>5.7140750689370374E-3</v>
      </c>
      <c r="L139" s="68">
        <f t="shared" ref="L139" si="128">L138+K139</f>
        <v>5.0590976482687076</v>
      </c>
      <c r="M139" s="68"/>
      <c r="N139" s="68">
        <f t="shared" si="23"/>
        <v>9.842602428538342</v>
      </c>
      <c r="O139" s="68">
        <f t="shared" si="91"/>
        <v>197.60196437709561</v>
      </c>
      <c r="P139" s="164">
        <f t="shared" si="20"/>
        <v>580.69942514990578</v>
      </c>
      <c r="Q139" s="233" cm="1">
        <f t="array" ref="Q139">Lininterp($A$55:$A$71,$Z$55:$Z$71,V138)</f>
        <v>2130.0221142195869</v>
      </c>
      <c r="R139" s="68" cm="1">
        <f t="array" ref="R139">Lininterp($A$55:$A$71,$Y$55:$Y$71,V138)</f>
        <v>2081.1581893698485</v>
      </c>
      <c r="S139" s="69">
        <f t="shared" si="21"/>
        <v>3.082296410535324E-3</v>
      </c>
      <c r="T139" s="68">
        <f t="shared" ref="T139" si="129">T138+S139</f>
        <v>4.3677550754221501</v>
      </c>
      <c r="U139" s="68"/>
      <c r="V139" s="68">
        <f t="shared" si="24"/>
        <v>8.4975779677473735</v>
      </c>
      <c r="W139" s="68">
        <f t="shared" si="93"/>
        <v>175.00278775363316</v>
      </c>
      <c r="X139" s="164">
        <f t="shared" si="22"/>
        <v>137.4699643978434</v>
      </c>
    </row>
    <row r="140" spans="1:24" x14ac:dyDescent="0.2">
      <c r="A140" s="227">
        <f t="shared" si="45"/>
        <v>52</v>
      </c>
      <c r="B140" s="227"/>
      <c r="C140" s="227"/>
      <c r="D140" s="227"/>
      <c r="E140" s="227"/>
      <c r="F140" s="227"/>
      <c r="G140" s="93" cm="1">
        <f t="array" ref="G140">Lininterp($A$55:$A$71,$N$55:$N$71,N139)</f>
        <v>6213.0716270093271</v>
      </c>
      <c r="H140" s="233"/>
      <c r="I140" s="233"/>
      <c r="J140" s="68" cm="1">
        <f t="array" ref="J140">Lininterp($A$55:$A$71,$G$55:$G$71,N139)</f>
        <v>5955.0369282014453</v>
      </c>
      <c r="K140" s="68">
        <f t="shared" si="19"/>
        <v>5.1695192644437083E-3</v>
      </c>
      <c r="L140" s="68">
        <f t="shared" ref="L140" si="130">L139+K140</f>
        <v>5.064267167533151</v>
      </c>
      <c r="M140" s="68"/>
      <c r="N140" s="68">
        <f t="shared" si="23"/>
        <v>9.8526598590139116</v>
      </c>
      <c r="O140" s="68">
        <f t="shared" si="91"/>
        <v>202.66623154462877</v>
      </c>
      <c r="P140" s="164">
        <f t="shared" si="20"/>
        <v>581.88677941861829</v>
      </c>
      <c r="Q140" s="233" cm="1">
        <f t="array" ref="Q140">Lininterp($A$55:$A$71,$Z$55:$Z$71,V139)</f>
        <v>2128.6787706659111</v>
      </c>
      <c r="R140" s="68" cm="1">
        <f t="array" ref="R140">Lininterp($A$55:$A$71,$Y$55:$Y$71,V139)</f>
        <v>2085.102195431944</v>
      </c>
      <c r="S140" s="69">
        <f t="shared" si="21"/>
        <v>2.7487747216400362E-3</v>
      </c>
      <c r="T140" s="68">
        <f t="shared" ref="T140" si="131">T139+S140</f>
        <v>4.3705038501437903</v>
      </c>
      <c r="U140" s="68"/>
      <c r="V140" s="68">
        <f t="shared" si="24"/>
        <v>8.502925778489864</v>
      </c>
      <c r="W140" s="68">
        <f t="shared" si="93"/>
        <v>179.37329160377695</v>
      </c>
      <c r="X140" s="164">
        <f t="shared" si="22"/>
        <v>137.64304776033603</v>
      </c>
    </row>
    <row r="141" spans="1:24" x14ac:dyDescent="0.2">
      <c r="A141" s="227">
        <f t="shared" si="45"/>
        <v>53</v>
      </c>
      <c r="B141" s="227"/>
      <c r="C141" s="227"/>
      <c r="D141" s="227"/>
      <c r="E141" s="227"/>
      <c r="F141" s="227"/>
      <c r="G141" s="93" cm="1">
        <f t="array" ref="G141">Lininterp($A$55:$A$71,$N$55:$N$71,N140)</f>
        <v>6205.4113977044581</v>
      </c>
      <c r="H141" s="233"/>
      <c r="I141" s="233"/>
      <c r="J141" s="68" cm="1">
        <f t="array" ref="J141">Lininterp($A$55:$A$71,$G$55:$G$71,N140)</f>
        <v>5971.9676066640186</v>
      </c>
      <c r="K141" s="68">
        <f t="shared" si="19"/>
        <v>4.6768600522475983E-3</v>
      </c>
      <c r="L141" s="68">
        <f t="shared" ref="L141" si="132">L140+K141</f>
        <v>5.068944027585399</v>
      </c>
      <c r="M141" s="68"/>
      <c r="N141" s="68">
        <f t="shared" si="23"/>
        <v>9.8617588085319046</v>
      </c>
      <c r="O141" s="68">
        <f t="shared" si="91"/>
        <v>207.73517557221416</v>
      </c>
      <c r="P141" s="164">
        <f t="shared" si="20"/>
        <v>582.96202270807373</v>
      </c>
      <c r="Q141" s="233" cm="1">
        <f t="array" ref="Q141">Lininterp($A$55:$A$71,$Z$55:$Z$71,V140)</f>
        <v>2127.4807843884714</v>
      </c>
      <c r="R141" s="68" cm="1">
        <f t="array" ref="R141">Lininterp($A$55:$A$71,$Y$55:$Y$71,V140)</f>
        <v>2088.6194380074558</v>
      </c>
      <c r="S141" s="69">
        <f t="shared" si="21"/>
        <v>2.451341942488596E-3</v>
      </c>
      <c r="T141" s="68">
        <f t="shared" ref="T141" si="133">T140+S141</f>
        <v>4.3729551920862786</v>
      </c>
      <c r="U141" s="68"/>
      <c r="V141" s="68">
        <f t="shared" si="24"/>
        <v>8.507694926237896</v>
      </c>
      <c r="W141" s="68">
        <f t="shared" si="93"/>
        <v>183.74624679586321</v>
      </c>
      <c r="X141" s="164">
        <f t="shared" si="22"/>
        <v>137.79749439233979</v>
      </c>
    </row>
    <row r="142" spans="1:24" x14ac:dyDescent="0.2">
      <c r="A142" s="227">
        <f t="shared" si="45"/>
        <v>54</v>
      </c>
      <c r="B142" s="227"/>
      <c r="C142" s="227"/>
      <c r="D142" s="227"/>
      <c r="E142" s="227"/>
      <c r="F142" s="227"/>
      <c r="G142" s="93" cm="1">
        <f t="array" ref="G142">Lininterp($A$55:$A$71,$N$55:$N$71,N141)</f>
        <v>6198.4811942185315</v>
      </c>
      <c r="H142" s="233"/>
      <c r="I142" s="233"/>
      <c r="J142" s="68" cm="1">
        <f t="array" ref="J142">Lininterp($A$55:$A$71,$G$55:$G$71,N141)</f>
        <v>5987.2847782826084</v>
      </c>
      <c r="K142" s="68">
        <f t="shared" si="19"/>
        <v>4.2311516466826118E-3</v>
      </c>
      <c r="L142" s="68">
        <f t="shared" ref="L142" si="134">L141+K142</f>
        <v>5.0731751792320816</v>
      </c>
      <c r="M142" s="68"/>
      <c r="N142" s="68">
        <f t="shared" si="23"/>
        <v>9.8699906210740878</v>
      </c>
      <c r="O142" s="68">
        <f t="shared" si="91"/>
        <v>212.80835075144626</v>
      </c>
      <c r="P142" s="164">
        <f t="shared" si="20"/>
        <v>583.93564962919868</v>
      </c>
      <c r="Q142" s="233" cm="1">
        <f t="array" ref="Q142">Lininterp($A$55:$A$71,$Z$55:$Z$71,V141)</f>
        <v>2126.4124269180343</v>
      </c>
      <c r="R142" s="68" cm="1">
        <f t="array" ref="R142">Lininterp($A$55:$A$71,$Y$55:$Y$71,V141)</f>
        <v>2091.7560952894737</v>
      </c>
      <c r="S142" s="69">
        <f t="shared" si="21"/>
        <v>2.1860930514591265E-3</v>
      </c>
      <c r="T142" s="68">
        <f t="shared" ref="T142" si="135">T141+S142</f>
        <v>4.3751412851377376</v>
      </c>
      <c r="U142" s="68"/>
      <c r="V142" s="68">
        <f t="shared" si="24"/>
        <v>8.5119480255597999</v>
      </c>
      <c r="W142" s="68">
        <f t="shared" si="93"/>
        <v>188.12138808100096</v>
      </c>
      <c r="X142" s="164">
        <f t="shared" si="22"/>
        <v>137.93530208899134</v>
      </c>
    </row>
    <row r="143" spans="1:24" x14ac:dyDescent="0.2">
      <c r="A143" s="227">
        <f t="shared" si="45"/>
        <v>55</v>
      </c>
      <c r="B143" s="227"/>
      <c r="C143" s="227"/>
      <c r="D143" s="227"/>
      <c r="E143" s="227"/>
      <c r="F143" s="227"/>
      <c r="G143" s="93" cm="1">
        <f t="array" ref="G143">Lininterp($A$55:$A$71,$N$55:$N$71,N142)</f>
        <v>6192.2114445224233</v>
      </c>
      <c r="H143" s="233"/>
      <c r="I143" s="233"/>
      <c r="J143" s="68" cm="1">
        <f t="array" ref="J143">Lininterp($A$55:$A$71,$G$55:$G$71,N142)</f>
        <v>6001.1422115161195</v>
      </c>
      <c r="K143" s="68">
        <f t="shared" si="19"/>
        <v>3.8279195993093334E-3</v>
      </c>
      <c r="L143" s="68">
        <f t="shared" ref="L143" si="136">L142+K143</f>
        <v>5.0770030988313906</v>
      </c>
      <c r="M143" s="68"/>
      <c r="N143" s="68">
        <f t="shared" si="23"/>
        <v>9.8774379354696311</v>
      </c>
      <c r="O143" s="68">
        <f t="shared" si="91"/>
        <v>217.88535385027765</v>
      </c>
      <c r="P143" s="164">
        <f t="shared" si="20"/>
        <v>584.81718907395623</v>
      </c>
      <c r="Q143" s="233" cm="1">
        <f t="array" ref="Q143">Lininterp($A$55:$A$71,$Z$55:$Z$71,V142)</f>
        <v>2125.4596716935935</v>
      </c>
      <c r="R143" s="68" cm="1">
        <f t="array" ref="R143">Lininterp($A$55:$A$71,$Y$55:$Y$71,V142)</f>
        <v>2094.5533487326493</v>
      </c>
      <c r="S143" s="69">
        <f t="shared" si="21"/>
        <v>1.9495455720821763E-3</v>
      </c>
      <c r="T143" s="68">
        <f t="shared" ref="T143" si="137">T142+S143</f>
        <v>4.37709083070982</v>
      </c>
      <c r="U143" s="68"/>
      <c r="V143" s="68">
        <f t="shared" si="24"/>
        <v>8.5157409157778599</v>
      </c>
      <c r="W143" s="68">
        <f t="shared" si="93"/>
        <v>192.49847891171078</v>
      </c>
      <c r="X143" s="164">
        <f t="shared" si="22"/>
        <v>138.05825632190113</v>
      </c>
    </row>
    <row r="144" spans="1:24" x14ac:dyDescent="0.2">
      <c r="A144" s="227">
        <f t="shared" si="45"/>
        <v>56</v>
      </c>
      <c r="B144" s="227"/>
      <c r="C144" s="227"/>
      <c r="D144" s="227"/>
      <c r="E144" s="227"/>
      <c r="F144" s="227"/>
      <c r="G144" s="93" cm="1">
        <f t="array" ref="G144">Lininterp($A$55:$A$71,$N$55:$N$71,N143)</f>
        <v>6186.5392068555675</v>
      </c>
      <c r="H144" s="233"/>
      <c r="I144" s="233"/>
      <c r="J144" s="68" cm="1">
        <f t="array" ref="J144">Lininterp($A$55:$A$71,$G$55:$G$71,N143)</f>
        <v>6013.679020569577</v>
      </c>
      <c r="K144" s="68">
        <f t="shared" si="19"/>
        <v>3.4631158801091458E-3</v>
      </c>
      <c r="L144" s="68">
        <f t="shared" ref="L144" si="138">L143+K144</f>
        <v>5.0804662147114996</v>
      </c>
      <c r="M144" s="68"/>
      <c r="N144" s="68">
        <f t="shared" si="23"/>
        <v>9.8841755150029176</v>
      </c>
      <c r="O144" s="68">
        <f t="shared" si="91"/>
        <v>222.96582006498915</v>
      </c>
      <c r="P144" s="164">
        <f t="shared" si="20"/>
        <v>585.61529000019857</v>
      </c>
      <c r="Q144" s="233" cm="1">
        <f t="array" ref="Q144">Lininterp($A$55:$A$71,$Z$55:$Z$71,V143)</f>
        <v>2124.6100099063933</v>
      </c>
      <c r="R144" s="68" cm="1">
        <f t="array" ref="R144">Lininterp($A$55:$A$71,$Y$55:$Y$71,V143)</f>
        <v>2097.0479237282098</v>
      </c>
      <c r="S144" s="69">
        <f t="shared" si="21"/>
        <v>1.7385938512946794E-3</v>
      </c>
      <c r="T144" s="68">
        <f t="shared" ref="T144" si="139">T143+S144</f>
        <v>4.3788294245611148</v>
      </c>
      <c r="U144" s="68"/>
      <c r="V144" s="68">
        <f t="shared" si="24"/>
        <v>8.5191233940877726</v>
      </c>
      <c r="W144" s="68">
        <f t="shared" si="93"/>
        <v>196.87730833627188</v>
      </c>
      <c r="X144" s="164">
        <f t="shared" si="22"/>
        <v>138.16795242583072</v>
      </c>
    </row>
    <row r="145" spans="1:24" x14ac:dyDescent="0.2">
      <c r="A145" s="227">
        <f t="shared" si="45"/>
        <v>57</v>
      </c>
      <c r="B145" s="227"/>
      <c r="C145" s="227"/>
      <c r="D145" s="227"/>
      <c r="E145" s="227"/>
      <c r="F145" s="227"/>
      <c r="G145" s="93" cm="1">
        <f t="array" ref="G145">Lininterp($A$55:$A$71,$N$55:$N$71,N144)</f>
        <v>6181.4075378562002</v>
      </c>
      <c r="H145" s="233"/>
      <c r="I145" s="233"/>
      <c r="J145" s="68" cm="1">
        <f t="array" ref="J145">Lininterp($A$55:$A$71,$G$55:$G$71,N144)</f>
        <v>6025.0210619559111</v>
      </c>
      <c r="K145" s="68">
        <f t="shared" si="19"/>
        <v>3.1330782394771149E-3</v>
      </c>
      <c r="L145" s="68">
        <f t="shared" ref="L145" si="140">L144+K145</f>
        <v>5.0835992929509768</v>
      </c>
      <c r="M145" s="68"/>
      <c r="N145" s="68">
        <f t="shared" si="23"/>
        <v>9.8902709979590977</v>
      </c>
      <c r="O145" s="68">
        <f t="shared" si="91"/>
        <v>228.04941935794011</v>
      </c>
      <c r="P145" s="164">
        <f t="shared" si="20"/>
        <v>586.3378001754545</v>
      </c>
      <c r="Q145" s="233" cm="1">
        <f t="array" ref="Q145">Lininterp($A$55:$A$71,$Z$55:$Z$71,V144)</f>
        <v>2123.8522862706604</v>
      </c>
      <c r="R145" s="68" cm="1">
        <f t="array" ref="R145">Lininterp($A$55:$A$71,$Y$55:$Y$71,V144)</f>
        <v>2099.272571774904</v>
      </c>
      <c r="S145" s="69">
        <f t="shared" si="21"/>
        <v>1.5504682850431884E-3</v>
      </c>
      <c r="T145" s="68">
        <f t="shared" ref="T145" si="141">T144+S145</f>
        <v>4.3803798928461584</v>
      </c>
      <c r="U145" s="68"/>
      <c r="V145" s="68">
        <f t="shared" si="24"/>
        <v>8.5221398693505019</v>
      </c>
      <c r="W145" s="68">
        <f t="shared" si="93"/>
        <v>201.25768822911803</v>
      </c>
      <c r="X145" s="164">
        <f t="shared" si="22"/>
        <v>138.26581554593548</v>
      </c>
    </row>
    <row r="146" spans="1:24" x14ac:dyDescent="0.2">
      <c r="A146" s="227">
        <f t="shared" si="45"/>
        <v>58</v>
      </c>
      <c r="B146" s="227"/>
      <c r="C146" s="227"/>
      <c r="D146" s="227"/>
      <c r="E146" s="227"/>
      <c r="F146" s="227"/>
      <c r="G146" s="93" cm="1">
        <f t="array" ref="G146">Lininterp($A$55:$A$71,$N$55:$N$71,N145)</f>
        <v>6176.7649209092888</v>
      </c>
      <c r="H146" s="233"/>
      <c r="I146" s="233"/>
      <c r="J146" s="68" cm="1">
        <f t="array" ref="J146">Lininterp($A$55:$A$71,$G$55:$G$71,N145)</f>
        <v>6035.282197964345</v>
      </c>
      <c r="K146" s="68">
        <f t="shared" si="19"/>
        <v>2.8344934430481255E-3</v>
      </c>
      <c r="L146" s="68">
        <f t="shared" ref="L146" si="142">L145+K146</f>
        <v>5.086433786394025</v>
      </c>
      <c r="M146" s="68"/>
      <c r="N146" s="68">
        <f t="shared" si="23"/>
        <v>9.895785576642071</v>
      </c>
      <c r="O146" s="68">
        <f t="shared" si="91"/>
        <v>233.13585314433413</v>
      </c>
      <c r="P146" s="164">
        <f t="shared" si="20"/>
        <v>586.99183834477537</v>
      </c>
      <c r="Q146" s="233" cm="1">
        <f t="array" ref="Q146">Lininterp($A$55:$A$71,$Z$55:$Z$71,V145)</f>
        <v>2123.176552564852</v>
      </c>
      <c r="R146" s="68" cm="1">
        <f t="array" ref="R146">Lininterp($A$55:$A$71,$Y$55:$Y$71,V145)</f>
        <v>2101.2565004763728</v>
      </c>
      <c r="S146" s="69">
        <f t="shared" si="21"/>
        <v>1.3826989559032232E-3</v>
      </c>
      <c r="T146" s="68">
        <f t="shared" ref="T146" si="143">T145+S146</f>
        <v>4.3817625918020617</v>
      </c>
      <c r="U146" s="68"/>
      <c r="V146" s="68">
        <f t="shared" si="24"/>
        <v>8.5248299451401977</v>
      </c>
      <c r="W146" s="68">
        <f t="shared" si="93"/>
        <v>205.6394508209201</v>
      </c>
      <c r="X146" s="164">
        <f t="shared" si="22"/>
        <v>138.35311855487646</v>
      </c>
    </row>
    <row r="147" spans="1:24" x14ac:dyDescent="0.2">
      <c r="A147" s="227">
        <f t="shared" si="45"/>
        <v>59</v>
      </c>
      <c r="B147" s="227"/>
      <c r="C147" s="227"/>
      <c r="D147" s="227"/>
      <c r="E147" s="227"/>
      <c r="F147" s="227"/>
      <c r="G147" s="93" cm="1">
        <f t="array" ref="G147">Lininterp($A$55:$A$71,$N$55:$N$71,N146)</f>
        <v>6172.5647489733328</v>
      </c>
      <c r="H147" s="233"/>
      <c r="I147" s="233"/>
      <c r="J147" s="68" cm="1">
        <f t="array" ref="J147">Lininterp($A$55:$A$71,$G$55:$G$71,N146)</f>
        <v>6044.565439719262</v>
      </c>
      <c r="K147" s="68">
        <f t="shared" si="19"/>
        <v>2.5643640102723849E-3</v>
      </c>
      <c r="L147" s="68">
        <f t="shared" ref="L147" si="144">L146+K147</f>
        <v>5.0889981504042971</v>
      </c>
      <c r="M147" s="68"/>
      <c r="N147" s="68">
        <f t="shared" si="23"/>
        <v>9.900774611681511</v>
      </c>
      <c r="O147" s="68">
        <f t="shared" si="91"/>
        <v>238.22485129473844</v>
      </c>
      <c r="P147" s="164">
        <f t="shared" si="20"/>
        <v>587.58386028080804</v>
      </c>
      <c r="Q147" s="233" cm="1">
        <f t="array" ref="Q147">Lininterp($A$55:$A$71,$Z$55:$Z$71,V146)</f>
        <v>2122.5739370205652</v>
      </c>
      <c r="R147" s="68" cm="1">
        <f t="array" ref="R147">Lininterp($A$55:$A$71,$Y$55:$Y$71,V146)</f>
        <v>2103.0257570103963</v>
      </c>
      <c r="S147" s="69">
        <f t="shared" si="21"/>
        <v>1.2330832053120341E-3</v>
      </c>
      <c r="T147" s="68">
        <f t="shared" ref="T147" si="145">T146+S147</f>
        <v>4.3829956750073737</v>
      </c>
      <c r="U147" s="68"/>
      <c r="V147" s="68">
        <f t="shared" si="24"/>
        <v>8.5272289397030612</v>
      </c>
      <c r="W147" s="68">
        <f t="shared" si="93"/>
        <v>210.02244649592748</v>
      </c>
      <c r="X147" s="164">
        <f t="shared" si="22"/>
        <v>138.43099813321518</v>
      </c>
    </row>
    <row r="148" spans="1:24" x14ac:dyDescent="0.2">
      <c r="A148" s="227">
        <f t="shared" si="45"/>
        <v>60</v>
      </c>
      <c r="B148" s="227"/>
      <c r="C148" s="227"/>
      <c r="D148" s="227"/>
      <c r="E148" s="227"/>
      <c r="F148" s="227"/>
      <c r="G148" s="93" cm="1">
        <f t="array" ref="G148">Lininterp($A$55:$A$71,$N$55:$N$71,N147)</f>
        <v>6168.7648566941889</v>
      </c>
      <c r="H148" s="233"/>
      <c r="I148" s="233"/>
      <c r="J148" s="68" cm="1">
        <f t="array" ref="J148">Lininterp($A$55:$A$71,$G$55:$G$71,N147)</f>
        <v>6052.963981304656</v>
      </c>
      <c r="K148" s="68">
        <f t="shared" si="19"/>
        <v>2.3199781228312451E-3</v>
      </c>
      <c r="L148" s="68">
        <f t="shared" ref="L148" si="146">L147+K148</f>
        <v>5.0913181285271287</v>
      </c>
      <c r="M148" s="68"/>
      <c r="N148" s="68">
        <f t="shared" si="23"/>
        <v>9.9052881877959695</v>
      </c>
      <c r="O148" s="68">
        <f t="shared" si="91"/>
        <v>243.31616942326556</v>
      </c>
      <c r="P148" s="164">
        <f t="shared" si="20"/>
        <v>588.11971916119103</v>
      </c>
      <c r="Q148" s="233" cm="1">
        <f t="array" ref="Q148">Lininterp($A$55:$A$71,$Z$55:$Z$71,V147)</f>
        <v>2122.0365278442964</v>
      </c>
      <c r="R148" s="68" cm="1">
        <f t="array" ref="R148">Lininterp($A$55:$A$71,$Y$55:$Y$71,V147)</f>
        <v>2104.6035701046189</v>
      </c>
      <c r="S148" s="69">
        <f t="shared" si="21"/>
        <v>1.0996567146674785E-3</v>
      </c>
      <c r="T148" s="68">
        <f t="shared" ref="T148" si="147">T147+S148</f>
        <v>4.3840953317220412</v>
      </c>
      <c r="U148" s="68"/>
      <c r="V148" s="68">
        <f t="shared" si="24"/>
        <v>8.529368349653776</v>
      </c>
      <c r="W148" s="68">
        <f t="shared" si="93"/>
        <v>214.40654182764953</v>
      </c>
      <c r="X148" s="164">
        <f t="shared" si="22"/>
        <v>138.50046919095166</v>
      </c>
    </row>
    <row r="149" spans="1:24" x14ac:dyDescent="0.2">
      <c r="A149" s="227">
        <f t="shared" si="45"/>
        <v>61</v>
      </c>
      <c r="B149" s="227"/>
      <c r="C149" s="227"/>
      <c r="D149" s="227"/>
      <c r="E149" s="227"/>
      <c r="F149" s="227"/>
      <c r="G149" s="93" cm="1">
        <f t="array" ref="G149">Lininterp($A$55:$A$71,$N$55:$N$71,N148)</f>
        <v>6165.3270971088041</v>
      </c>
      <c r="H149" s="233"/>
      <c r="I149" s="233"/>
      <c r="J149" s="68" cm="1">
        <f t="array" ref="J149">Lininterp($A$55:$A$71,$G$55:$G$71,N148)</f>
        <v>6060.5621353357346</v>
      </c>
      <c r="K149" s="68">
        <f t="shared" si="19"/>
        <v>2.0988824008038726E-3</v>
      </c>
      <c r="L149" s="68">
        <f t="shared" ref="L149" si="148">L148+K149</f>
        <v>5.0934170109279329</v>
      </c>
      <c r="M149" s="68"/>
      <c r="N149" s="68">
        <f t="shared" si="23"/>
        <v>9.9093716165913097</v>
      </c>
      <c r="O149" s="68">
        <f t="shared" si="91"/>
        <v>248.4095864341935</v>
      </c>
      <c r="P149" s="164">
        <f t="shared" si="20"/>
        <v>588.60472070098831</v>
      </c>
      <c r="Q149" s="233" cm="1">
        <f t="array" ref="Q149">Lininterp($A$55:$A$71,$Z$55:$Z$71,V148)</f>
        <v>2121.5572693427921</v>
      </c>
      <c r="R149" s="68" cm="1">
        <f t="array" ref="R149">Lininterp($A$55:$A$71,$Y$55:$Y$71,V148)</f>
        <v>2106.0106550086043</v>
      </c>
      <c r="S149" s="69">
        <f t="shared" si="21"/>
        <v>9.8066771561229919E-4</v>
      </c>
      <c r="T149" s="68">
        <f t="shared" ref="T149" si="149">T148+S149</f>
        <v>4.3850759994376531</v>
      </c>
      <c r="U149" s="68"/>
      <c r="V149" s="68">
        <f t="shared" si="24"/>
        <v>8.5312762634973787</v>
      </c>
      <c r="W149" s="68">
        <f t="shared" si="93"/>
        <v>218.79161782708718</v>
      </c>
      <c r="X149" s="164">
        <f t="shared" si="22"/>
        <v>138.56243779309526</v>
      </c>
    </row>
    <row r="150" spans="1:24" x14ac:dyDescent="0.2">
      <c r="A150" s="227">
        <f t="shared" si="45"/>
        <v>62</v>
      </c>
      <c r="B150" s="227"/>
      <c r="C150" s="227"/>
      <c r="D150" s="227"/>
      <c r="E150" s="227"/>
      <c r="F150" s="227"/>
      <c r="G150" s="93" cm="1">
        <f t="array" ref="G150">Lininterp($A$55:$A$71,$N$55:$N$71,N149)</f>
        <v>6162.2169586894142</v>
      </c>
      <c r="H150" s="233"/>
      <c r="I150" s="233"/>
      <c r="J150" s="68" cm="1">
        <f t="array" ref="J150">Lininterp($A$55:$A$71,$G$55:$G$71,N149)</f>
        <v>6067.4361793698108</v>
      </c>
      <c r="K150" s="68">
        <f t="shared" si="19"/>
        <v>1.8988572732866549E-3</v>
      </c>
      <c r="L150" s="68">
        <f t="shared" ref="L150" si="150">L149+K150</f>
        <v>5.0953158682012196</v>
      </c>
      <c r="M150" s="68"/>
      <c r="N150" s="68">
        <f t="shared" si="23"/>
        <v>9.9130658914420611</v>
      </c>
      <c r="O150" s="68">
        <f t="shared" si="91"/>
        <v>253.50490230239473</v>
      </c>
      <c r="P150" s="164">
        <f t="shared" si="20"/>
        <v>589.04367344760806</v>
      </c>
      <c r="Q150" s="233" cm="1">
        <f t="array" ref="Q150">Lininterp($A$55:$A$71,$Z$55:$Z$71,V149)</f>
        <v>2121.1298692882219</v>
      </c>
      <c r="R150" s="68" cm="1">
        <f t="array" ref="R150">Lininterp($A$55:$A$71,$Y$55:$Y$71,V149)</f>
        <v>2107.2654854661987</v>
      </c>
      <c r="S150" s="69">
        <f t="shared" si="21"/>
        <v>8.7455399091084267E-4</v>
      </c>
      <c r="T150" s="68">
        <f t="shared" ref="T150" si="151">T149+S150</f>
        <v>4.3859505534285637</v>
      </c>
      <c r="U150" s="68"/>
      <c r="V150" s="68">
        <f t="shared" si="24"/>
        <v>8.532977730405765</v>
      </c>
      <c r="W150" s="68">
        <f t="shared" si="93"/>
        <v>223.17756838051574</v>
      </c>
      <c r="X150" s="164">
        <f t="shared" si="22"/>
        <v>138.61771273793255</v>
      </c>
    </row>
    <row r="151" spans="1:24" x14ac:dyDescent="0.2">
      <c r="A151" s="227">
        <f t="shared" si="45"/>
        <v>63</v>
      </c>
      <c r="B151" s="227"/>
      <c r="C151" s="227"/>
      <c r="D151" s="227"/>
      <c r="E151" s="227"/>
      <c r="F151" s="227"/>
      <c r="G151" s="93" cm="1">
        <f t="array" ref="G151">Lininterp($A$55:$A$71,$N$55:$N$71,N150)</f>
        <v>6159.4032188837346</v>
      </c>
      <c r="H151" s="233"/>
      <c r="I151" s="233"/>
      <c r="J151" s="68" cm="1">
        <f t="array" ref="J151">Lininterp($A$55:$A$71,$G$55:$G$71,N150)</f>
        <v>6073.6551216535654</v>
      </c>
      <c r="K151" s="68">
        <f t="shared" si="19"/>
        <v>1.7178946962121185E-3</v>
      </c>
      <c r="L151" s="68">
        <f t="shared" ref="L151" si="152">L150+K151</f>
        <v>5.097033762897432</v>
      </c>
      <c r="M151" s="68"/>
      <c r="N151" s="68">
        <f t="shared" si="23"/>
        <v>9.9164080990222416</v>
      </c>
      <c r="O151" s="68">
        <f t="shared" si="91"/>
        <v>258.60193606529214</v>
      </c>
      <c r="P151" s="164">
        <f t="shared" si="20"/>
        <v>589.44093462359501</v>
      </c>
      <c r="Q151" s="233" cm="1">
        <f t="array" ref="Q151">Lininterp($A$55:$A$71,$Z$55:$Z$71,V150)</f>
        <v>2120.7487163069522</v>
      </c>
      <c r="R151" s="68" cm="1">
        <f t="array" ref="R151">Lininterp($A$55:$A$71,$Y$55:$Y$71,V150)</f>
        <v>2108.384536258975</v>
      </c>
      <c r="S151" s="69">
        <f t="shared" si="21"/>
        <v>7.7992236395838259E-4</v>
      </c>
      <c r="T151" s="68">
        <f t="shared" ref="T151" si="153">T150+S151</f>
        <v>4.3867304757925218</v>
      </c>
      <c r="U151" s="68"/>
      <c r="V151" s="68">
        <f t="shared" si="24"/>
        <v>8.5344950890905089</v>
      </c>
      <c r="W151" s="68">
        <f t="shared" si="93"/>
        <v>227.56429885630826</v>
      </c>
      <c r="X151" s="164">
        <f t="shared" si="22"/>
        <v>138.66701592327288</v>
      </c>
    </row>
    <row r="152" spans="1:24" x14ac:dyDescent="0.2">
      <c r="A152" s="227">
        <f t="shared" si="45"/>
        <v>64</v>
      </c>
      <c r="B152" s="227"/>
      <c r="C152" s="227"/>
      <c r="D152" s="227"/>
      <c r="E152" s="227"/>
      <c r="F152" s="227"/>
      <c r="G152" s="93" cm="1">
        <f t="array" ref="G152">Lininterp($A$55:$A$71,$N$55:$N$71,N151)</f>
        <v>6156.8576306730238</v>
      </c>
      <c r="H152" s="233"/>
      <c r="I152" s="233"/>
      <c r="J152" s="68" cm="1">
        <f t="array" ref="J152">Lininterp($A$55:$A$71,$G$55:$G$71,N151)</f>
        <v>6079.2813938940417</v>
      </c>
      <c r="K152" s="68">
        <f t="shared" ref="K152:K215" si="154">(G152-J152)/($B$8*1100)</f>
        <v>1.5541779936758828E-3</v>
      </c>
      <c r="L152" s="68">
        <f t="shared" ref="L152" si="155">L151+K152</f>
        <v>5.0985879408911083</v>
      </c>
      <c r="M152" s="68"/>
      <c r="N152" s="68">
        <f t="shared" si="23"/>
        <v>9.9194317916169421</v>
      </c>
      <c r="O152" s="68">
        <f t="shared" si="91"/>
        <v>263.70052400618323</v>
      </c>
      <c r="P152" s="164">
        <f t="shared" ref="P152:P215" si="156">0.5*$B$8*(L152)^2</f>
        <v>589.80045187968699</v>
      </c>
      <c r="Q152" s="233" cm="1">
        <f t="array" ref="Q152">Lininterp($A$55:$A$71,$Z$55:$Z$71,V151)</f>
        <v>2120.4088062073233</v>
      </c>
      <c r="R152" s="68" cm="1">
        <f t="array" ref="R152">Lininterp($A$55:$A$71,$Y$55:$Y$71,V151)</f>
        <v>2109.3824995051127</v>
      </c>
      <c r="S152" s="69">
        <f t="shared" ref="S152:S215" si="157">(Q152-R152)/($C$8*1100)</f>
        <v>6.955304076411554E-4</v>
      </c>
      <c r="T152" s="68">
        <f t="shared" ref="T152" si="158">T151+S152</f>
        <v>4.3874260062001627</v>
      </c>
      <c r="U152" s="68"/>
      <c r="V152" s="68">
        <f t="shared" si="24"/>
        <v>8.5358482610898108</v>
      </c>
      <c r="W152" s="68">
        <f t="shared" si="93"/>
        <v>231.95172486250843</v>
      </c>
      <c r="X152" s="164">
        <f t="shared" ref="X152:X215" si="159">0.5*$C$8*(T152)^2</f>
        <v>138.71099162346545</v>
      </c>
    </row>
    <row r="153" spans="1:24" x14ac:dyDescent="0.2">
      <c r="A153" s="227">
        <f t="shared" si="45"/>
        <v>65</v>
      </c>
      <c r="B153" s="227"/>
      <c r="C153" s="227"/>
      <c r="D153" s="227"/>
      <c r="E153" s="227"/>
      <c r="F153" s="227"/>
      <c r="G153" s="93" cm="1">
        <f t="array" ref="G153">Lininterp($A$55:$A$71,$N$55:$N$71,N152)</f>
        <v>6154.5546390014324</v>
      </c>
      <c r="H153" s="233"/>
      <c r="I153" s="233"/>
      <c r="J153" s="68" cm="1">
        <f t="array" ref="J153">Lininterp($A$55:$A$71,$G$55:$G$71,N152)</f>
        <v>6084.3714780079608</v>
      </c>
      <c r="K153" s="68">
        <f t="shared" si="154"/>
        <v>1.4060636204026029E-3</v>
      </c>
      <c r="L153" s="68">
        <f t="shared" ref="L153" si="160">L152+K153</f>
        <v>5.0999940045115109</v>
      </c>
      <c r="M153" s="68"/>
      <c r="N153" s="68">
        <f t="shared" ref="N153:N216" si="161">L153/0.514</f>
        <v>9.9221673239523547</v>
      </c>
      <c r="O153" s="68">
        <f t="shared" ref="O153:O184" si="162">O152+L153</f>
        <v>268.80051801069476</v>
      </c>
      <c r="P153" s="164">
        <f t="shared" si="156"/>
        <v>590.12580129722301</v>
      </c>
      <c r="Q153" s="233" cm="1">
        <f t="array" ref="Q153">Lininterp($A$55:$A$71,$Z$55:$Z$71,V152)</f>
        <v>2120.1056762791645</v>
      </c>
      <c r="R153" s="68" cm="1">
        <f t="array" ref="R153">Lininterp($A$55:$A$71,$Y$55:$Y$71,V152)</f>
        <v>2110.2724775535353</v>
      </c>
      <c r="S153" s="69">
        <f t="shared" si="157"/>
        <v>6.2027013239911307E-4</v>
      </c>
      <c r="T153" s="68">
        <f t="shared" ref="T153" si="163">T152+S153</f>
        <v>4.3880462763325614</v>
      </c>
      <c r="U153" s="68"/>
      <c r="V153" s="68">
        <f t="shared" ref="V153:V216" si="164">T153/0.514</f>
        <v>8.5370550123201578</v>
      </c>
      <c r="W153" s="68">
        <f t="shared" ref="W153:W184" si="165">W152+T153</f>
        <v>236.339771138841</v>
      </c>
      <c r="X153" s="164">
        <f t="shared" si="159"/>
        <v>138.75021478840421</v>
      </c>
    </row>
    <row r="154" spans="1:24" x14ac:dyDescent="0.2">
      <c r="A154" s="227">
        <f t="shared" si="45"/>
        <v>66</v>
      </c>
      <c r="B154" s="227"/>
      <c r="C154" s="227"/>
      <c r="D154" s="227"/>
      <c r="E154" s="227"/>
      <c r="F154" s="227"/>
      <c r="G154" s="93" cm="1">
        <f t="array" ref="G154">Lininterp($A$55:$A$71,$N$55:$N$71,N153)</f>
        <v>6152.4711242298372</v>
      </c>
      <c r="H154" s="233"/>
      <c r="I154" s="233"/>
      <c r="J154" s="68" cm="1">
        <f t="array" ref="J154">Lininterp($A$55:$A$71,$G$55:$G$71,N153)</f>
        <v>6088.9764731413943</v>
      </c>
      <c r="K154" s="68">
        <f t="shared" si="154"/>
        <v>1.2720646622616592E-3</v>
      </c>
      <c r="L154" s="68">
        <f t="shared" ref="L154" si="166">L153+K154</f>
        <v>5.1012660691737723</v>
      </c>
      <c r="M154" s="68"/>
      <c r="N154" s="68">
        <f t="shared" si="161"/>
        <v>9.9246421579256268</v>
      </c>
      <c r="O154" s="68">
        <f t="shared" si="162"/>
        <v>273.90178407986855</v>
      </c>
      <c r="P154" s="164">
        <f t="shared" si="156"/>
        <v>590.42022195587799</v>
      </c>
      <c r="Q154" s="233" cm="1">
        <f t="array" ref="Q154">Lininterp($A$55:$A$71,$Z$55:$Z$71,V153)</f>
        <v>2119.8353467024735</v>
      </c>
      <c r="R154" s="68" cm="1">
        <f t="array" ref="R154">Lininterp($A$55:$A$71,$Y$55:$Y$71,V153)</f>
        <v>2111.0661550058253</v>
      </c>
      <c r="S154" s="69">
        <f t="shared" si="157"/>
        <v>5.5315343933162947E-4</v>
      </c>
      <c r="T154" s="68">
        <f t="shared" ref="T154" si="167">T153+S154</f>
        <v>4.3885994297718929</v>
      </c>
      <c r="U154" s="68"/>
      <c r="V154" s="68">
        <f t="shared" si="164"/>
        <v>8.5381311863266394</v>
      </c>
      <c r="W154" s="68">
        <f t="shared" si="165"/>
        <v>240.72837056861289</v>
      </c>
      <c r="X154" s="164">
        <f t="shared" si="159"/>
        <v>138.78519846506347</v>
      </c>
    </row>
    <row r="155" spans="1:24" x14ac:dyDescent="0.2">
      <c r="A155" s="227">
        <f t="shared" si="45"/>
        <v>67</v>
      </c>
      <c r="B155" s="227"/>
      <c r="C155" s="227"/>
      <c r="D155" s="227"/>
      <c r="E155" s="227"/>
      <c r="F155" s="227"/>
      <c r="G155" s="93" cm="1">
        <f t="array" ref="G155">Lininterp($A$55:$A$71,$N$55:$N$71,N154)</f>
        <v>6150.586170038725</v>
      </c>
      <c r="H155" s="233"/>
      <c r="I155" s="233"/>
      <c r="J155" s="68" cm="1">
        <f t="array" ref="J155">Lininterp($A$55:$A$71,$G$55:$G$71,N154)</f>
        <v>6093.1426086520005</v>
      </c>
      <c r="K155" s="68">
        <f t="shared" si="154"/>
        <v>1.1508359091969387E-3</v>
      </c>
      <c r="L155" s="68">
        <f t="shared" ref="L155" si="168">L154+K155</f>
        <v>5.1024169050829693</v>
      </c>
      <c r="M155" s="68"/>
      <c r="N155" s="68">
        <f t="shared" si="161"/>
        <v>9.9268811382937141</v>
      </c>
      <c r="O155" s="68">
        <f t="shared" si="162"/>
        <v>279.00420098495152</v>
      </c>
      <c r="P155" s="164">
        <f t="shared" si="156"/>
        <v>590.68664736010635</v>
      </c>
      <c r="Q155" s="233" cm="1">
        <f t="array" ref="Q155">Lininterp($A$55:$A$71,$Z$55:$Z$71,V154)</f>
        <v>2119.594268296004</v>
      </c>
      <c r="R155" s="68" cm="1">
        <f t="array" ref="R155">Lininterp($A$55:$A$71,$Y$55:$Y$71,V154)</f>
        <v>2111.7739521244071</v>
      </c>
      <c r="S155" s="69">
        <f t="shared" si="157"/>
        <v>4.9329914735847438E-4</v>
      </c>
      <c r="T155" s="68">
        <f t="shared" ref="T155" si="169">T154+S155</f>
        <v>4.389092728919251</v>
      </c>
      <c r="U155" s="68"/>
      <c r="V155" s="68">
        <f t="shared" si="164"/>
        <v>8.5390909122942631</v>
      </c>
      <c r="W155" s="68">
        <f t="shared" si="165"/>
        <v>245.11746329753214</v>
      </c>
      <c r="X155" s="164">
        <f t="shared" si="159"/>
        <v>138.81640043230794</v>
      </c>
    </row>
    <row r="156" spans="1:24" x14ac:dyDescent="0.2">
      <c r="A156" s="227">
        <f t="shared" si="45"/>
        <v>68</v>
      </c>
      <c r="B156" s="227"/>
      <c r="C156" s="227"/>
      <c r="D156" s="227"/>
      <c r="E156" s="227"/>
      <c r="F156" s="227"/>
      <c r="G156" s="93" cm="1">
        <f t="array" ref="G156">Lininterp($A$55:$A$71,$N$55:$N$71,N155)</f>
        <v>6148.8808534501277</v>
      </c>
      <c r="H156" s="233"/>
      <c r="I156" s="233"/>
      <c r="J156" s="68" cm="1">
        <f t="array" ref="J156">Lininterp($A$55:$A$71,$G$55:$G$71,N155)</f>
        <v>6096.9117082036382</v>
      </c>
      <c r="K156" s="68">
        <f t="shared" si="154"/>
        <v>1.0411603507186693E-3</v>
      </c>
      <c r="L156" s="68">
        <f t="shared" ref="L156" si="170">L155+K156</f>
        <v>5.1034580654336876</v>
      </c>
      <c r="M156" s="68"/>
      <c r="N156" s="68">
        <f t="shared" si="161"/>
        <v>9.9289067420888859</v>
      </c>
      <c r="O156" s="68">
        <f t="shared" si="162"/>
        <v>284.10765905038522</v>
      </c>
      <c r="P156" s="164">
        <f t="shared" si="156"/>
        <v>590.92773399588361</v>
      </c>
      <c r="Q156" s="233" cm="1">
        <f t="array" ref="Q156">Lininterp($A$55:$A$71,$Z$55:$Z$71,V155)</f>
        <v>2119.379275919744</v>
      </c>
      <c r="R156" s="68" cm="1">
        <f t="array" ref="R156">Lininterp($A$55:$A$71,$Y$55:$Y$71,V155)</f>
        <v>2112.4051616411034</v>
      </c>
      <c r="S156" s="69">
        <f t="shared" si="157"/>
        <v>4.3992142411442502E-4</v>
      </c>
      <c r="T156" s="68">
        <f t="shared" ref="T156" si="171">T155+S156</f>
        <v>4.3895326503433658</v>
      </c>
      <c r="U156" s="68"/>
      <c r="V156" s="68">
        <f t="shared" si="164"/>
        <v>8.539946790551296</v>
      </c>
      <c r="W156" s="68">
        <f t="shared" si="165"/>
        <v>249.50699594787551</v>
      </c>
      <c r="X156" s="164">
        <f t="shared" si="159"/>
        <v>138.84422913076452</v>
      </c>
    </row>
    <row r="157" spans="1:24" x14ac:dyDescent="0.2">
      <c r="A157" s="227">
        <f t="shared" si="45"/>
        <v>69</v>
      </c>
      <c r="B157" s="227"/>
      <c r="C157" s="227"/>
      <c r="D157" s="227"/>
      <c r="E157" s="227"/>
      <c r="F157" s="227"/>
      <c r="G157" s="93" cm="1">
        <f t="array" ref="G157">Lininterp($A$55:$A$71,$N$55:$N$71,N156)</f>
        <v>6147.3380548606146</v>
      </c>
      <c r="H157" s="233"/>
      <c r="I157" s="233"/>
      <c r="J157" s="68" cm="1">
        <f t="array" ref="J157">Lininterp($A$55:$A$71,$G$55:$G$71,N156)</f>
        <v>6100.3216096324304</v>
      </c>
      <c r="K157" s="68">
        <f t="shared" si="154"/>
        <v>9.4193695838451594E-4</v>
      </c>
      <c r="L157" s="68">
        <f t="shared" ref="L157" si="172">L156+K157</f>
        <v>5.1044000023920724</v>
      </c>
      <c r="M157" s="68"/>
      <c r="N157" s="68">
        <f t="shared" si="161"/>
        <v>9.9307393042647316</v>
      </c>
      <c r="O157" s="68">
        <f t="shared" si="162"/>
        <v>289.21205905277731</v>
      </c>
      <c r="P157" s="164">
        <f t="shared" si="156"/>
        <v>591.14588726849422</v>
      </c>
      <c r="Q157" s="233" cm="1">
        <f t="array" ref="Q157">Lininterp($A$55:$A$71,$Z$55:$Z$71,V156)</f>
        <v>2119.1875469195129</v>
      </c>
      <c r="R157" s="68" cm="1">
        <f t="array" ref="R157">Lininterp($A$55:$A$71,$Y$55:$Y$71,V156)</f>
        <v>2112.968070762246</v>
      </c>
      <c r="S157" s="69">
        <f t="shared" si="157"/>
        <v>3.9231946868582921E-4</v>
      </c>
      <c r="T157" s="68">
        <f t="shared" ref="T157" si="173">T156+S157</f>
        <v>4.3899249698120517</v>
      </c>
      <c r="U157" s="68"/>
      <c r="V157" s="68">
        <f t="shared" si="164"/>
        <v>8.5407100580000996</v>
      </c>
      <c r="W157" s="68">
        <f t="shared" si="165"/>
        <v>253.89692091768757</v>
      </c>
      <c r="X157" s="164">
        <f t="shared" si="159"/>
        <v>138.86904896137463</v>
      </c>
    </row>
    <row r="158" spans="1:24" x14ac:dyDescent="0.2">
      <c r="A158" s="227">
        <f t="shared" si="45"/>
        <v>70</v>
      </c>
      <c r="B158" s="227"/>
      <c r="C158" s="227"/>
      <c r="D158" s="227"/>
      <c r="E158" s="227"/>
      <c r="F158" s="227"/>
      <c r="G158" s="93" cm="1">
        <f t="array" ref="G158">Lininterp($A$55:$A$71,$N$55:$N$71,N157)</f>
        <v>6145.942286178295</v>
      </c>
      <c r="H158" s="233"/>
      <c r="I158" s="233"/>
      <c r="J158" s="68" cm="1">
        <f t="array" ref="J158">Lininterp($A$55:$A$71,$G$55:$G$71,N157)</f>
        <v>6103.4065447992489</v>
      </c>
      <c r="K158" s="68">
        <f t="shared" si="154"/>
        <v>8.5216963262019186E-4</v>
      </c>
      <c r="L158" s="68">
        <f t="shared" ref="L158" si="174">L157+K158</f>
        <v>5.1052521720246924</v>
      </c>
      <c r="M158" s="68"/>
      <c r="N158" s="68">
        <f t="shared" si="161"/>
        <v>9.9323972218379222</v>
      </c>
      <c r="O158" s="68">
        <f t="shared" si="162"/>
        <v>294.31731122480198</v>
      </c>
      <c r="P158" s="164">
        <f t="shared" si="156"/>
        <v>591.34328505234009</v>
      </c>
      <c r="Q158" s="233" cm="1">
        <f t="array" ref="Q158">Lininterp($A$55:$A$71,$Z$55:$Z$71,V157)</f>
        <v>2119.016564068078</v>
      </c>
      <c r="R158" s="68" cm="1">
        <f t="array" ref="R158">Lininterp($A$55:$A$71,$Y$55:$Y$71,V157)</f>
        <v>2113.4700699721479</v>
      </c>
      <c r="S158" s="69">
        <f t="shared" si="157"/>
        <v>3.4986831073255517E-4</v>
      </c>
      <c r="T158" s="68">
        <f t="shared" ref="T158" si="175">T157+S158</f>
        <v>4.3902748381227843</v>
      </c>
      <c r="U158" s="68"/>
      <c r="V158" s="68">
        <f t="shared" si="164"/>
        <v>8.5413907356474397</v>
      </c>
      <c r="W158" s="68">
        <f t="shared" si="165"/>
        <v>258.28719575581033</v>
      </c>
      <c r="X158" s="164">
        <f t="shared" si="159"/>
        <v>138.89118501882729</v>
      </c>
    </row>
    <row r="159" spans="1:24" x14ac:dyDescent="0.2">
      <c r="A159" s="227">
        <f t="shared" si="45"/>
        <v>71</v>
      </c>
      <c r="B159" s="227"/>
      <c r="C159" s="227"/>
      <c r="D159" s="227"/>
      <c r="E159" s="227"/>
      <c r="F159" s="227"/>
      <c r="G159" s="93" cm="1">
        <f t="array" ref="G159">Lininterp($A$55:$A$71,$N$55:$N$71,N158)</f>
        <v>6144.6795353384996</v>
      </c>
      <c r="H159" s="233"/>
      <c r="I159" s="233"/>
      <c r="J159" s="68" cm="1">
        <f t="array" ref="J159">Lininterp($A$55:$A$71,$G$55:$G$71,N158)</f>
        <v>6106.1974832419583</v>
      </c>
      <c r="K159" s="68">
        <f t="shared" si="154"/>
        <v>7.7095720291677416E-4</v>
      </c>
      <c r="L159" s="68">
        <f t="shared" ref="L159" si="176">L158+K159</f>
        <v>5.1060231292276095</v>
      </c>
      <c r="M159" s="68"/>
      <c r="N159" s="68">
        <f t="shared" si="161"/>
        <v>9.9338971385751158</v>
      </c>
      <c r="O159" s="68">
        <f t="shared" si="162"/>
        <v>299.42333435402958</v>
      </c>
      <c r="P159" s="164">
        <f t="shared" si="156"/>
        <v>591.52189906511967</v>
      </c>
      <c r="Q159" s="233" cm="1">
        <f t="array" ref="Q159">Lininterp($A$55:$A$71,$Z$55:$Z$71,V158)</f>
        <v>2118.8640825162547</v>
      </c>
      <c r="R159" s="68" cm="1">
        <f t="array" ref="R159">Lininterp($A$55:$A$71,$Y$55:$Y$71,V158)</f>
        <v>2113.9177500634423</v>
      </c>
      <c r="S159" s="69">
        <f t="shared" si="157"/>
        <v>3.1201060519598484E-4</v>
      </c>
      <c r="T159" s="68">
        <f t="shared" ref="T159" si="177">T158+S159</f>
        <v>4.3905868487279802</v>
      </c>
      <c r="U159" s="68"/>
      <c r="V159" s="68">
        <f t="shared" si="164"/>
        <v>8.5419977601711672</v>
      </c>
      <c r="W159" s="68">
        <f t="shared" si="165"/>
        <v>262.67778260453832</v>
      </c>
      <c r="X159" s="164">
        <f t="shared" si="159"/>
        <v>138.91092731933878</v>
      </c>
    </row>
    <row r="160" spans="1:24" x14ac:dyDescent="0.2">
      <c r="A160" s="227">
        <f t="shared" si="45"/>
        <v>72</v>
      </c>
      <c r="B160" s="227"/>
      <c r="C160" s="227"/>
      <c r="D160" s="227"/>
      <c r="E160" s="227"/>
      <c r="F160" s="227"/>
      <c r="G160" s="93" cm="1">
        <f t="array" ref="G160">Lininterp($A$55:$A$71,$N$55:$N$71,N159)</f>
        <v>6143.5371256372318</v>
      </c>
      <c r="H160" s="233"/>
      <c r="I160" s="233"/>
      <c r="J160" s="68" cm="1">
        <f t="array" ref="J160">Lininterp($A$55:$A$71,$G$55:$G$71,N159)</f>
        <v>6108.7224430773495</v>
      </c>
      <c r="K160" s="68">
        <f t="shared" si="154"/>
        <v>6.9748438101653848E-4</v>
      </c>
      <c r="L160" s="68">
        <f t="shared" ref="L160" si="178">L159+K160</f>
        <v>5.1067206136086263</v>
      </c>
      <c r="M160" s="68"/>
      <c r="N160" s="68">
        <f t="shared" si="161"/>
        <v>9.9352541120790399</v>
      </c>
      <c r="O160" s="68">
        <f t="shared" si="162"/>
        <v>304.53005496763819</v>
      </c>
      <c r="P160" s="164">
        <f t="shared" si="156"/>
        <v>591.68351426124354</v>
      </c>
      <c r="Q160" s="233" cm="1">
        <f t="array" ref="Q160">Lininterp($A$55:$A$71,$Z$55:$Z$71,V159)</f>
        <v>2118.7281003200792</v>
      </c>
      <c r="R160" s="68" cm="1">
        <f t="array" ref="R160">Lininterp($A$55:$A$71,$Y$55:$Y$71,V159)</f>
        <v>2114.3169886681803</v>
      </c>
      <c r="S160" s="69">
        <f t="shared" si="157"/>
        <v>2.782493148663068E-4</v>
      </c>
      <c r="T160" s="68">
        <f t="shared" ref="T160" si="179">T159+S160</f>
        <v>4.3908650980428465</v>
      </c>
      <c r="U160" s="68"/>
      <c r="V160" s="68">
        <f t="shared" si="164"/>
        <v>8.5425391012506733</v>
      </c>
      <c r="W160" s="68">
        <f t="shared" si="165"/>
        <v>267.06864770258119</v>
      </c>
      <c r="X160" s="164">
        <f t="shared" si="159"/>
        <v>138.92853457615834</v>
      </c>
    </row>
    <row r="161" spans="1:24" x14ac:dyDescent="0.2">
      <c r="A161" s="227">
        <f t="shared" si="45"/>
        <v>73</v>
      </c>
      <c r="B161" s="227"/>
      <c r="C161" s="227"/>
      <c r="D161" s="227"/>
      <c r="E161" s="227"/>
      <c r="F161" s="227"/>
      <c r="G161" s="93" cm="1">
        <f t="array" ref="G161">Lininterp($A$55:$A$71,$N$55:$N$71,N160)</f>
        <v>6142.5035884702647</v>
      </c>
      <c r="H161" s="233"/>
      <c r="I161" s="233"/>
      <c r="J161" s="68" cm="1">
        <f t="array" ref="J161">Lininterp($A$55:$A$71,$G$55:$G$71,N160)</f>
        <v>6111.0067722738559</v>
      </c>
      <c r="K161" s="68">
        <f t="shared" si="154"/>
        <v>6.3101357626792458E-4</v>
      </c>
      <c r="L161" s="68">
        <f t="shared" ref="L161" si="180">L160+K161</f>
        <v>5.1073516271848938</v>
      </c>
      <c r="M161" s="68"/>
      <c r="N161" s="68">
        <f t="shared" si="161"/>
        <v>9.9364817649511554</v>
      </c>
      <c r="O161" s="68">
        <f t="shared" si="162"/>
        <v>309.63740659482306</v>
      </c>
      <c r="P161" s="164">
        <f t="shared" si="156"/>
        <v>591.82974642305487</v>
      </c>
      <c r="Q161" s="233" cm="1">
        <f t="array" ref="Q161">Lininterp($A$55:$A$71,$Z$55:$Z$71,V160)</f>
        <v>2118.6068321571074</v>
      </c>
      <c r="R161" s="68" cm="1">
        <f t="array" ref="R161">Lininterp($A$55:$A$71,$Y$55:$Y$71,V160)</f>
        <v>2114.6730274257943</v>
      </c>
      <c r="S161" s="69">
        <f t="shared" si="157"/>
        <v>2.4814118473616978E-4</v>
      </c>
      <c r="T161" s="68">
        <f t="shared" ref="T161" si="181">T160+S161</f>
        <v>4.3911132392275825</v>
      </c>
      <c r="U161" s="68"/>
      <c r="V161" s="68">
        <f t="shared" si="164"/>
        <v>8.5430218662015225</v>
      </c>
      <c r="W161" s="68">
        <f t="shared" si="165"/>
        <v>271.45976094180878</v>
      </c>
      <c r="X161" s="164">
        <f t="shared" si="159"/>
        <v>138.94423757067352</v>
      </c>
    </row>
    <row r="162" spans="1:24" x14ac:dyDescent="0.2">
      <c r="A162" s="227">
        <f t="shared" si="45"/>
        <v>74</v>
      </c>
      <c r="B162" s="227"/>
      <c r="C162" s="227"/>
      <c r="D162" s="227"/>
      <c r="E162" s="227"/>
      <c r="F162" s="227"/>
      <c r="G162" s="93" cm="1">
        <f t="array" ref="G162">Lininterp($A$55:$A$71,$N$55:$N$71,N161)</f>
        <v>6141.5685482002846</v>
      </c>
      <c r="H162" s="233"/>
      <c r="I162" s="233"/>
      <c r="J162" s="68" cm="1">
        <f t="array" ref="J162">Lininterp($A$55:$A$71,$G$55:$G$71,N161)</f>
        <v>6113.0734031187749</v>
      </c>
      <c r="K162" s="68">
        <f t="shared" si="154"/>
        <v>5.7087749098294214E-4</v>
      </c>
      <c r="L162" s="68">
        <f t="shared" ref="L162" si="182">L161+K162</f>
        <v>5.1079225046758765</v>
      </c>
      <c r="M162" s="68"/>
      <c r="N162" s="68">
        <f t="shared" si="161"/>
        <v>9.9375924215483984</v>
      </c>
      <c r="O162" s="68">
        <f t="shared" si="162"/>
        <v>314.74532909949892</v>
      </c>
      <c r="P162" s="164">
        <f t="shared" si="156"/>
        <v>591.9620581132524</v>
      </c>
      <c r="Q162" s="233" cm="1">
        <f t="array" ref="Q162">Lininterp($A$55:$A$71,$Z$55:$Z$71,V161)</f>
        <v>2118.498685886756</v>
      </c>
      <c r="R162" s="68" cm="1">
        <f t="array" ref="R162">Lininterp($A$55:$A$71,$Y$55:$Y$71,V161)</f>
        <v>2114.9905408010527</v>
      </c>
      <c r="S162" s="69">
        <f t="shared" si="157"/>
        <v>2.2129092246584608E-4</v>
      </c>
      <c r="T162" s="68">
        <f t="shared" ref="T162" si="183">T161+S162</f>
        <v>4.3913345301500479</v>
      </c>
      <c r="U162" s="68"/>
      <c r="V162" s="68">
        <f t="shared" si="164"/>
        <v>8.54345239328803</v>
      </c>
      <c r="W162" s="68">
        <f t="shared" si="165"/>
        <v>275.85109547195884</v>
      </c>
      <c r="X162" s="164">
        <f t="shared" si="159"/>
        <v>138.95824216202922</v>
      </c>
    </row>
    <row r="163" spans="1:24" x14ac:dyDescent="0.2">
      <c r="A163" s="227">
        <f t="shared" ref="A163:A173" si="184">A162+1</f>
        <v>75</v>
      </c>
      <c r="B163" s="227"/>
      <c r="C163" s="227"/>
      <c r="D163" s="227"/>
      <c r="E163" s="227"/>
      <c r="F163" s="227"/>
      <c r="G163" s="93" cm="1">
        <f t="array" ref="G163">Lininterp($A$55:$A$71,$N$55:$N$71,N162)</f>
        <v>6140.7226179962909</v>
      </c>
      <c r="H163" s="233"/>
      <c r="I163" s="233"/>
      <c r="J163" s="68" cm="1">
        <f t="array" ref="J163">Lininterp($A$55:$A$71,$G$55:$G$71,N162)</f>
        <v>6114.9430824345736</v>
      </c>
      <c r="K163" s="68">
        <f t="shared" si="154"/>
        <v>5.1647242146271447E-4</v>
      </c>
      <c r="L163" s="68">
        <f t="shared" ref="L163" si="185">L162+K163</f>
        <v>5.1084389770973395</v>
      </c>
      <c r="M163" s="68"/>
      <c r="N163" s="68">
        <f t="shared" si="161"/>
        <v>9.9385972317068862</v>
      </c>
      <c r="O163" s="68">
        <f t="shared" si="162"/>
        <v>319.85376807659628</v>
      </c>
      <c r="P163" s="164">
        <f t="shared" si="156"/>
        <v>592.08177313785734</v>
      </c>
      <c r="Q163" s="233" cm="1">
        <f t="array" ref="Q163">Lininterp($A$55:$A$71,$Z$55:$Z$71,V162)</f>
        <v>2118.402241646947</v>
      </c>
      <c r="R163" s="68" cm="1">
        <f t="array" ref="R163">Lininterp($A$55:$A$71,$Y$55:$Y$71,V162)</f>
        <v>2115.2736974555219</v>
      </c>
      <c r="S163" s="69">
        <f t="shared" si="157"/>
        <v>1.9734600855507125E-4</v>
      </c>
      <c r="T163" s="68">
        <f t="shared" ref="T163" si="186">T162+S163</f>
        <v>4.3915318761586031</v>
      </c>
      <c r="U163" s="68"/>
      <c r="V163" s="68">
        <f t="shared" si="164"/>
        <v>8.5438363349389164</v>
      </c>
      <c r="W163" s="68">
        <f t="shared" si="165"/>
        <v>280.24262734811742</v>
      </c>
      <c r="X163" s="164">
        <f t="shared" si="159"/>
        <v>138.97073197370173</v>
      </c>
    </row>
    <row r="164" spans="1:24" x14ac:dyDescent="0.2">
      <c r="A164" s="227">
        <f t="shared" si="184"/>
        <v>76</v>
      </c>
      <c r="B164" s="227"/>
      <c r="C164" s="227"/>
      <c r="D164" s="227"/>
      <c r="E164" s="227"/>
      <c r="F164" s="227"/>
      <c r="G164" s="93" cm="1">
        <f t="array" ref="G164">Lininterp($A$55:$A$71,$N$55:$N$71,N163)</f>
        <v>6139.9573055995934</v>
      </c>
      <c r="H164" s="233"/>
      <c r="I164" s="233"/>
      <c r="J164" s="68" cm="1">
        <f t="array" ref="J164">Lininterp($A$55:$A$71,$G$55:$G$71,N163)</f>
        <v>6116.6345798553721</v>
      </c>
      <c r="K164" s="68">
        <f t="shared" si="154"/>
        <v>4.6725219744130986E-4</v>
      </c>
      <c r="L164" s="68">
        <f t="shared" ref="L164" si="187">L163+K164</f>
        <v>5.1089062292947807</v>
      </c>
      <c r="M164" s="68"/>
      <c r="N164" s="68">
        <f t="shared" si="161"/>
        <v>9.939506282674671</v>
      </c>
      <c r="O164" s="68">
        <f t="shared" si="162"/>
        <v>324.96267430589108</v>
      </c>
      <c r="P164" s="164">
        <f t="shared" si="156"/>
        <v>592.19008965607668</v>
      </c>
      <c r="Q164" s="233" cm="1">
        <f t="array" ref="Q164">Lininterp($A$55:$A$71,$Z$55:$Z$71,V163)</f>
        <v>2118.3162332126085</v>
      </c>
      <c r="R164" s="68" cm="1">
        <f t="array" ref="R164">Lininterp($A$55:$A$71,$Y$55:$Y$71,V163)</f>
        <v>2115.5262149783052</v>
      </c>
      <c r="S164" s="69">
        <f t="shared" si="157"/>
        <v>1.7599206808224872E-4</v>
      </c>
      <c r="T164" s="68">
        <f t="shared" ref="T164" si="188">T163+S164</f>
        <v>4.3917078682266855</v>
      </c>
      <c r="U164" s="68"/>
      <c r="V164" s="68">
        <f t="shared" si="164"/>
        <v>8.5441787319585316</v>
      </c>
      <c r="W164" s="68">
        <f t="shared" si="165"/>
        <v>284.63433521634408</v>
      </c>
      <c r="X164" s="164">
        <f t="shared" si="159"/>
        <v>138.98187079144861</v>
      </c>
    </row>
    <row r="165" spans="1:24" x14ac:dyDescent="0.2">
      <c r="A165" s="227">
        <f t="shared" si="184"/>
        <v>77</v>
      </c>
      <c r="B165" s="227"/>
      <c r="C165" s="227"/>
      <c r="D165" s="227"/>
      <c r="E165" s="227"/>
      <c r="F165" s="227"/>
      <c r="G165" s="93" cm="1">
        <f t="array" ref="G165">Lininterp($A$55:$A$71,$N$55:$N$71,N164)</f>
        <v>6139.2649280703663</v>
      </c>
      <c r="H165" s="233"/>
      <c r="I165" s="233"/>
      <c r="J165" s="68" cm="1">
        <f t="array" ref="J165">Lininterp($A$55:$A$71,$G$55:$G$71,N164)</f>
        <v>6118.164876254541</v>
      </c>
      <c r="K165" s="68">
        <f t="shared" si="154"/>
        <v>4.2272269910444084E-4</v>
      </c>
      <c r="L165" s="68">
        <f t="shared" ref="L165" si="189">L164+K165</f>
        <v>5.1093289519938851</v>
      </c>
      <c r="M165" s="68"/>
      <c r="N165" s="68">
        <f t="shared" si="161"/>
        <v>9.9403287003772078</v>
      </c>
      <c r="O165" s="68">
        <f t="shared" si="162"/>
        <v>330.07200325788494</v>
      </c>
      <c r="P165" s="164">
        <f t="shared" si="156"/>
        <v>592.28809206143649</v>
      </c>
      <c r="Q165" s="233" cm="1">
        <f t="array" ref="Q165">Lininterp($A$55:$A$71,$Z$55:$Z$71,V164)</f>
        <v>2118.2395313712968</v>
      </c>
      <c r="R165" s="68" cm="1">
        <f t="array" ref="R165">Lininterp($A$55:$A$71,$Y$55:$Y$71,V164)</f>
        <v>2115.7514086945957</v>
      </c>
      <c r="S165" s="69">
        <f t="shared" si="157"/>
        <v>1.5694874324874024E-4</v>
      </c>
      <c r="T165" s="68">
        <f t="shared" ref="T165" si="190">T164+S165</f>
        <v>4.3918648169699344</v>
      </c>
      <c r="U165" s="68"/>
      <c r="V165" s="68">
        <f t="shared" si="164"/>
        <v>8.5444840797080435</v>
      </c>
      <c r="W165" s="68">
        <f t="shared" si="165"/>
        <v>289.02620003331401</v>
      </c>
      <c r="X165" s="164">
        <f t="shared" si="159"/>
        <v>138.99180470343973</v>
      </c>
    </row>
    <row r="166" spans="1:24" x14ac:dyDescent="0.2">
      <c r="A166" s="227">
        <f t="shared" si="184"/>
        <v>78</v>
      </c>
      <c r="B166" s="227"/>
      <c r="C166" s="227"/>
      <c r="D166" s="227"/>
      <c r="E166" s="227"/>
      <c r="F166" s="227"/>
      <c r="G166" s="93" cm="1">
        <f t="array" ref="G166">Lininterp($A$55:$A$71,$N$55:$N$71,N165)</f>
        <v>6138.6385346589359</v>
      </c>
      <c r="H166" s="233"/>
      <c r="I166" s="233"/>
      <c r="J166" s="68" cm="1">
        <f t="array" ref="J166">Lininterp($A$55:$A$71,$G$55:$G$71,N165)</f>
        <v>6119.5493342149912</v>
      </c>
      <c r="K166" s="68">
        <f t="shared" si="154"/>
        <v>3.8243689664107036E-4</v>
      </c>
      <c r="L166" s="68">
        <f t="shared" ref="L166" si="191">L165+K166</f>
        <v>5.1097113888905259</v>
      </c>
      <c r="M166" s="68"/>
      <c r="N166" s="68">
        <f t="shared" si="161"/>
        <v>9.9410727410321513</v>
      </c>
      <c r="O166" s="68">
        <f t="shared" si="162"/>
        <v>335.18171464677545</v>
      </c>
      <c r="P166" s="164">
        <f t="shared" si="156"/>
        <v>592.37676174753278</v>
      </c>
      <c r="Q166" s="233" cm="1">
        <f t="array" ref="Q166">Lininterp($A$55:$A$71,$Z$55:$Z$71,V165)</f>
        <v>2118.1711290976605</v>
      </c>
      <c r="R166" s="68" cm="1">
        <f t="array" ref="R166">Lininterp($A$55:$A$71,$Y$55:$Y$71,V165)</f>
        <v>2115.9522351928836</v>
      </c>
      <c r="S166" s="69">
        <f t="shared" si="157"/>
        <v>1.3996601253550716E-4</v>
      </c>
      <c r="T166" s="68">
        <f t="shared" ref="T166" si="192">T165+S166</f>
        <v>4.39200478298247</v>
      </c>
      <c r="U166" s="68"/>
      <c r="V166" s="68">
        <f t="shared" si="164"/>
        <v>8.5447563871254282</v>
      </c>
      <c r="W166" s="68">
        <f t="shared" si="165"/>
        <v>293.41820481629651</v>
      </c>
      <c r="X166" s="164">
        <f t="shared" si="159"/>
        <v>139.0006640101287</v>
      </c>
    </row>
    <row r="167" spans="1:24" x14ac:dyDescent="0.2">
      <c r="A167" s="227">
        <f t="shared" si="184"/>
        <v>79</v>
      </c>
      <c r="B167" s="227"/>
      <c r="C167" s="227"/>
      <c r="D167" s="227"/>
      <c r="E167" s="227"/>
      <c r="F167" s="227"/>
      <c r="G167" s="93" cm="1">
        <f t="array" ref="G167">Lininterp($A$55:$A$71,$N$55:$N$71,N166)</f>
        <v>6138.0718370274826</v>
      </c>
      <c r="H167" s="233"/>
      <c r="I167" s="233"/>
      <c r="J167" s="68" cm="1">
        <f t="array" ref="J167">Lininterp($A$55:$A$71,$G$55:$G$71,N166)</f>
        <v>6120.801852253524</v>
      </c>
      <c r="K167" s="68">
        <f t="shared" si="154"/>
        <v>3.4599036252910993E-4</v>
      </c>
      <c r="L167" s="68">
        <f t="shared" ref="L167" si="193">L166+K167</f>
        <v>5.110057379253055</v>
      </c>
      <c r="M167" s="68"/>
      <c r="N167" s="68">
        <f t="shared" si="161"/>
        <v>9.941745874033181</v>
      </c>
      <c r="O167" s="68">
        <f t="shared" si="162"/>
        <v>340.29177202602853</v>
      </c>
      <c r="P167" s="164">
        <f t="shared" si="156"/>
        <v>592.45698686163234</v>
      </c>
      <c r="Q167" s="233" cm="1">
        <f t="array" ref="Q167">Lininterp($A$55:$A$71,$Z$55:$Z$71,V166)</f>
        <v>2118.1101283321177</v>
      </c>
      <c r="R167" s="68" cm="1">
        <f t="array" ref="R167">Lininterp($A$55:$A$71,$Y$55:$Y$71,V166)</f>
        <v>2116.1313311422678</v>
      </c>
      <c r="S167" s="69">
        <f t="shared" si="157"/>
        <v>1.2482090814865357E-4</v>
      </c>
      <c r="T167" s="68">
        <f t="shared" ref="T167" si="194">T166+S167</f>
        <v>4.392129603890619</v>
      </c>
      <c r="U167" s="68"/>
      <c r="V167" s="68">
        <f t="shared" si="164"/>
        <v>8.5449992293591812</v>
      </c>
      <c r="W167" s="68">
        <f t="shared" si="165"/>
        <v>297.81033442018713</v>
      </c>
      <c r="X167" s="164">
        <f t="shared" si="159"/>
        <v>139.00856492851054</v>
      </c>
    </row>
    <row r="168" spans="1:24" x14ac:dyDescent="0.2">
      <c r="A168" s="227">
        <f t="shared" si="184"/>
        <v>80</v>
      </c>
      <c r="B168" s="227"/>
      <c r="C168" s="227"/>
      <c r="D168" s="227"/>
      <c r="E168" s="227"/>
      <c r="F168" s="227"/>
      <c r="G168" s="93" cm="1">
        <f t="array" ref="G168">Lininterp($A$55:$A$71,$N$55:$N$71,N167)</f>
        <v>6137.5591461216809</v>
      </c>
      <c r="H168" s="233"/>
      <c r="I168" s="233"/>
      <c r="J168" s="68" cm="1">
        <f t="array" ref="J168">Lininterp($A$55:$A$71,$G$55:$G$71,N167)</f>
        <v>6121.9350043474569</v>
      </c>
      <c r="K168" s="68">
        <f t="shared" si="154"/>
        <v>3.1301721150451482E-4</v>
      </c>
      <c r="L168" s="68">
        <f t="shared" ref="L168" si="195">L167+K168</f>
        <v>5.1103703964645595</v>
      </c>
      <c r="M168" s="68"/>
      <c r="N168" s="68">
        <f t="shared" si="161"/>
        <v>9.9423548569349407</v>
      </c>
      <c r="O168" s="68">
        <f t="shared" si="162"/>
        <v>345.40214242249306</v>
      </c>
      <c r="P168" s="164">
        <f t="shared" si="156"/>
        <v>592.52957114006915</v>
      </c>
      <c r="Q168" s="233" cm="1">
        <f t="array" ref="Q168">Lininterp($A$55:$A$71,$Z$55:$Z$71,V167)</f>
        <v>2118.0557281901479</v>
      </c>
      <c r="R168" s="68" cm="1">
        <f t="array" ref="R168">Lininterp($A$55:$A$71,$Y$55:$Y$71,V167)</f>
        <v>2116.291047909524</v>
      </c>
      <c r="S168" s="69">
        <f t="shared" si="157"/>
        <v>1.1131458865483778E-4</v>
      </c>
      <c r="T168" s="68">
        <f t="shared" ref="T168" si="196">T167+S168</f>
        <v>4.3922409184792741</v>
      </c>
      <c r="U168" s="68"/>
      <c r="V168" s="68">
        <f t="shared" si="164"/>
        <v>8.545215794706758</v>
      </c>
      <c r="W168" s="68">
        <f t="shared" si="165"/>
        <v>302.20257533866641</v>
      </c>
      <c r="X168" s="164">
        <f t="shared" si="159"/>
        <v>139.0156111128008</v>
      </c>
    </row>
    <row r="169" spans="1:24" x14ac:dyDescent="0.2">
      <c r="A169" s="227">
        <f t="shared" si="184"/>
        <v>81</v>
      </c>
      <c r="B169" s="227"/>
      <c r="C169" s="227"/>
      <c r="D169" s="227"/>
      <c r="E169" s="227"/>
      <c r="F169" s="227"/>
      <c r="G169" s="93" cm="1">
        <f t="array" ref="G169">Lininterp($A$55:$A$71,$N$55:$N$71,N168)</f>
        <v>6137.0953150585128</v>
      </c>
      <c r="H169" s="233"/>
      <c r="I169" s="233"/>
      <c r="J169" s="68" cm="1">
        <f t="array" ref="J169">Lininterp($A$55:$A$71,$G$55:$G$71,N168)</f>
        <v>6122.9601661642791</v>
      </c>
      <c r="K169" s="68">
        <f t="shared" si="154"/>
        <v>2.8318642745379935E-4</v>
      </c>
      <c r="L169" s="68">
        <f t="shared" ref="L169" si="197">L168+K169</f>
        <v>5.110653582892013</v>
      </c>
      <c r="M169" s="68"/>
      <c r="N169" s="68">
        <f t="shared" si="161"/>
        <v>9.942905803291854</v>
      </c>
      <c r="O169" s="68">
        <f t="shared" si="162"/>
        <v>350.5127960053851</v>
      </c>
      <c r="P169" s="164">
        <f t="shared" si="156"/>
        <v>592.59524191088713</v>
      </c>
      <c r="Q169" s="233" cm="1">
        <f t="array" ref="Q169">Lininterp($A$55:$A$71,$Z$55:$Z$71,V168)</f>
        <v>2118.0072144474111</v>
      </c>
      <c r="R169" s="68" cm="1">
        <f t="array" ref="R169">Lininterp($A$55:$A$71,$Y$55:$Y$71,V168)</f>
        <v>2116.4334824304065</v>
      </c>
      <c r="S169" s="69">
        <f t="shared" si="157"/>
        <v>9.926972837475507E-5</v>
      </c>
      <c r="T169" s="68">
        <f t="shared" ref="T169" si="198">T168+S169</f>
        <v>4.3923401882076485</v>
      </c>
      <c r="U169" s="68"/>
      <c r="V169" s="68">
        <f t="shared" si="164"/>
        <v>8.5454089264740247</v>
      </c>
      <c r="W169" s="68">
        <f t="shared" si="165"/>
        <v>306.59491552687405</v>
      </c>
      <c r="X169" s="164">
        <f t="shared" si="159"/>
        <v>139.02189501122967</v>
      </c>
    </row>
    <row r="170" spans="1:24" x14ac:dyDescent="0.2">
      <c r="A170" s="227">
        <f t="shared" si="184"/>
        <v>82</v>
      </c>
      <c r="B170" s="227"/>
      <c r="C170" s="227"/>
      <c r="D170" s="227"/>
      <c r="E170" s="227"/>
      <c r="F170" s="227"/>
      <c r="G170" s="93" cm="1">
        <f t="array" ref="G170">Lininterp($A$55:$A$71,$N$55:$N$71,N169)</f>
        <v>6136.675687456921</v>
      </c>
      <c r="H170" s="233"/>
      <c r="I170" s="233"/>
      <c r="J170" s="68" cm="1">
        <f t="array" ref="J170">Lininterp($A$55:$A$71,$G$55:$G$71,N169)</f>
        <v>6123.8876292615068</v>
      </c>
      <c r="K170" s="68">
        <f t="shared" si="154"/>
        <v>2.5619854035693451E-4</v>
      </c>
      <c r="L170" s="68">
        <f t="shared" ref="L170" si="199">L169+K170</f>
        <v>5.1109097814323698</v>
      </c>
      <c r="M170" s="68"/>
      <c r="N170" s="68">
        <f t="shared" si="161"/>
        <v>9.9434042440318482</v>
      </c>
      <c r="O170" s="68">
        <f t="shared" si="162"/>
        <v>355.62370578681748</v>
      </c>
      <c r="P170" s="164">
        <f t="shared" si="156"/>
        <v>592.65465734141037</v>
      </c>
      <c r="Q170" s="233" cm="1">
        <f t="array" ref="Q170">Lininterp($A$55:$A$71,$Z$55:$Z$71,V169)</f>
        <v>2117.9639501626289</v>
      </c>
      <c r="R170" s="68" cm="1">
        <f t="array" ref="R170">Lininterp($A$55:$A$71,$Y$55:$Y$71,V169)</f>
        <v>2116.5605047405115</v>
      </c>
      <c r="S170" s="69">
        <f t="shared" si="157"/>
        <v>8.8528189257757419E-5</v>
      </c>
      <c r="T170" s="68">
        <f t="shared" ref="T170" si="200">T169+S170</f>
        <v>4.392428716396906</v>
      </c>
      <c r="U170" s="68"/>
      <c r="V170" s="68">
        <f t="shared" si="164"/>
        <v>8.5455811603052645</v>
      </c>
      <c r="W170" s="68">
        <f t="shared" si="165"/>
        <v>310.98734424327097</v>
      </c>
      <c r="X170" s="164">
        <f t="shared" si="159"/>
        <v>139.02749907654945</v>
      </c>
    </row>
    <row r="171" spans="1:24" x14ac:dyDescent="0.2">
      <c r="A171" s="227">
        <f t="shared" si="184"/>
        <v>83</v>
      </c>
      <c r="B171" s="227"/>
      <c r="C171" s="227"/>
      <c r="D171" s="227"/>
      <c r="E171" s="227"/>
      <c r="F171" s="227"/>
      <c r="G171" s="93" cm="1">
        <f t="array" ref="G171">Lininterp($A$55:$A$71,$N$55:$N$71,N170)</f>
        <v>6136.2960506925883</v>
      </c>
      <c r="H171" s="233"/>
      <c r="I171" s="233"/>
      <c r="J171" s="68" cm="1">
        <f t="array" ref="J171">Lininterp($A$55:$A$71,$G$55:$G$71,N170)</f>
        <v>6124.7267044032133</v>
      </c>
      <c r="K171" s="68">
        <f t="shared" si="154"/>
        <v>2.3178261991994484E-4</v>
      </c>
      <c r="L171" s="68">
        <f t="shared" ref="L171" si="201">L170+K171</f>
        <v>5.1111415640522901</v>
      </c>
      <c r="M171" s="68"/>
      <c r="N171" s="68">
        <f t="shared" si="161"/>
        <v>9.9438551829811086</v>
      </c>
      <c r="O171" s="68">
        <f t="shared" si="162"/>
        <v>360.73484735086976</v>
      </c>
      <c r="P171" s="164">
        <f t="shared" si="156"/>
        <v>592.70841300132122</v>
      </c>
      <c r="Q171" s="233" cm="1">
        <f t="array" ref="Q171">Lininterp($A$55:$A$71,$Z$55:$Z$71,V170)</f>
        <v>2117.9253673151293</v>
      </c>
      <c r="R171" s="68" cm="1">
        <f t="array" ref="R171">Lininterp($A$55:$A$71,$Y$55:$Y$71,V170)</f>
        <v>2116.673782527133</v>
      </c>
      <c r="S171" s="69">
        <f t="shared" si="157"/>
        <v>7.8948944674105248E-5</v>
      </c>
      <c r="T171" s="68">
        <f t="shared" ref="T171" si="202">T170+S171</f>
        <v>4.3925076653415802</v>
      </c>
      <c r="U171" s="68"/>
      <c r="V171" s="68">
        <f t="shared" si="164"/>
        <v>8.5457347574738911</v>
      </c>
      <c r="W171" s="68">
        <f t="shared" si="165"/>
        <v>315.37985190861252</v>
      </c>
      <c r="X171" s="164">
        <f t="shared" si="159"/>
        <v>139.0324968459762</v>
      </c>
    </row>
    <row r="172" spans="1:24" x14ac:dyDescent="0.2">
      <c r="A172" s="227">
        <f t="shared" si="184"/>
        <v>84</v>
      </c>
      <c r="B172" s="227"/>
      <c r="C172" s="227"/>
      <c r="D172" s="227"/>
      <c r="E172" s="227"/>
      <c r="F172" s="227"/>
      <c r="G172" s="93" cm="1">
        <f t="array" ref="G172">Lininterp($A$55:$A$71,$N$55:$N$71,N171)</f>
        <v>6135.9525936075779</v>
      </c>
      <c r="H172" s="233"/>
      <c r="I172" s="233"/>
      <c r="J172" s="68" cm="1">
        <f t="array" ref="J172">Lininterp($A$55:$A$71,$G$55:$G$71,N171)</f>
        <v>6125.485815030398</v>
      </c>
      <c r="K172" s="68">
        <f t="shared" si="154"/>
        <v>2.0969355571703158E-4</v>
      </c>
      <c r="L172" s="68">
        <f t="shared" ref="L172" si="203">L171+K172</f>
        <v>5.1113512576080069</v>
      </c>
      <c r="M172" s="68"/>
      <c r="N172" s="68">
        <f t="shared" si="161"/>
        <v>9.9442631470972902</v>
      </c>
      <c r="O172" s="68">
        <f t="shared" si="162"/>
        <v>365.84619860847778</v>
      </c>
      <c r="P172" s="164">
        <f t="shared" si="156"/>
        <v>592.75704780535352</v>
      </c>
      <c r="Q172" s="233" cm="1">
        <f t="array" ref="Q172">Lininterp($A$55:$A$71,$Z$55:$Z$71,V171)</f>
        <v>2117.8909593472467</v>
      </c>
      <c r="R172" s="68" cm="1">
        <f t="array" ref="R172">Lininterp($A$55:$A$71,$Y$55:$Y$71,V171)</f>
        <v>2116.7748030244888</v>
      </c>
      <c r="S172" s="69">
        <f t="shared" si="157"/>
        <v>7.0406227862626625E-5</v>
      </c>
      <c r="T172" s="68">
        <f t="shared" ref="T172" si="204">T171+S172</f>
        <v>4.3925780715694431</v>
      </c>
      <c r="U172" s="68"/>
      <c r="V172" s="68">
        <f t="shared" si="164"/>
        <v>8.5458717345709001</v>
      </c>
      <c r="W172" s="68">
        <f t="shared" si="165"/>
        <v>319.77242998018198</v>
      </c>
      <c r="X172" s="164">
        <f t="shared" si="159"/>
        <v>139.03695390460862</v>
      </c>
    </row>
    <row r="173" spans="1:24" x14ac:dyDescent="0.2">
      <c r="A173" s="227">
        <f t="shared" si="184"/>
        <v>85</v>
      </c>
      <c r="B173" s="227"/>
      <c r="C173" s="227"/>
      <c r="D173" s="227"/>
      <c r="E173" s="227"/>
      <c r="F173" s="227"/>
      <c r="G173" s="93" cm="1">
        <f t="array" ref="G173">Lininterp($A$55:$A$71,$N$55:$N$71,N172)</f>
        <v>6135.6418682502717</v>
      </c>
      <c r="H173" s="233"/>
      <c r="I173" s="233"/>
      <c r="J173" s="68" cm="1">
        <f t="array" ref="J173">Lininterp($A$55:$A$71,$G$55:$G$71,N172)</f>
        <v>6126.1725818235782</v>
      </c>
      <c r="K173" s="68">
        <f t="shared" si="154"/>
        <v>1.897095965367598E-4</v>
      </c>
      <c r="L173" s="68">
        <f t="shared" ref="L173" si="205">L172+K173</f>
        <v>5.1115409672045438</v>
      </c>
      <c r="M173" s="68"/>
      <c r="N173" s="68">
        <f t="shared" si="161"/>
        <v>9.9446322319154543</v>
      </c>
      <c r="O173" s="68">
        <f t="shared" si="162"/>
        <v>370.9577395756823</v>
      </c>
      <c r="P173" s="164">
        <f t="shared" si="156"/>
        <v>592.80104939380169</v>
      </c>
      <c r="Q173" s="233" cm="1">
        <f t="array" ref="Q173">Lininterp($A$55:$A$71,$Z$55:$Z$71,V172)</f>
        <v>2117.8602745136873</v>
      </c>
      <c r="R173" s="68" cm="1">
        <f t="array" ref="R173">Lininterp($A$55:$A$71,$Y$55:$Y$71,V172)</f>
        <v>2116.8648925397447</v>
      </c>
      <c r="S173" s="69">
        <f t="shared" si="157"/>
        <v>6.2787880728562096E-5</v>
      </c>
      <c r="T173" s="68">
        <f t="shared" ref="T173" si="206">T172+S173</f>
        <v>4.3926408594501716</v>
      </c>
      <c r="U173" s="68"/>
      <c r="V173" s="68">
        <f t="shared" si="164"/>
        <v>8.5459938899808776</v>
      </c>
      <c r="W173" s="68">
        <f t="shared" si="165"/>
        <v>324.16507083963216</v>
      </c>
      <c r="X173" s="164">
        <f t="shared" si="159"/>
        <v>139.04092874486363</v>
      </c>
    </row>
    <row r="174" spans="1:24" x14ac:dyDescent="0.2">
      <c r="A174" s="227">
        <f>A173+1</f>
        <v>86</v>
      </c>
      <c r="B174" s="227"/>
      <c r="C174" s="227"/>
      <c r="D174" s="227"/>
      <c r="E174" s="227"/>
      <c r="F174" s="227"/>
      <c r="G174" s="93" cm="1">
        <f t="array" ref="G174">Lininterp($A$55:$A$71,$N$55:$N$71,N173)</f>
        <v>6135.3607552615267</v>
      </c>
      <c r="H174" s="233"/>
      <c r="I174" s="233"/>
      <c r="J174" s="68" cm="1">
        <f t="array" ref="J174">Lininterp($A$55:$A$71,$G$55:$G$71,N173)</f>
        <v>6126.7938992064755</v>
      </c>
      <c r="K174" s="68">
        <f t="shared" si="154"/>
        <v>1.7163012423099171E-4</v>
      </c>
      <c r="L174" s="68">
        <f>L173+K174</f>
        <v>5.1117125973287747</v>
      </c>
      <c r="M174" s="68"/>
      <c r="N174" s="68">
        <f t="shared" si="161"/>
        <v>9.9449661426629863</v>
      </c>
      <c r="O174" s="68">
        <f t="shared" si="162"/>
        <v>376.06945217301109</v>
      </c>
      <c r="P174" s="164">
        <f t="shared" si="156"/>
        <v>592.84085900366608</v>
      </c>
      <c r="Q174" s="233" cm="1">
        <f t="array" ref="Q174">Lininterp($A$55:$A$71,$Z$55:$Z$71,V173)</f>
        <v>2117.8329099505204</v>
      </c>
      <c r="R174" s="68" cm="1">
        <f t="array" ref="R174">Lininterp($A$55:$A$71,$Y$55:$Y$71,V173)</f>
        <v>2116.9452338662222</v>
      </c>
      <c r="S174" s="69">
        <f t="shared" si="157"/>
        <v>5.5993881309452992E-5</v>
      </c>
      <c r="T174" s="68">
        <f t="shared" ref="T174" si="207">T173+S174</f>
        <v>4.392696853331481</v>
      </c>
      <c r="U174" s="68"/>
      <c r="V174" s="68">
        <f t="shared" si="164"/>
        <v>8.5461028274931543</v>
      </c>
      <c r="W174" s="68">
        <f t="shared" si="165"/>
        <v>328.55776769296364</v>
      </c>
      <c r="X174" s="164">
        <f t="shared" si="159"/>
        <v>139.04447353312733</v>
      </c>
    </row>
    <row r="175" spans="1:24" x14ac:dyDescent="0.2">
      <c r="A175" s="227">
        <f t="shared" ref="A175:A238" si="208">A174+1</f>
        <v>87</v>
      </c>
      <c r="B175" s="227"/>
      <c r="C175" s="227"/>
      <c r="D175" s="227"/>
      <c r="E175" s="227"/>
      <c r="F175" s="227"/>
      <c r="G175" s="93" cm="1">
        <f t="array" ref="G175">Lininterp($A$55:$A$71,$N$55:$N$71,N174)</f>
        <v>6135.1064325595526</v>
      </c>
      <c r="H175" s="233"/>
      <c r="I175" s="233"/>
      <c r="J175" s="68" cm="1">
        <f t="array" ref="J175">Lininterp($A$55:$A$71,$G$55:$G$71,N174)</f>
        <v>6127.3560045588711</v>
      </c>
      <c r="K175" s="68">
        <f t="shared" si="154"/>
        <v>1.5527363971710569E-4</v>
      </c>
      <c r="L175" s="68">
        <f t="shared" ref="L175" si="209">L174+K175</f>
        <v>5.1118678709684922</v>
      </c>
      <c r="M175" s="68"/>
      <c r="N175" s="68">
        <f t="shared" si="161"/>
        <v>9.9452682314562093</v>
      </c>
      <c r="O175" s="68">
        <f t="shared" si="162"/>
        <v>381.18132004397955</v>
      </c>
      <c r="P175" s="164">
        <f t="shared" si="156"/>
        <v>592.87687587836103</v>
      </c>
      <c r="Q175" s="233" cm="1">
        <f t="array" ref="Q175">Lininterp($A$55:$A$71,$Z$55:$Z$71,V174)</f>
        <v>2117.8085063859421</v>
      </c>
      <c r="R175" s="68" cm="1">
        <f t="array" ref="R175">Lininterp($A$55:$A$71,$Y$55:$Y$71,V174)</f>
        <v>2117.0168818124002</v>
      </c>
      <c r="S175" s="69">
        <f t="shared" si="157"/>
        <v>4.9935030577731342E-5</v>
      </c>
      <c r="T175" s="68">
        <f t="shared" ref="T175" si="210">T174+S175</f>
        <v>4.392746788362059</v>
      </c>
      <c r="U175" s="68"/>
      <c r="V175" s="68">
        <f t="shared" si="164"/>
        <v>8.546199977358091</v>
      </c>
      <c r="W175" s="68">
        <f t="shared" si="165"/>
        <v>332.95051448132568</v>
      </c>
      <c r="X175" s="164">
        <f t="shared" si="159"/>
        <v>139.04763479361654</v>
      </c>
    </row>
    <row r="176" spans="1:24" x14ac:dyDescent="0.2">
      <c r="A176" s="227">
        <f t="shared" si="208"/>
        <v>88</v>
      </c>
      <c r="B176" s="227"/>
      <c r="C176" s="227"/>
      <c r="D176" s="227"/>
      <c r="E176" s="227"/>
      <c r="F176" s="227"/>
      <c r="G176" s="93" cm="1">
        <f t="array" ref="G176">Lininterp($A$55:$A$71,$N$55:$N$71,N175)</f>
        <v>6134.876347009159</v>
      </c>
      <c r="H176" s="233"/>
      <c r="I176" s="233"/>
      <c r="J176" s="68" cm="1">
        <f t="array" ref="J176">Lininterp($A$55:$A$71,$G$55:$G$71,N175)</f>
        <v>6127.8645408333832</v>
      </c>
      <c r="K176" s="68">
        <f t="shared" si="154"/>
        <v>1.4047594091679146E-4</v>
      </c>
      <c r="L176" s="68">
        <f t="shared" ref="L176" si="211">L175+K176</f>
        <v>5.1120083469094091</v>
      </c>
      <c r="M176" s="68"/>
      <c r="N176" s="68">
        <f t="shared" si="161"/>
        <v>9.9455415309521573</v>
      </c>
      <c r="O176" s="68">
        <f t="shared" si="162"/>
        <v>386.29332839088897</v>
      </c>
      <c r="P176" s="164">
        <f t="shared" si="156"/>
        <v>592.90946125945425</v>
      </c>
      <c r="Q176" s="233" cm="1">
        <f t="array" ref="Q176">Lininterp($A$55:$A$71,$Z$55:$Z$71,V175)</f>
        <v>2117.7867434233667</v>
      </c>
      <c r="R176" s="68" cm="1">
        <f t="array" ref="R176">Lininterp($A$55:$A$71,$Y$55:$Y$71,V175)</f>
        <v>2117.0807770505853</v>
      </c>
      <c r="S176" s="69">
        <f t="shared" si="157"/>
        <v>4.4531781339181842E-5</v>
      </c>
      <c r="T176" s="68">
        <f t="shared" ref="T176" si="212">T175+S176</f>
        <v>4.3927913201433979</v>
      </c>
      <c r="U176" s="68"/>
      <c r="V176" s="68">
        <f t="shared" si="164"/>
        <v>8.546286615064977</v>
      </c>
      <c r="W176" s="68">
        <f t="shared" si="165"/>
        <v>337.34330580146906</v>
      </c>
      <c r="X176" s="164">
        <f t="shared" si="159"/>
        <v>139.05045401837626</v>
      </c>
    </row>
    <row r="177" spans="1:24" x14ac:dyDescent="0.2">
      <c r="A177" s="227">
        <f t="shared" si="208"/>
        <v>89</v>
      </c>
      <c r="B177" s="227"/>
      <c r="C177" s="227"/>
      <c r="D177" s="227"/>
      <c r="E177" s="227"/>
      <c r="F177" s="227"/>
      <c r="G177" s="93" cm="1">
        <f t="array" ref="G177">Lininterp($A$55:$A$71,$N$55:$N$71,N176)</f>
        <v>6134.668188790919</v>
      </c>
      <c r="H177" s="233"/>
      <c r="I177" s="233"/>
      <c r="J177" s="68" cm="1">
        <f t="array" ref="J177">Lininterp($A$55:$A$71,$G$55:$G$71,N176)</f>
        <v>6128.3246132048616</v>
      </c>
      <c r="K177" s="68">
        <f t="shared" si="154"/>
        <v>1.2708847433729918E-4</v>
      </c>
      <c r="L177" s="68">
        <f t="shared" ref="L177" si="213">L176+K177</f>
        <v>5.1121354353837463</v>
      </c>
      <c r="M177" s="68"/>
      <c r="N177" s="68">
        <f t="shared" si="161"/>
        <v>9.9457887847932795</v>
      </c>
      <c r="O177" s="68">
        <f t="shared" si="162"/>
        <v>391.40546382627269</v>
      </c>
      <c r="P177" s="164">
        <f t="shared" si="156"/>
        <v>592.93894199985675</v>
      </c>
      <c r="Q177" s="233" cm="1">
        <f t="array" ref="Q177">Lininterp($A$55:$A$71,$Z$55:$Z$71,V176)</f>
        <v>2117.7673353349069</v>
      </c>
      <c r="R177" s="68" cm="1">
        <f t="array" ref="R177">Lininterp($A$55:$A$71,$Y$55:$Y$71,V176)</f>
        <v>2117.13775846709</v>
      </c>
      <c r="S177" s="69">
        <f t="shared" si="157"/>
        <v>3.971319384997297E-5</v>
      </c>
      <c r="T177" s="68">
        <f t="shared" ref="T177" si="214">T176+S177</f>
        <v>4.3928310333372478</v>
      </c>
      <c r="U177" s="68"/>
      <c r="V177" s="68">
        <f t="shared" si="164"/>
        <v>8.5463638780880302</v>
      </c>
      <c r="W177" s="68">
        <f t="shared" si="165"/>
        <v>341.7361368348063</v>
      </c>
      <c r="X177" s="164">
        <f t="shared" si="159"/>
        <v>139.05296821137767</v>
      </c>
    </row>
    <row r="178" spans="1:24" x14ac:dyDescent="0.2">
      <c r="A178" s="227">
        <f t="shared" si="208"/>
        <v>90</v>
      </c>
      <c r="B178" s="227"/>
      <c r="C178" s="227"/>
      <c r="D178" s="227"/>
      <c r="E178" s="227"/>
      <c r="F178" s="227"/>
      <c r="G178" s="93" cm="1">
        <f t="array" ref="G178">Lininterp($A$55:$A$71,$N$55:$N$71,N177)</f>
        <v>6134.4798682130031</v>
      </c>
      <c r="H178" s="233"/>
      <c r="I178" s="233"/>
      <c r="J178" s="68" cm="1">
        <f t="array" ref="J178">Lininterp($A$55:$A$71,$G$55:$G$71,N177)</f>
        <v>6128.7408403210065</v>
      </c>
      <c r="K178" s="68">
        <f t="shared" si="154"/>
        <v>1.149768437497823E-4</v>
      </c>
      <c r="L178" s="68">
        <f t="shared" ref="L178" si="215">L177+K178</f>
        <v>5.1122504122274961</v>
      </c>
      <c r="M178" s="68"/>
      <c r="N178" s="68">
        <f t="shared" si="161"/>
        <v>9.9460124751507699</v>
      </c>
      <c r="O178" s="68">
        <f t="shared" si="162"/>
        <v>396.51771423850016</v>
      </c>
      <c r="P178" s="164">
        <f t="shared" si="156"/>
        <v>592.96561383420124</v>
      </c>
      <c r="Q178" s="233" cm="1">
        <f t="array" ref="Q178">Lininterp($A$55:$A$71,$Z$55:$Z$71,V177)</f>
        <v>2117.7500273100291</v>
      </c>
      <c r="R178" s="68" cm="1">
        <f t="array" ref="R178">Lininterp($A$55:$A$71,$Y$55:$Y$71,V177)</f>
        <v>2117.188574176037</v>
      </c>
      <c r="S178" s="69">
        <f t="shared" si="157"/>
        <v>3.541600444313612E-5</v>
      </c>
      <c r="T178" s="68">
        <f t="shared" ref="T178" si="216">T177+S178</f>
        <v>4.3928664493416907</v>
      </c>
      <c r="U178" s="68"/>
      <c r="V178" s="68">
        <f t="shared" si="164"/>
        <v>8.5464327808204104</v>
      </c>
      <c r="W178" s="68">
        <f t="shared" si="165"/>
        <v>346.12900328414798</v>
      </c>
      <c r="X178" s="164">
        <f t="shared" si="159"/>
        <v>139.05521037382582</v>
      </c>
    </row>
    <row r="179" spans="1:24" x14ac:dyDescent="0.2">
      <c r="A179" s="227">
        <f t="shared" si="208"/>
        <v>91</v>
      </c>
      <c r="B179" s="227"/>
      <c r="C179" s="227"/>
      <c r="D179" s="227"/>
      <c r="E179" s="227"/>
      <c r="F179" s="227"/>
      <c r="G179" s="93" cm="1">
        <f t="array" ref="G179">Lininterp($A$55:$A$71,$N$55:$N$71,N178)</f>
        <v>6134.3094947328364</v>
      </c>
      <c r="H179" s="233"/>
      <c r="I179" s="233"/>
      <c r="J179" s="68" cm="1">
        <f t="array" ref="J179">Lininterp($A$55:$A$71,$G$55:$G$71,N178)</f>
        <v>6129.1174006688061</v>
      </c>
      <c r="K179" s="68">
        <f t="shared" si="154"/>
        <v>1.0401946099036935E-4</v>
      </c>
      <c r="L179" s="68">
        <f t="shared" ref="L179" si="217">L178+K179</f>
        <v>5.1123544316884866</v>
      </c>
      <c r="M179" s="68"/>
      <c r="N179" s="68">
        <f t="shared" si="161"/>
        <v>9.9462148476429704</v>
      </c>
      <c r="O179" s="68">
        <f t="shared" si="162"/>
        <v>401.63006867018862</v>
      </c>
      <c r="P179" s="164">
        <f t="shared" si="156"/>
        <v>592.98974433880005</v>
      </c>
      <c r="Q179" s="233" cm="1">
        <f t="array" ref="Q179">Lininterp($A$55:$A$71,$Z$55:$Z$71,V178)</f>
        <v>2117.7345921101232</v>
      </c>
      <c r="R179" s="68" cm="1">
        <f t="array" ref="R179">Lininterp($A$55:$A$71,$Y$55:$Y$71,V178)</f>
        <v>2117.2338913414278</v>
      </c>
      <c r="S179" s="69">
        <f t="shared" si="157"/>
        <v>3.1583794933542778E-5</v>
      </c>
      <c r="T179" s="68">
        <f t="shared" ref="T179" si="218">T178+S179</f>
        <v>4.3928980331366239</v>
      </c>
      <c r="U179" s="68"/>
      <c r="V179" s="68">
        <f t="shared" si="164"/>
        <v>8.5464942278922642</v>
      </c>
      <c r="W179" s="68">
        <f t="shared" si="165"/>
        <v>350.52190131728463</v>
      </c>
      <c r="X179" s="164">
        <f t="shared" si="159"/>
        <v>139.05720993702121</v>
      </c>
    </row>
    <row r="180" spans="1:24" x14ac:dyDescent="0.2">
      <c r="A180" s="227">
        <f t="shared" si="208"/>
        <v>92</v>
      </c>
      <c r="B180" s="227"/>
      <c r="C180" s="227"/>
      <c r="D180" s="227"/>
      <c r="E180" s="227"/>
      <c r="F180" s="227"/>
      <c r="G180" s="93" cm="1">
        <f t="array" ref="G180">Lininterp($A$55:$A$71,$N$55:$N$71,N179)</f>
        <v>6134.1553579780239</v>
      </c>
      <c r="H180" s="233"/>
      <c r="I180" s="233"/>
      <c r="J180" s="68" cm="1">
        <f t="array" ref="J180">Lininterp($A$55:$A$71,$G$55:$G$71,N179)</f>
        <v>6129.4580745221765</v>
      </c>
      <c r="K180" s="68">
        <f t="shared" si="154"/>
        <v>9.410632534206245E-5</v>
      </c>
      <c r="L180" s="68">
        <f t="shared" ref="L180" si="219">L179+K180</f>
        <v>5.1124485380138287</v>
      </c>
      <c r="M180" s="68"/>
      <c r="N180" s="68">
        <f t="shared" si="161"/>
        <v>9.9463979338790445</v>
      </c>
      <c r="O180" s="68">
        <f t="shared" si="162"/>
        <v>406.74251720820246</v>
      </c>
      <c r="P180" s="164">
        <f t="shared" si="156"/>
        <v>593.01157561054038</v>
      </c>
      <c r="Q180" s="233" cm="1">
        <f t="array" ref="Q180">Lininterp($A$55:$A$71,$Z$55:$Z$71,V179)</f>
        <v>2117.7208270850665</v>
      </c>
      <c r="R180" s="68" cm="1">
        <f t="array" ref="R180">Lininterp($A$55:$A$71,$Y$55:$Y$71,V179)</f>
        <v>2117.2743049363871</v>
      </c>
      <c r="S180" s="69">
        <f t="shared" si="157"/>
        <v>2.8166251899152048E-5</v>
      </c>
      <c r="T180" s="68">
        <f t="shared" ref="T180" si="220">T179+S180</f>
        <v>4.3929261993885227</v>
      </c>
      <c r="U180" s="68"/>
      <c r="V180" s="68">
        <f t="shared" si="164"/>
        <v>8.5465490260477086</v>
      </c>
      <c r="W180" s="68">
        <f t="shared" si="165"/>
        <v>354.91482751667314</v>
      </c>
      <c r="X180" s="164">
        <f t="shared" si="159"/>
        <v>139.05899314843674</v>
      </c>
    </row>
    <row r="181" spans="1:24" x14ac:dyDescent="0.2">
      <c r="A181" s="227">
        <f t="shared" si="208"/>
        <v>93</v>
      </c>
      <c r="B181" s="227"/>
      <c r="C181" s="227"/>
      <c r="D181" s="227"/>
      <c r="E181" s="227"/>
      <c r="F181" s="227"/>
      <c r="G181" s="93" cm="1">
        <f t="array" ref="G181">Lininterp($A$55:$A$71,$N$55:$N$71,N180)</f>
        <v>6134.0159105759958</v>
      </c>
      <c r="H181" s="233"/>
      <c r="I181" s="233"/>
      <c r="J181" s="68" cm="1">
        <f t="array" ref="J181">Lininterp($A$55:$A$71,$G$55:$G$71,N180)</f>
        <v>6129.7662818919835</v>
      </c>
      <c r="K181" s="68">
        <f t="shared" si="154"/>
        <v>8.5137919241981303E-5</v>
      </c>
      <c r="L181" s="68">
        <f t="shared" ref="L181" si="221">L180+K181</f>
        <v>5.1125336759330704</v>
      </c>
      <c r="M181" s="68"/>
      <c r="N181" s="68">
        <f t="shared" si="161"/>
        <v>9.946563571854222</v>
      </c>
      <c r="O181" s="68">
        <f t="shared" si="162"/>
        <v>411.85505088413555</v>
      </c>
      <c r="P181" s="164">
        <f t="shared" si="156"/>
        <v>593.03132669131753</v>
      </c>
      <c r="Q181" s="233" cm="1">
        <f t="array" ref="Q181">Lininterp($A$55:$A$71,$Z$55:$Z$71,V180)</f>
        <v>2117.70855151261</v>
      </c>
      <c r="R181" s="68" cm="1">
        <f t="array" ref="R181">Lininterp($A$55:$A$71,$Y$55:$Y$71,V180)</f>
        <v>2117.310345554627</v>
      </c>
      <c r="S181" s="69">
        <f t="shared" si="157"/>
        <v>2.511850611098385E-5</v>
      </c>
      <c r="T181" s="68">
        <f t="shared" ref="T181" si="222">T180+S181</f>
        <v>4.3929513178946333</v>
      </c>
      <c r="U181" s="68"/>
      <c r="V181" s="68">
        <f t="shared" si="164"/>
        <v>8.5465978947366406</v>
      </c>
      <c r="W181" s="68">
        <f t="shared" si="165"/>
        <v>359.30777883456778</v>
      </c>
      <c r="X181" s="164">
        <f t="shared" si="159"/>
        <v>139.06058341606104</v>
      </c>
    </row>
    <row r="182" spans="1:24" x14ac:dyDescent="0.2">
      <c r="A182" s="227">
        <f t="shared" si="208"/>
        <v>94</v>
      </c>
      <c r="B182" s="227"/>
      <c r="C182" s="227"/>
      <c r="D182" s="227"/>
      <c r="E182" s="227"/>
      <c r="F182" s="227"/>
      <c r="G182" s="93" cm="1">
        <f t="array" ref="G182">Lininterp($A$55:$A$71,$N$55:$N$71,N181)</f>
        <v>6133.8897526199917</v>
      </c>
      <c r="H182" s="233"/>
      <c r="I182" s="233"/>
      <c r="J182" s="68" cm="1">
        <f t="array" ref="J182">Lininterp($A$55:$A$71,$G$55:$G$71,N181)</f>
        <v>6130.0451168593972</v>
      </c>
      <c r="K182" s="68">
        <f t="shared" si="154"/>
        <v>7.7024209228386908E-5</v>
      </c>
      <c r="L182" s="68">
        <f t="shared" ref="L182" si="223">L181+K182</f>
        <v>5.1126107001422989</v>
      </c>
      <c r="M182" s="68"/>
      <c r="N182" s="68">
        <f t="shared" si="161"/>
        <v>9.9467134244013593</v>
      </c>
      <c r="O182" s="68">
        <f t="shared" si="162"/>
        <v>416.96766158427783</v>
      </c>
      <c r="P182" s="164">
        <f t="shared" si="156"/>
        <v>593.04919576210193</v>
      </c>
      <c r="Q182" s="233" cm="1">
        <f t="array" ref="Q182">Lininterp($A$55:$A$71,$Z$55:$Z$71,V181)</f>
        <v>2117.6976042256629</v>
      </c>
      <c r="R182" s="68" cm="1">
        <f t="array" ref="R182">Lininterp($A$55:$A$71,$Y$55:$Y$71,V181)</f>
        <v>2117.3424863766563</v>
      </c>
      <c r="S182" s="69">
        <f t="shared" si="157"/>
        <v>2.2400543441318844E-5</v>
      </c>
      <c r="T182" s="68">
        <f t="shared" ref="T182" si="224">T181+S182</f>
        <v>4.3929737184380748</v>
      </c>
      <c r="U182" s="68"/>
      <c r="V182" s="68">
        <f t="shared" si="164"/>
        <v>8.5466414755604561</v>
      </c>
      <c r="W182" s="68">
        <f t="shared" si="165"/>
        <v>363.70075255300588</v>
      </c>
      <c r="X182" s="164">
        <f t="shared" si="159"/>
        <v>139.06200161551578</v>
      </c>
    </row>
    <row r="183" spans="1:24" x14ac:dyDescent="0.2">
      <c r="A183" s="227">
        <f t="shared" si="208"/>
        <v>95</v>
      </c>
      <c r="B183" s="227"/>
      <c r="C183" s="227"/>
      <c r="D183" s="227"/>
      <c r="E183" s="227"/>
      <c r="F183" s="227"/>
      <c r="G183" s="93" cm="1">
        <f t="array" ref="G183">Lininterp($A$55:$A$71,$N$55:$N$71,N182)</f>
        <v>6133.7756176154517</v>
      </c>
      <c r="H183" s="233"/>
      <c r="I183" s="233"/>
      <c r="J183" s="68" cm="1">
        <f t="array" ref="J183">Lininterp($A$55:$A$71,$G$55:$G$71,N182)</f>
        <v>6130.2973786372477</v>
      </c>
      <c r="K183" s="68">
        <f t="shared" si="154"/>
        <v>6.9683742098391354E-5</v>
      </c>
      <c r="L183" s="68">
        <f t="shared" ref="L183" si="225">L182+K183</f>
        <v>5.1126803838843973</v>
      </c>
      <c r="M183" s="68"/>
      <c r="N183" s="68">
        <f t="shared" si="161"/>
        <v>9.9468489958840411</v>
      </c>
      <c r="O183" s="68">
        <f t="shared" si="162"/>
        <v>422.08034196816226</v>
      </c>
      <c r="P183" s="164">
        <f t="shared" si="156"/>
        <v>593.06536212847107</v>
      </c>
      <c r="Q183" s="233" cm="1">
        <f t="array" ref="Q183">Lininterp($A$55:$A$71,$Z$55:$Z$71,V182)</f>
        <v>2117.6878414963139</v>
      </c>
      <c r="R183" s="68" cm="1">
        <f t="array" ref="R183">Lininterp($A$55:$A$71,$Y$55:$Y$71,V182)</f>
        <v>2117.3711493822075</v>
      </c>
      <c r="S183" s="69">
        <f t="shared" si="157"/>
        <v>1.9976679514731294E-5</v>
      </c>
      <c r="T183" s="68">
        <f t="shared" ref="T183" si="226">T182+S183</f>
        <v>4.3929936951175899</v>
      </c>
      <c r="U183" s="68"/>
      <c r="V183" s="68">
        <f t="shared" si="164"/>
        <v>8.5466803406956995</v>
      </c>
      <c r="W183" s="68">
        <f t="shared" si="165"/>
        <v>368.09374624812347</v>
      </c>
      <c r="X183" s="164">
        <f t="shared" si="159"/>
        <v>139.06326636396793</v>
      </c>
    </row>
    <row r="184" spans="1:24" x14ac:dyDescent="0.2">
      <c r="A184" s="227">
        <f t="shared" si="208"/>
        <v>96</v>
      </c>
      <c r="B184" s="227"/>
      <c r="C184" s="227"/>
      <c r="D184" s="227"/>
      <c r="E184" s="227"/>
      <c r="F184" s="227"/>
      <c r="G184" s="93" cm="1">
        <f t="array" ref="G184">Lininterp($A$55:$A$71,$N$55:$N$71,N183)</f>
        <v>6133.6723597657392</v>
      </c>
      <c r="H184" s="233"/>
      <c r="I184" s="233"/>
      <c r="J184" s="68" cm="1">
        <f t="array" ref="J184">Lininterp($A$55:$A$71,$G$55:$G$71,N183)</f>
        <v>6130.5255996711949</v>
      </c>
      <c r="K184" s="68">
        <f t="shared" si="154"/>
        <v>6.3042827203024012E-5</v>
      </c>
      <c r="L184" s="68">
        <f t="shared" ref="L184" si="227">L183+K184</f>
        <v>5.1127434267116003</v>
      </c>
      <c r="M184" s="68"/>
      <c r="N184" s="68">
        <f t="shared" si="161"/>
        <v>9.9469716472988328</v>
      </c>
      <c r="O184" s="68">
        <f t="shared" si="162"/>
        <v>427.19308539487383</v>
      </c>
      <c r="P184" s="164">
        <f t="shared" si="156"/>
        <v>593.0799880173787</v>
      </c>
      <c r="Q184" s="233" cm="1">
        <f t="array" ref="Q184">Lininterp($A$55:$A$71,$Z$55:$Z$71,V183)</f>
        <v>2117.6791351488127</v>
      </c>
      <c r="R184" s="68" cm="1">
        <f t="array" ref="R184">Lininterp($A$55:$A$71,$Y$55:$Y$71,V183)</f>
        <v>2117.3967108904517</v>
      </c>
      <c r="S184" s="69">
        <f t="shared" si="157"/>
        <v>1.7815091204223242E-5</v>
      </c>
      <c r="T184" s="68">
        <f t="shared" ref="T184" si="228">T183+S184</f>
        <v>4.3930115102087939</v>
      </c>
      <c r="U184" s="68"/>
      <c r="V184" s="68">
        <f t="shared" si="164"/>
        <v>8.5467150004062127</v>
      </c>
      <c r="W184" s="68">
        <f t="shared" si="165"/>
        <v>372.48675775833226</v>
      </c>
      <c r="X184" s="164">
        <f t="shared" si="159"/>
        <v>139.06439426442435</v>
      </c>
    </row>
    <row r="185" spans="1:24" x14ac:dyDescent="0.2">
      <c r="A185" s="227">
        <f t="shared" si="208"/>
        <v>97</v>
      </c>
      <c r="B185" s="227"/>
      <c r="C185" s="227"/>
      <c r="D185" s="227"/>
      <c r="E185" s="227"/>
      <c r="F185" s="227"/>
      <c r="G185" s="93" cm="1">
        <f t="array" ref="G185">Lininterp($A$55:$A$71,$N$55:$N$71,N184)</f>
        <v>6133.5789424695267</v>
      </c>
      <c r="H185" s="233"/>
      <c r="I185" s="233"/>
      <c r="J185" s="68" cm="1">
        <f t="array" ref="J185">Lininterp($A$55:$A$71,$G$55:$G$71,N184)</f>
        <v>6130.7320710628555</v>
      </c>
      <c r="K185" s="68">
        <f t="shared" si="154"/>
        <v>5.7034796669490329E-5</v>
      </c>
      <c r="L185" s="68">
        <f t="shared" ref="L185" si="229">L184+K185</f>
        <v>5.1128004615082698</v>
      </c>
      <c r="M185" s="68"/>
      <c r="N185" s="68">
        <f t="shared" si="161"/>
        <v>9.9470826099382688</v>
      </c>
      <c r="O185" s="68">
        <f t="shared" ref="O185:O216" si="230">O184+L185</f>
        <v>432.30588585638208</v>
      </c>
      <c r="P185" s="164">
        <f t="shared" si="156"/>
        <v>593.09322020306649</v>
      </c>
      <c r="Q185" s="233" cm="1">
        <f t="array" ref="Q185">Lininterp($A$55:$A$71,$Z$55:$Z$71,V184)</f>
        <v>2117.6713708767447</v>
      </c>
      <c r="R185" s="68" cm="1">
        <f t="array" ref="R185">Lininterp($A$55:$A$71,$Y$55:$Y$71,V184)</f>
        <v>2117.4195065007193</v>
      </c>
      <c r="S185" s="69">
        <f t="shared" si="157"/>
        <v>1.5887398823409054E-5</v>
      </c>
      <c r="T185" s="68">
        <f t="shared" ref="T185" si="231">T184+S185</f>
        <v>4.3930273976076171</v>
      </c>
      <c r="U185" s="68"/>
      <c r="V185" s="68">
        <f t="shared" si="164"/>
        <v>8.5467459097424463</v>
      </c>
      <c r="W185" s="68">
        <f t="shared" ref="W185:W216" si="232">W184+T185</f>
        <v>376.87978515593989</v>
      </c>
      <c r="X185" s="164">
        <f t="shared" si="159"/>
        <v>139.06540012360944</v>
      </c>
    </row>
    <row r="186" spans="1:24" x14ac:dyDescent="0.2">
      <c r="A186" s="227">
        <f t="shared" si="208"/>
        <v>98</v>
      </c>
      <c r="B186" s="227"/>
      <c r="C186" s="227"/>
      <c r="D186" s="227"/>
      <c r="E186" s="227"/>
      <c r="F186" s="227"/>
      <c r="G186" s="93" cm="1">
        <f t="array" ref="G186">Lininterp($A$55:$A$71,$N$55:$N$71,N185)</f>
        <v>6133.4944279144001</v>
      </c>
      <c r="H186" s="233"/>
      <c r="I186" s="233"/>
      <c r="J186" s="68" cm="1">
        <f t="array" ref="J186">Lininterp($A$55:$A$71,$G$55:$G$71,N185)</f>
        <v>6130.9188655700818</v>
      </c>
      <c r="K186" s="68">
        <f t="shared" si="154"/>
        <v>5.1599336125109651E-5</v>
      </c>
      <c r="L186" s="68">
        <f t="shared" ref="L186" si="233">L185+K186</f>
        <v>5.1128520608443946</v>
      </c>
      <c r="M186" s="68"/>
      <c r="N186" s="68">
        <f t="shared" si="161"/>
        <v>9.9471829977517405</v>
      </c>
      <c r="O186" s="68">
        <f t="shared" si="230"/>
        <v>437.41873791722645</v>
      </c>
      <c r="P186" s="164">
        <f t="shared" si="156"/>
        <v>593.10519147833122</v>
      </c>
      <c r="Q186" s="233" cm="1">
        <f t="array" ref="Q186">Lininterp($A$55:$A$71,$Z$55:$Z$71,V185)</f>
        <v>2117.6644467422839</v>
      </c>
      <c r="R186" s="68" cm="1">
        <f t="array" ref="R186">Lininterp($A$55:$A$71,$Y$55:$Y$71,V185)</f>
        <v>2117.4398354986247</v>
      </c>
      <c r="S186" s="69">
        <f t="shared" si="157"/>
        <v>1.4168293525858293E-5</v>
      </c>
      <c r="T186" s="68">
        <f t="shared" ref="T186" si="234">T185+S186</f>
        <v>4.393041565901143</v>
      </c>
      <c r="U186" s="68"/>
      <c r="V186" s="68">
        <f t="shared" si="164"/>
        <v>8.5467734745158417</v>
      </c>
      <c r="W186" s="68">
        <f t="shared" si="232"/>
        <v>381.27282672184106</v>
      </c>
      <c r="X186" s="164">
        <f t="shared" si="159"/>
        <v>139.06629714628068</v>
      </c>
    </row>
    <row r="187" spans="1:24" x14ac:dyDescent="0.2">
      <c r="A187" s="227">
        <f t="shared" si="208"/>
        <v>99</v>
      </c>
      <c r="B187" s="227"/>
      <c r="C187" s="227"/>
      <c r="D187" s="227"/>
      <c r="E187" s="227"/>
      <c r="F187" s="227"/>
      <c r="G187" s="93" cm="1">
        <f t="array" ref="G187">Lininterp($A$55:$A$71,$N$55:$N$71,N186)</f>
        <v>6133.4179676622043</v>
      </c>
      <c r="H187" s="233"/>
      <c r="I187" s="233"/>
      <c r="J187" s="68" cm="1">
        <f t="array" ref="J187">Lininterp($A$55:$A$71,$G$55:$G$71,N186)</f>
        <v>6131.0878584152797</v>
      </c>
      <c r="K187" s="68">
        <f t="shared" si="154"/>
        <v>4.6681879204175131E-5</v>
      </c>
      <c r="L187" s="68">
        <f t="shared" ref="L187" si="235">L186+K187</f>
        <v>5.1128987427235986</v>
      </c>
      <c r="M187" s="68"/>
      <c r="N187" s="68">
        <f t="shared" si="161"/>
        <v>9.9472738185284015</v>
      </c>
      <c r="O187" s="68">
        <f t="shared" si="230"/>
        <v>442.53163665995004</v>
      </c>
      <c r="P187" s="164">
        <f t="shared" si="156"/>
        <v>593.11602198583307</v>
      </c>
      <c r="Q187" s="233" cm="1">
        <f t="array" ref="Q187">Lininterp($A$55:$A$71,$Z$55:$Z$71,V186)</f>
        <v>2117.658271837849</v>
      </c>
      <c r="R187" s="68" cm="1">
        <f t="array" ref="R187">Lininterp($A$55:$A$71,$Y$55:$Y$71,V186)</f>
        <v>2117.4579647853998</v>
      </c>
      <c r="S187" s="69">
        <f t="shared" si="157"/>
        <v>1.2635205024317131E-5</v>
      </c>
      <c r="T187" s="68">
        <f t="shared" ref="T187" si="236">T186+S187</f>
        <v>4.3930542011061675</v>
      </c>
      <c r="U187" s="68"/>
      <c r="V187" s="68">
        <f t="shared" si="164"/>
        <v>8.546798056626784</v>
      </c>
      <c r="W187" s="68">
        <f t="shared" si="232"/>
        <v>385.66588092294722</v>
      </c>
      <c r="X187" s="164">
        <f t="shared" si="159"/>
        <v>139.06709710852871</v>
      </c>
    </row>
    <row r="188" spans="1:24" x14ac:dyDescent="0.2">
      <c r="A188" s="227">
        <f t="shared" si="208"/>
        <v>100</v>
      </c>
      <c r="B188" s="227"/>
      <c r="C188" s="227"/>
      <c r="D188" s="227"/>
      <c r="E188" s="227"/>
      <c r="F188" s="227"/>
      <c r="G188" s="93" cm="1">
        <f t="array" ref="G188">Lininterp($A$55:$A$71,$N$55:$N$71,N187)</f>
        <v>6133.3487941315934</v>
      </c>
      <c r="H188" s="233"/>
      <c r="I188" s="233"/>
      <c r="J188" s="68" cm="1">
        <f t="array" ref="J188">Lininterp($A$55:$A$71,$G$55:$G$71,N187)</f>
        <v>6131.2407461107114</v>
      </c>
      <c r="K188" s="68">
        <f t="shared" si="154"/>
        <v>4.2233059757734128E-5</v>
      </c>
      <c r="L188" s="68">
        <f t="shared" ref="L188" si="237">L187+K188</f>
        <v>5.1129409757833564</v>
      </c>
      <c r="M188" s="68"/>
      <c r="N188" s="68">
        <f t="shared" si="161"/>
        <v>9.9473559840143118</v>
      </c>
      <c r="O188" s="68">
        <f t="shared" si="230"/>
        <v>447.64457763573341</v>
      </c>
      <c r="P188" s="164">
        <f t="shared" si="156"/>
        <v>593.12582042273323</v>
      </c>
      <c r="Q188" s="233" cm="1">
        <f t="array" ref="Q188">Lininterp($A$55:$A$71,$Z$55:$Z$71,V187)</f>
        <v>2117.6527650925664</v>
      </c>
      <c r="R188" s="68" cm="1">
        <f t="array" ref="R188">Lininterp($A$55:$A$71,$Y$55:$Y$71,V187)</f>
        <v>2117.4741323820795</v>
      </c>
      <c r="S188" s="69">
        <f t="shared" si="157"/>
        <v>1.1268005262187659E-5</v>
      </c>
      <c r="T188" s="68">
        <f t="shared" ref="T188" si="238">T187+S188</f>
        <v>4.3930654691114297</v>
      </c>
      <c r="U188" s="68"/>
      <c r="V188" s="68">
        <f t="shared" si="164"/>
        <v>8.5468199788160106</v>
      </c>
      <c r="W188" s="68">
        <f t="shared" si="232"/>
        <v>390.05894639205866</v>
      </c>
      <c r="X188" s="164">
        <f t="shared" si="159"/>
        <v>139.06781051233389</v>
      </c>
    </row>
    <row r="189" spans="1:24" x14ac:dyDescent="0.2">
      <c r="A189" s="227">
        <f t="shared" si="208"/>
        <v>101</v>
      </c>
      <c r="B189" s="227"/>
      <c r="C189" s="227"/>
      <c r="D189" s="227"/>
      <c r="E189" s="227"/>
      <c r="F189" s="227"/>
      <c r="G189" s="93" cm="1">
        <f t="array" ref="G189">Lininterp($A$55:$A$71,$N$55:$N$71,N188)</f>
        <v>6133.2862128923243</v>
      </c>
      <c r="H189" s="233"/>
      <c r="I189" s="233"/>
      <c r="J189" s="68" cm="1">
        <f t="array" ref="J189">Lininterp($A$55:$A$71,$G$55:$G$71,N188)</f>
        <v>6131.3790634896923</v>
      </c>
      <c r="K189" s="68">
        <f t="shared" si="154"/>
        <v>3.8208216269468579E-5</v>
      </c>
      <c r="L189" s="68">
        <f t="shared" ref="L189" si="239">L188+K189</f>
        <v>5.1129791839996255</v>
      </c>
      <c r="M189" s="68"/>
      <c r="N189" s="68">
        <f t="shared" si="161"/>
        <v>9.9474303190654183</v>
      </c>
      <c r="O189" s="68">
        <f t="shared" si="230"/>
        <v>452.75755681973305</v>
      </c>
      <c r="P189" s="164">
        <f t="shared" si="156"/>
        <v>593.1346851306987</v>
      </c>
      <c r="Q189" s="233" cm="1">
        <f t="array" ref="Q189">Lininterp($A$55:$A$71,$Z$55:$Z$71,V188)</f>
        <v>2117.647854207883</v>
      </c>
      <c r="R189" s="68" cm="1">
        <f t="array" ref="R189">Lininterp($A$55:$A$71,$Y$55:$Y$71,V188)</f>
        <v>2117.4885505544885</v>
      </c>
      <c r="S189" s="69">
        <f t="shared" si="157"/>
        <v>1.0048744151295873E-5</v>
      </c>
      <c r="T189" s="68">
        <f t="shared" ref="T189" si="240">T188+S189</f>
        <v>4.3930755178555811</v>
      </c>
      <c r="U189" s="68"/>
      <c r="V189" s="68">
        <f t="shared" si="164"/>
        <v>8.5468395289019092</v>
      </c>
      <c r="W189" s="68">
        <f t="shared" si="232"/>
        <v>394.45202190991427</v>
      </c>
      <c r="X189" s="164">
        <f t="shared" si="159"/>
        <v>139.06844672340591</v>
      </c>
    </row>
    <row r="190" spans="1:24" x14ac:dyDescent="0.2">
      <c r="A190" s="227">
        <f t="shared" si="208"/>
        <v>102</v>
      </c>
      <c r="B190" s="227"/>
      <c r="C190" s="227"/>
      <c r="D190" s="227"/>
      <c r="E190" s="227"/>
      <c r="F190" s="227"/>
      <c r="G190" s="93" cm="1">
        <f t="array" ref="G190">Lininterp($A$55:$A$71,$N$55:$N$71,N189)</f>
        <v>6133.2295956939015</v>
      </c>
      <c r="H190" s="233"/>
      <c r="I190" s="233"/>
      <c r="J190" s="68" cm="1">
        <f t="array" ref="J190">Lininterp($A$55:$A$71,$G$55:$G$71,N189)</f>
        <v>6131.5041991147255</v>
      </c>
      <c r="K190" s="68">
        <f t="shared" si="154"/>
        <v>3.4566943500481689E-5</v>
      </c>
      <c r="L190" s="68">
        <f t="shared" ref="L190" si="241">L189+K190</f>
        <v>5.1130137509431259</v>
      </c>
      <c r="M190" s="68"/>
      <c r="N190" s="68">
        <f t="shared" si="161"/>
        <v>9.9474975699282595</v>
      </c>
      <c r="O190" s="68">
        <f t="shared" si="230"/>
        <v>457.87057057067619</v>
      </c>
      <c r="P190" s="164">
        <f t="shared" si="156"/>
        <v>593.14270508216623</v>
      </c>
      <c r="Q190" s="233" cm="1">
        <f t="array" ref="Q190">Lininterp($A$55:$A$71,$Z$55:$Z$71,V189)</f>
        <v>2117.643474708354</v>
      </c>
      <c r="R190" s="68" cm="1">
        <f t="array" ref="R190">Lininterp($A$55:$A$71,$Y$55:$Y$71,V189)</f>
        <v>2117.5014086001052</v>
      </c>
      <c r="S190" s="69">
        <f t="shared" si="157"/>
        <v>8.9614139032164334E-6</v>
      </c>
      <c r="T190" s="68">
        <f t="shared" ref="T190" si="242">T189+S190</f>
        <v>4.3930844792694845</v>
      </c>
      <c r="U190" s="68"/>
      <c r="V190" s="68">
        <f t="shared" si="164"/>
        <v>8.5468569635593088</v>
      </c>
      <c r="W190" s="68">
        <f t="shared" si="232"/>
        <v>398.84510638918374</v>
      </c>
      <c r="X190" s="164">
        <f t="shared" si="159"/>
        <v>139.06901409411378</v>
      </c>
    </row>
    <row r="191" spans="1:24" x14ac:dyDescent="0.2">
      <c r="A191" s="227">
        <f t="shared" si="208"/>
        <v>103</v>
      </c>
      <c r="B191" s="227"/>
      <c r="C191" s="227"/>
      <c r="D191" s="227"/>
      <c r="E191" s="227"/>
      <c r="F191" s="227"/>
      <c r="G191" s="93" cm="1">
        <f t="array" ref="G191">Lininterp($A$55:$A$71,$N$55:$N$71,N190)</f>
        <v>6133.1783741585832</v>
      </c>
      <c r="H191" s="233"/>
      <c r="I191" s="233"/>
      <c r="J191" s="68" cm="1">
        <f t="array" ref="J191">Lininterp($A$55:$A$71,$G$55:$G$71,N190)</f>
        <v>6131.6174092172323</v>
      </c>
      <c r="K191" s="68">
        <f t="shared" si="154"/>
        <v>3.1272686862330828E-5</v>
      </c>
      <c r="L191" s="68">
        <f t="shared" ref="L191" si="243">L190+K191</f>
        <v>5.1130450236299883</v>
      </c>
      <c r="M191" s="68"/>
      <c r="N191" s="68">
        <f t="shared" si="161"/>
        <v>9.9475584117314941</v>
      </c>
      <c r="O191" s="68">
        <f t="shared" si="230"/>
        <v>462.98361559430617</v>
      </c>
      <c r="P191" s="164">
        <f t="shared" si="156"/>
        <v>593.14996077272781</v>
      </c>
      <c r="Q191" s="233" cm="1">
        <f t="array" ref="Q191">Lininterp($A$55:$A$71,$Z$55:$Z$71,V190)</f>
        <v>2117.6395690951372</v>
      </c>
      <c r="R191" s="68" cm="1">
        <f t="array" ref="R191">Lininterp($A$55:$A$71,$Y$55:$Y$71,V190)</f>
        <v>2117.5128753333629</v>
      </c>
      <c r="S191" s="69">
        <f t="shared" si="157"/>
        <v>7.991738861643282E-6</v>
      </c>
      <c r="T191" s="68">
        <f t="shared" ref="T191" si="244">T190+S191</f>
        <v>4.3930924710083463</v>
      </c>
      <c r="U191" s="68"/>
      <c r="V191" s="68">
        <f t="shared" si="164"/>
        <v>8.54687251168939</v>
      </c>
      <c r="W191" s="68">
        <f t="shared" si="232"/>
        <v>403.23819886019209</v>
      </c>
      <c r="X191" s="164">
        <f t="shared" si="159"/>
        <v>139.06952007311807</v>
      </c>
    </row>
    <row r="192" spans="1:24" x14ac:dyDescent="0.2">
      <c r="A192" s="227">
        <f t="shared" si="208"/>
        <v>104</v>
      </c>
      <c r="B192" s="227"/>
      <c r="C192" s="227"/>
      <c r="D192" s="227"/>
      <c r="E192" s="227"/>
      <c r="F192" s="227"/>
      <c r="G192" s="93" cm="1">
        <f t="array" ref="G192">Lininterp($A$55:$A$71,$N$55:$N$71,N191)</f>
        <v>6133.1320340754746</v>
      </c>
      <c r="H192" s="233"/>
      <c r="I192" s="233"/>
      <c r="J192" s="68" cm="1">
        <f t="array" ref="J192">Lininterp($A$55:$A$71,$G$55:$G$71,N191)</f>
        <v>6131.7198303087971</v>
      </c>
      <c r="K192" s="68">
        <f t="shared" si="154"/>
        <v>2.8292375447516439E-5</v>
      </c>
      <c r="L192" s="68">
        <f t="shared" ref="L192" si="245">L191+K192</f>
        <v>5.113073316005436</v>
      </c>
      <c r="M192" s="68"/>
      <c r="N192" s="68">
        <f t="shared" si="161"/>
        <v>9.9476134552634932</v>
      </c>
      <c r="O192" s="68">
        <f t="shared" si="230"/>
        <v>468.09668891031163</v>
      </c>
      <c r="P192" s="164">
        <f t="shared" si="156"/>
        <v>593.15652502856312</v>
      </c>
      <c r="Q192" s="233" cm="1">
        <f t="array" ref="Q192">Lininterp($A$55:$A$71,$Z$55:$Z$71,V191)</f>
        <v>2117.6360860910868</v>
      </c>
      <c r="R192" s="68" cm="1">
        <f t="array" ref="R192">Lininterp($A$55:$A$71,$Y$55:$Y$71,V191)</f>
        <v>2117.5231013020298</v>
      </c>
      <c r="S192" s="69">
        <f t="shared" si="157"/>
        <v>7.1269880760995434E-6</v>
      </c>
      <c r="T192" s="68">
        <f t="shared" ref="T192" si="246">T191+S192</f>
        <v>4.3930995979964225</v>
      </c>
      <c r="U192" s="68"/>
      <c r="V192" s="68">
        <f t="shared" si="164"/>
        <v>8.5468863774249471</v>
      </c>
      <c r="W192" s="68">
        <f t="shared" si="232"/>
        <v>407.6312984581885</v>
      </c>
      <c r="X192" s="164">
        <f t="shared" si="159"/>
        <v>139.0699713031442</v>
      </c>
    </row>
    <row r="193" spans="1:24" x14ac:dyDescent="0.2">
      <c r="A193" s="227">
        <f t="shared" si="208"/>
        <v>105</v>
      </c>
      <c r="B193" s="227"/>
      <c r="C193" s="227"/>
      <c r="D193" s="227"/>
      <c r="E193" s="227"/>
      <c r="F193" s="227"/>
      <c r="G193" s="93" cm="1">
        <f t="array" ref="G193">Lininterp($A$55:$A$71,$N$55:$N$71,N192)</f>
        <v>6133.0901102383787</v>
      </c>
      <c r="H193" s="233"/>
      <c r="I193" s="233"/>
      <c r="J193" s="68" cm="1">
        <f t="array" ref="J193">Lininterp($A$55:$A$71,$G$55:$G$71,N192)</f>
        <v>6131.8124905905643</v>
      </c>
      <c r="K193" s="68">
        <f t="shared" si="154"/>
        <v>2.5596090031774177E-5</v>
      </c>
      <c r="L193" s="68">
        <f t="shared" ref="L193" si="247">L192+K193</f>
        <v>5.1130989120954675</v>
      </c>
      <c r="M193" s="68"/>
      <c r="N193" s="68">
        <f t="shared" si="161"/>
        <v>9.9476632531040217</v>
      </c>
      <c r="O193" s="68">
        <f t="shared" si="230"/>
        <v>473.20978782240712</v>
      </c>
      <c r="P193" s="164">
        <f t="shared" si="156"/>
        <v>593.16246373699971</v>
      </c>
      <c r="Q193" s="233" cm="1">
        <f t="array" ref="Q193">Lininterp($A$55:$A$71,$Z$55:$Z$71,V192)</f>
        <v>2117.63297996753</v>
      </c>
      <c r="R193" s="68" cm="1">
        <f t="array" ref="R193">Lininterp($A$55:$A$71,$Y$55:$Y$71,V192)</f>
        <v>2117.5322207637669</v>
      </c>
      <c r="S193" s="69">
        <f t="shared" si="157"/>
        <v>6.35580815586327E-6</v>
      </c>
      <c r="T193" s="68">
        <f t="shared" ref="T193" si="248">T192+S193</f>
        <v>4.3931059538045787</v>
      </c>
      <c r="U193" s="68"/>
      <c r="V193" s="68">
        <f t="shared" si="164"/>
        <v>8.5468987428104644</v>
      </c>
      <c r="W193" s="68">
        <f t="shared" si="232"/>
        <v>412.02440441199309</v>
      </c>
      <c r="X193" s="164">
        <f t="shared" si="159"/>
        <v>139.07037370817855</v>
      </c>
    </row>
    <row r="194" spans="1:24" x14ac:dyDescent="0.2">
      <c r="A194" s="227">
        <f t="shared" si="208"/>
        <v>106</v>
      </c>
      <c r="B194" s="227"/>
      <c r="C194" s="227"/>
      <c r="D194" s="227"/>
      <c r="E194" s="227"/>
      <c r="F194" s="227"/>
      <c r="G194" s="93" cm="1">
        <f t="array" ref="G194">Lininterp($A$55:$A$71,$N$55:$N$71,N193)</f>
        <v>6133.0521817756107</v>
      </c>
      <c r="H194" s="233"/>
      <c r="I194" s="233"/>
      <c r="J194" s="68" cm="1">
        <f t="array" ref="J194">Lininterp($A$55:$A$71,$G$55:$G$71,N193)</f>
        <v>6131.8963202753102</v>
      </c>
      <c r="K194" s="68">
        <f t="shared" si="154"/>
        <v>2.3156762716168726E-5</v>
      </c>
      <c r="L194" s="68">
        <f t="shared" ref="L194" si="249">L193+K194</f>
        <v>5.1131220688581838</v>
      </c>
      <c r="M194" s="68"/>
      <c r="N194" s="68">
        <f t="shared" si="161"/>
        <v>9.9477083051715631</v>
      </c>
      <c r="O194" s="68">
        <f t="shared" si="230"/>
        <v>478.32290989126528</v>
      </c>
      <c r="P194" s="164">
        <f t="shared" si="156"/>
        <v>593.16783650751131</v>
      </c>
      <c r="Q194" s="233" cm="1">
        <f t="array" ref="Q194">Lininterp($A$55:$A$71,$Z$55:$Z$71,V193)</f>
        <v>2117.6302099438926</v>
      </c>
      <c r="R194" s="68" cm="1">
        <f t="array" ref="R194">Lininterp($A$55:$A$71,$Y$55:$Y$71,V193)</f>
        <v>2117.5403534488032</v>
      </c>
      <c r="S194" s="69">
        <f t="shared" si="157"/>
        <v>5.6680742107609645E-6</v>
      </c>
      <c r="T194" s="68">
        <f t="shared" ref="T194" si="250">T193+S194</f>
        <v>4.3931116218787896</v>
      </c>
      <c r="U194" s="68"/>
      <c r="V194" s="68">
        <f t="shared" si="164"/>
        <v>8.5469097701921974</v>
      </c>
      <c r="W194" s="68">
        <f t="shared" si="232"/>
        <v>416.41751603387189</v>
      </c>
      <c r="X194" s="164">
        <f t="shared" si="159"/>
        <v>139.0707325712315</v>
      </c>
    </row>
    <row r="195" spans="1:24" x14ac:dyDescent="0.2">
      <c r="A195" s="227">
        <f t="shared" si="208"/>
        <v>107</v>
      </c>
      <c r="B195" s="227"/>
      <c r="C195" s="227"/>
      <c r="D195" s="227"/>
      <c r="E195" s="227"/>
      <c r="F195" s="227"/>
      <c r="G195" s="93" cm="1">
        <f t="array" ref="G195">Lininterp($A$55:$A$71,$N$55:$N$71,N194)</f>
        <v>6133.0178679248838</v>
      </c>
      <c r="H195" s="233"/>
      <c r="I195" s="233"/>
      <c r="J195" s="68" cm="1">
        <f t="array" ref="J195">Lininterp($A$55:$A$71,$G$55:$G$71,N194)</f>
        <v>6131.9721609258095</v>
      </c>
      <c r="K195" s="68">
        <f t="shared" si="154"/>
        <v>2.0949905193577682E-5</v>
      </c>
      <c r="L195" s="68">
        <f t="shared" ref="L195" si="251">L194+K195</f>
        <v>5.1131430187633775</v>
      </c>
      <c r="M195" s="68"/>
      <c r="N195" s="68">
        <f t="shared" si="161"/>
        <v>9.9477490637419788</v>
      </c>
      <c r="O195" s="68">
        <f t="shared" si="230"/>
        <v>483.43605291002865</v>
      </c>
      <c r="P195" s="164">
        <f t="shared" si="156"/>
        <v>593.17269726977338</v>
      </c>
      <c r="Q195" s="233" cm="1">
        <f t="array" ref="Q195">Lininterp($A$55:$A$71,$Z$55:$Z$71,V194)</f>
        <v>2117.6277396522855</v>
      </c>
      <c r="R195" s="68" cm="1">
        <f t="array" ref="R195">Lininterp($A$55:$A$71,$Y$55:$Y$71,V194)</f>
        <v>2117.5476061318909</v>
      </c>
      <c r="S195" s="69">
        <f t="shared" si="157"/>
        <v>5.0547569200674008E-6</v>
      </c>
      <c r="T195" s="68">
        <f t="shared" ref="T195" si="252">T194+S195</f>
        <v>4.3931166766357093</v>
      </c>
      <c r="U195" s="68"/>
      <c r="V195" s="68">
        <f t="shared" si="164"/>
        <v>8.5469196043496289</v>
      </c>
      <c r="W195" s="68">
        <f t="shared" si="232"/>
        <v>420.8106327105076</v>
      </c>
      <c r="X195" s="164">
        <f t="shared" si="159"/>
        <v>139.07105260368809</v>
      </c>
    </row>
    <row r="196" spans="1:24" x14ac:dyDescent="0.2">
      <c r="A196" s="227">
        <f t="shared" si="208"/>
        <v>108</v>
      </c>
      <c r="B196" s="227"/>
      <c r="C196" s="227"/>
      <c r="D196" s="227"/>
      <c r="E196" s="227"/>
      <c r="F196" s="227"/>
      <c r="G196" s="93" cm="1">
        <f t="array" ref="G196">Lininterp($A$55:$A$71,$N$55:$N$71,N195)</f>
        <v>6132.9868242108578</v>
      </c>
      <c r="H196" s="233"/>
      <c r="I196" s="233"/>
      <c r="J196" s="68" cm="1">
        <f t="array" ref="J196">Lininterp($A$55:$A$71,$G$55:$G$71,N195)</f>
        <v>6132.0407739032471</v>
      </c>
      <c r="K196" s="68">
        <f t="shared" si="154"/>
        <v>1.8953362911736039E-5</v>
      </c>
      <c r="L196" s="68">
        <f t="shared" ref="L196" si="253">L195+K196</f>
        <v>5.1131619721262895</v>
      </c>
      <c r="M196" s="68"/>
      <c r="N196" s="68">
        <f t="shared" si="161"/>
        <v>9.9477859379888898</v>
      </c>
      <c r="O196" s="68">
        <f t="shared" si="230"/>
        <v>488.54921488215496</v>
      </c>
      <c r="P196" s="164">
        <f t="shared" si="156"/>
        <v>593.17709481476538</v>
      </c>
      <c r="Q196" s="233" cm="1">
        <f t="array" ref="Q196">Lininterp($A$55:$A$71,$Z$55:$Z$71,V195)</f>
        <v>2117.6255366600294</v>
      </c>
      <c r="R196" s="68" cm="1">
        <f t="array" ref="R196">Lininterp($A$55:$A$71,$Y$55:$Y$71,V195)</f>
        <v>2117.5540740341557</v>
      </c>
      <c r="S196" s="69">
        <f t="shared" si="157"/>
        <v>4.5078039861753698E-6</v>
      </c>
      <c r="T196" s="68">
        <f t="shared" ref="T196" si="254">T195+S196</f>
        <v>4.3931211844396953</v>
      </c>
      <c r="U196" s="68"/>
      <c r="V196" s="68">
        <f t="shared" si="164"/>
        <v>8.5469283743962947</v>
      </c>
      <c r="W196" s="68">
        <f t="shared" si="232"/>
        <v>425.20375389494728</v>
      </c>
      <c r="X196" s="164">
        <f t="shared" si="159"/>
        <v>139.07133800715584</v>
      </c>
    </row>
    <row r="197" spans="1:24" x14ac:dyDescent="0.2">
      <c r="A197" s="227">
        <f t="shared" si="208"/>
        <v>109</v>
      </c>
      <c r="B197" s="227"/>
      <c r="C197" s="227"/>
      <c r="D197" s="227"/>
      <c r="E197" s="227"/>
      <c r="F197" s="227"/>
      <c r="G197" s="93" cm="1">
        <f t="array" ref="G197">Lininterp($A$55:$A$71,$N$55:$N$71,N196)</f>
        <v>6132.9587389869566</v>
      </c>
      <c r="H197" s="233"/>
      <c r="I197" s="233"/>
      <c r="J197" s="68" cm="1">
        <f t="array" ref="J197">Lininterp($A$55:$A$71,$G$55:$G$71,N196)</f>
        <v>6132.1028480104969</v>
      </c>
      <c r="K197" s="68">
        <f t="shared" si="154"/>
        <v>1.7147092664332903E-5</v>
      </c>
      <c r="L197" s="68">
        <f t="shared" ref="L197" si="255">L196+K197</f>
        <v>5.1131791192189535</v>
      </c>
      <c r="M197" s="68"/>
      <c r="N197" s="68">
        <f t="shared" si="161"/>
        <v>9.9478192980913498</v>
      </c>
      <c r="O197" s="68">
        <f t="shared" si="230"/>
        <v>493.66239400137391</v>
      </c>
      <c r="P197" s="164">
        <f t="shared" si="156"/>
        <v>593.18107328433916</v>
      </c>
      <c r="Q197" s="233" cm="1">
        <f t="array" ref="Q197">Lininterp($A$55:$A$71,$Z$55:$Z$71,V196)</f>
        <v>2117.6235720438408</v>
      </c>
      <c r="R197" s="68" cm="1">
        <f t="array" ref="R197">Lininterp($A$55:$A$71,$Y$55:$Y$71,V196)</f>
        <v>2117.5598420732667</v>
      </c>
      <c r="S197" s="69">
        <f t="shared" si="157"/>
        <v>4.0200344149185752E-6</v>
      </c>
      <c r="T197" s="68">
        <f t="shared" ref="T197" si="256">T196+S197</f>
        <v>4.39312520447411</v>
      </c>
      <c r="U197" s="68"/>
      <c r="V197" s="68">
        <f t="shared" si="164"/>
        <v>8.5469361954749221</v>
      </c>
      <c r="W197" s="68">
        <f t="shared" si="232"/>
        <v>429.59687909942141</v>
      </c>
      <c r="X197" s="164">
        <f t="shared" si="159"/>
        <v>139.07159252862121</v>
      </c>
    </row>
    <row r="198" spans="1:24" x14ac:dyDescent="0.2">
      <c r="A198" s="227">
        <f t="shared" si="208"/>
        <v>110</v>
      </c>
      <c r="B198" s="227"/>
      <c r="C198" s="227"/>
      <c r="D198" s="227"/>
      <c r="E198" s="227"/>
      <c r="F198" s="227"/>
      <c r="G198" s="93" cm="1">
        <f t="array" ref="G198">Lininterp($A$55:$A$71,$N$55:$N$71,N197)</f>
        <v>6132.9333303067669</v>
      </c>
      <c r="H198" s="233"/>
      <c r="I198" s="233"/>
      <c r="J198" s="68" cm="1">
        <f t="array" ref="J198">Lininterp($A$55:$A$71,$G$55:$G$71,N197)</f>
        <v>6132.1590064069787</v>
      </c>
      <c r="K198" s="68">
        <f t="shared" si="154"/>
        <v>1.5512961378324845E-5</v>
      </c>
      <c r="L198" s="68">
        <f t="shared" ref="L198" si="257">L197+K198</f>
        <v>5.1131946321803321</v>
      </c>
      <c r="M198" s="68"/>
      <c r="N198" s="68">
        <f t="shared" si="161"/>
        <v>9.9478494789500616</v>
      </c>
      <c r="O198" s="68">
        <f t="shared" si="230"/>
        <v>498.77558863355426</v>
      </c>
      <c r="P198" s="164">
        <f t="shared" si="156"/>
        <v>593.18467261415913</v>
      </c>
      <c r="Q198" s="233" cm="1">
        <f t="array" ref="Q198">Lininterp($A$55:$A$71,$Z$55:$Z$71,V197)</f>
        <v>2117.6218200100984</v>
      </c>
      <c r="R198" s="68" cm="1">
        <f t="array" ref="R198">Lininterp($A$55:$A$71,$Y$55:$Y$71,V197)</f>
        <v>2117.5649859783261</v>
      </c>
      <c r="S198" s="69">
        <f t="shared" si="157"/>
        <v>3.5850442359390635E-6</v>
      </c>
      <c r="T198" s="68">
        <f t="shared" ref="T198" si="258">T197+S198</f>
        <v>4.3931287895183457</v>
      </c>
      <c r="U198" s="68"/>
      <c r="V198" s="68">
        <f t="shared" si="164"/>
        <v>8.5469431702691541</v>
      </c>
      <c r="W198" s="68">
        <f t="shared" si="232"/>
        <v>433.99000788893977</v>
      </c>
      <c r="X198" s="164">
        <f t="shared" si="159"/>
        <v>139.07181950963874</v>
      </c>
    </row>
    <row r="199" spans="1:24" x14ac:dyDescent="0.2">
      <c r="A199" s="227">
        <f t="shared" si="208"/>
        <v>111</v>
      </c>
      <c r="B199" s="227"/>
      <c r="C199" s="227"/>
      <c r="D199" s="227"/>
      <c r="E199" s="227"/>
      <c r="F199" s="227"/>
      <c r="G199" s="93" cm="1">
        <f t="array" ref="G199">Lininterp($A$55:$A$71,$N$55:$N$71,N198)</f>
        <v>6132.9103430935902</v>
      </c>
      <c r="H199" s="233"/>
      <c r="I199" s="233"/>
      <c r="J199" s="68" cm="1">
        <f t="array" ref="J199">Lininterp($A$55:$A$71,$G$55:$G$71,N198)</f>
        <v>6132.2098128645339</v>
      </c>
      <c r="K199" s="68">
        <f t="shared" si="154"/>
        <v>1.4034564076702199E-5</v>
      </c>
      <c r="L199" s="68">
        <f t="shared" ref="L199" si="259">L198+K199</f>
        <v>5.1132086667444092</v>
      </c>
      <c r="M199" s="68"/>
      <c r="N199" s="68">
        <f t="shared" si="161"/>
        <v>9.9478767835494342</v>
      </c>
      <c r="O199" s="68">
        <f t="shared" si="230"/>
        <v>503.88879730029868</v>
      </c>
      <c r="P199" s="164">
        <f t="shared" si="156"/>
        <v>593.18792893445266</v>
      </c>
      <c r="Q199" s="233" cm="1">
        <f t="array" ref="Q199">Lininterp($A$55:$A$71,$Z$55:$Z$71,V198)</f>
        <v>2117.6202575561933</v>
      </c>
      <c r="R199" s="68" cm="1">
        <f t="array" ref="R199">Lininterp($A$55:$A$71,$Y$55:$Y$71,V198)</f>
        <v>2117.5695732841245</v>
      </c>
      <c r="S199" s="69">
        <f t="shared" si="157"/>
        <v>3.1971224241327422E-6</v>
      </c>
      <c r="T199" s="68">
        <f t="shared" ref="T199" si="260">T198+S199</f>
        <v>4.3931319866407694</v>
      </c>
      <c r="U199" s="68"/>
      <c r="V199" s="68">
        <f t="shared" si="164"/>
        <v>8.546949390351692</v>
      </c>
      <c r="W199" s="68">
        <f t="shared" si="232"/>
        <v>438.38313987558053</v>
      </c>
      <c r="X199" s="164">
        <f t="shared" si="159"/>
        <v>139.07202193019859</v>
      </c>
    </row>
    <row r="200" spans="1:24" x14ac:dyDescent="0.2">
      <c r="A200" s="227">
        <f t="shared" si="208"/>
        <v>112</v>
      </c>
      <c r="B200" s="227"/>
      <c r="C200" s="227"/>
      <c r="D200" s="227"/>
      <c r="E200" s="227"/>
      <c r="F200" s="227"/>
      <c r="G200" s="93" cm="1">
        <f t="array" ref="G200">Lininterp($A$55:$A$71,$N$55:$N$71,N199)</f>
        <v>6132.8895465797314</v>
      </c>
      <c r="H200" s="233"/>
      <c r="I200" s="233"/>
      <c r="J200" s="68" cm="1">
        <f t="array" ref="J200">Lininterp($A$55:$A$71,$G$55:$G$71,N199)</f>
        <v>6132.2557774271172</v>
      </c>
      <c r="K200" s="68">
        <f t="shared" si="154"/>
        <v>1.2697059189269533E-5</v>
      </c>
      <c r="L200" s="68">
        <f t="shared" ref="L200" si="261">L199+K200</f>
        <v>5.1132213638035982</v>
      </c>
      <c r="M200" s="68"/>
      <c r="N200" s="68">
        <f t="shared" si="161"/>
        <v>9.9479014859992176</v>
      </c>
      <c r="O200" s="68">
        <f t="shared" si="230"/>
        <v>509.00201866410225</v>
      </c>
      <c r="P200" s="164">
        <f t="shared" si="156"/>
        <v>593.19087493258644</v>
      </c>
      <c r="Q200" s="233" cm="1">
        <f t="array" ref="Q200">Lininterp($A$55:$A$71,$Z$55:$Z$71,V199)</f>
        <v>2117.618864168528</v>
      </c>
      <c r="R200" s="68" cm="1">
        <f t="array" ref="R200">Lininterp($A$55:$A$71,$Y$55:$Y$71,V199)</f>
        <v>2117.5736642178131</v>
      </c>
      <c r="S200" s="69">
        <f t="shared" si="157"/>
        <v>2.8511759191165101E-6</v>
      </c>
      <c r="T200" s="68">
        <f t="shared" ref="T200" si="262">T199+S200</f>
        <v>4.3931348378166888</v>
      </c>
      <c r="U200" s="68"/>
      <c r="V200" s="68">
        <f t="shared" si="164"/>
        <v>8.5469549373865537</v>
      </c>
      <c r="W200" s="68">
        <f t="shared" si="232"/>
        <v>442.77627471339724</v>
      </c>
      <c r="X200" s="164">
        <f t="shared" si="159"/>
        <v>139.07220244784745</v>
      </c>
    </row>
    <row r="201" spans="1:24" x14ac:dyDescent="0.2">
      <c r="A201" s="227">
        <f t="shared" si="208"/>
        <v>113</v>
      </c>
      <c r="B201" s="227"/>
      <c r="C201" s="227"/>
      <c r="D201" s="227"/>
      <c r="E201" s="227"/>
      <c r="F201" s="227"/>
      <c r="G201" s="93" cm="1">
        <f t="array" ref="G201">Lininterp($A$55:$A$71,$N$55:$N$71,N200)</f>
        <v>6132.8707319898431</v>
      </c>
      <c r="H201" s="233"/>
      <c r="I201" s="233"/>
      <c r="J201" s="68" cm="1">
        <f t="array" ref="J201">Lininterp($A$55:$A$71,$G$55:$G$71,N200)</f>
        <v>6132.297361531083</v>
      </c>
      <c r="K201" s="68">
        <f t="shared" si="154"/>
        <v>1.1487019559451495E-5</v>
      </c>
      <c r="L201" s="68">
        <f t="shared" ref="L201" si="263">L200+K201</f>
        <v>5.1132328508231577</v>
      </c>
      <c r="M201" s="68"/>
      <c r="N201" s="68">
        <f t="shared" si="161"/>
        <v>9.9479238342862981</v>
      </c>
      <c r="O201" s="68">
        <f t="shared" si="230"/>
        <v>514.11525151492538</v>
      </c>
      <c r="P201" s="164">
        <f t="shared" si="156"/>
        <v>593.19354018110675</v>
      </c>
      <c r="Q201" s="233" cm="1">
        <f t="array" ref="Q201">Lininterp($A$55:$A$71,$Z$55:$Z$71,V200)</f>
        <v>2117.6176215531914</v>
      </c>
      <c r="R201" s="68" cm="1">
        <f t="array" ref="R201">Lininterp($A$55:$A$71,$Y$55:$Y$71,V200)</f>
        <v>2117.5773124896241</v>
      </c>
      <c r="S201" s="69">
        <f t="shared" si="157"/>
        <v>2.5426627584167741E-6</v>
      </c>
      <c r="T201" s="68">
        <f t="shared" ref="T201" si="264">T200+S201</f>
        <v>4.3931373804794474</v>
      </c>
      <c r="U201" s="68"/>
      <c r="V201" s="68">
        <f t="shared" si="164"/>
        <v>8.5469598842012591</v>
      </c>
      <c r="W201" s="68">
        <f t="shared" si="232"/>
        <v>447.1694120938767</v>
      </c>
      <c r="X201" s="164">
        <f t="shared" si="159"/>
        <v>139.07236343257716</v>
      </c>
    </row>
    <row r="202" spans="1:24" x14ac:dyDescent="0.2">
      <c r="A202" s="227">
        <f t="shared" si="208"/>
        <v>114</v>
      </c>
      <c r="B202" s="227"/>
      <c r="C202" s="227"/>
      <c r="D202" s="227"/>
      <c r="E202" s="227"/>
      <c r="F202" s="227"/>
      <c r="G202" s="93" cm="1">
        <f t="array" ref="G202">Lininterp($A$55:$A$71,$N$55:$N$71,N201)</f>
        <v>6132.8537104450234</v>
      </c>
      <c r="H202" s="233"/>
      <c r="I202" s="233"/>
      <c r="J202" s="68" cm="1">
        <f t="array" ref="J202">Lininterp($A$55:$A$71,$G$55:$G$71,N201)</f>
        <v>6132.3349826375543</v>
      </c>
      <c r="K202" s="68">
        <f t="shared" si="154"/>
        <v>1.0392297648738273E-5</v>
      </c>
      <c r="L202" s="68">
        <f t="shared" ref="L202" si="265">L201+K202</f>
        <v>5.1132432431208068</v>
      </c>
      <c r="M202" s="68"/>
      <c r="N202" s="68">
        <f t="shared" si="161"/>
        <v>9.9479440527642158</v>
      </c>
      <c r="O202" s="68">
        <f t="shared" si="230"/>
        <v>519.22849475804617</v>
      </c>
      <c r="P202" s="164">
        <f t="shared" si="156"/>
        <v>593.19595143452602</v>
      </c>
      <c r="Q202" s="233" cm="1">
        <f t="array" ref="Q202">Lininterp($A$55:$A$71,$Z$55:$Z$71,V201)</f>
        <v>2117.6165133957757</v>
      </c>
      <c r="R202" s="68" cm="1">
        <f t="array" ref="R202">Lininterp($A$55:$A$71,$Y$55:$Y$71,V201)</f>
        <v>2117.5805659980474</v>
      </c>
      <c r="S202" s="69">
        <f t="shared" si="157"/>
        <v>2.2675324449805303E-6</v>
      </c>
      <c r="T202" s="68">
        <f t="shared" ref="T202" si="266">T201+S202</f>
        <v>4.3931396480118927</v>
      </c>
      <c r="U202" s="68"/>
      <c r="V202" s="68">
        <f t="shared" si="164"/>
        <v>8.5469642957429812</v>
      </c>
      <c r="W202" s="68">
        <f t="shared" si="232"/>
        <v>451.56255174188857</v>
      </c>
      <c r="X202" s="164">
        <f t="shared" si="159"/>
        <v>139.07250699793849</v>
      </c>
    </row>
    <row r="203" spans="1:24" x14ac:dyDescent="0.2">
      <c r="A203" s="227">
        <f t="shared" si="208"/>
        <v>115</v>
      </c>
      <c r="B203" s="227"/>
      <c r="C203" s="227"/>
      <c r="D203" s="227"/>
      <c r="E203" s="227"/>
      <c r="F203" s="227"/>
      <c r="G203" s="93" cm="1">
        <f t="array" ref="G203">Lininterp($A$55:$A$71,$N$55:$N$71,N202)</f>
        <v>6132.8383110666809</v>
      </c>
      <c r="H203" s="233"/>
      <c r="I203" s="233"/>
      <c r="J203" s="68" cm="1">
        <f t="array" ref="J203">Lininterp($A$55:$A$71,$G$55:$G$71,N202)</f>
        <v>6132.369018423281</v>
      </c>
      <c r="K203" s="68">
        <f t="shared" si="154"/>
        <v>9.4019035886492131E-6</v>
      </c>
      <c r="L203" s="68">
        <f t="shared" ref="L203" si="267">L202+K203</f>
        <v>5.1132526450243958</v>
      </c>
      <c r="M203" s="68"/>
      <c r="N203" s="68">
        <f t="shared" si="161"/>
        <v>9.9479623444054397</v>
      </c>
      <c r="O203" s="68">
        <f t="shared" si="230"/>
        <v>524.3417474030706</v>
      </c>
      <c r="P203" s="164">
        <f t="shared" si="156"/>
        <v>593.19813289783895</v>
      </c>
      <c r="Q203" s="233" cm="1">
        <f t="array" ref="Q203">Lininterp($A$55:$A$71,$Z$55:$Z$71,V202)</f>
        <v>2117.6155251471819</v>
      </c>
      <c r="R203" s="68" cm="1">
        <f t="array" ref="R203">Lininterp($A$55:$A$71,$Y$55:$Y$71,V202)</f>
        <v>2117.5834674586854</v>
      </c>
      <c r="S203" s="69">
        <f t="shared" si="157"/>
        <v>2.0221727682868881E-6</v>
      </c>
      <c r="T203" s="68">
        <f t="shared" ref="T203" si="268">T202+S203</f>
        <v>4.3931416701846606</v>
      </c>
      <c r="U203" s="68"/>
      <c r="V203" s="68">
        <f t="shared" si="164"/>
        <v>8.5469682299312453</v>
      </c>
      <c r="W203" s="68">
        <f t="shared" si="232"/>
        <v>455.95569341207323</v>
      </c>
      <c r="X203" s="164">
        <f t="shared" si="159"/>
        <v>139.07263502878826</v>
      </c>
    </row>
    <row r="204" spans="1:24" x14ac:dyDescent="0.2">
      <c r="A204" s="227">
        <f t="shared" si="208"/>
        <v>116</v>
      </c>
      <c r="B204" s="227"/>
      <c r="C204" s="227"/>
      <c r="D204" s="227"/>
      <c r="E204" s="227"/>
      <c r="F204" s="227"/>
      <c r="G204" s="93" cm="1">
        <f t="array" ref="G204">Lininterp($A$55:$A$71,$N$55:$N$71,N203)</f>
        <v>6132.8243792610892</v>
      </c>
      <c r="H204" s="233"/>
      <c r="I204" s="233"/>
      <c r="J204" s="68" cm="1">
        <f t="array" ref="J204">Lininterp($A$55:$A$71,$G$55:$G$71,N203)</f>
        <v>6132.3998105721166</v>
      </c>
      <c r="K204" s="68">
        <f t="shared" si="154"/>
        <v>8.5058948539229957E-6</v>
      </c>
      <c r="L204" s="68">
        <f t="shared" ref="L204" si="269">L203+K204</f>
        <v>5.11326115091925</v>
      </c>
      <c r="M204" s="68"/>
      <c r="N204" s="68">
        <f t="shared" si="161"/>
        <v>9.9479788928390072</v>
      </c>
      <c r="O204" s="68">
        <f t="shared" si="230"/>
        <v>529.45500855398984</v>
      </c>
      <c r="P204" s="164">
        <f t="shared" si="156"/>
        <v>593.20010646945491</v>
      </c>
      <c r="Q204" s="233" cm="1">
        <f t="array" ref="Q204">Lininterp($A$55:$A$71,$Z$55:$Z$71,V203)</f>
        <v>2117.6146438326064</v>
      </c>
      <c r="R204" s="68" cm="1">
        <f t="array" ref="R204">Lininterp($A$55:$A$71,$Y$55:$Y$71,V203)</f>
        <v>2117.5860549650743</v>
      </c>
      <c r="S204" s="69">
        <f t="shared" si="157"/>
        <v>1.8033623792288702E-6</v>
      </c>
      <c r="T204" s="68">
        <f t="shared" ref="T204" si="270">T203+S204</f>
        <v>4.39314347354704</v>
      </c>
      <c r="U204" s="68"/>
      <c r="V204" s="68">
        <f t="shared" si="164"/>
        <v>8.5469717384183657</v>
      </c>
      <c r="W204" s="68">
        <f t="shared" si="232"/>
        <v>460.34883688562024</v>
      </c>
      <c r="X204" s="164">
        <f t="shared" si="159"/>
        <v>139.07274920603464</v>
      </c>
    </row>
    <row r="205" spans="1:24" x14ac:dyDescent="0.2">
      <c r="A205" s="227">
        <f t="shared" si="208"/>
        <v>117</v>
      </c>
      <c r="B205" s="227"/>
      <c r="C205" s="227"/>
      <c r="D205" s="227"/>
      <c r="E205" s="227"/>
      <c r="F205" s="227"/>
      <c r="G205" s="93" cm="1">
        <f t="array" ref="G205">Lininterp($A$55:$A$71,$N$55:$N$71,N204)</f>
        <v>6132.8117751674226</v>
      </c>
      <c r="H205" s="233"/>
      <c r="I205" s="233"/>
      <c r="J205" s="68" cm="1">
        <f t="array" ref="J205">Lininterp($A$55:$A$71,$G$55:$G$71,N204)</f>
        <v>6132.4276682051841</v>
      </c>
      <c r="K205" s="68">
        <f t="shared" si="154"/>
        <v>7.6952764495348982E-6</v>
      </c>
      <c r="L205" s="68">
        <f t="shared" ref="L205" si="271">L204+K205</f>
        <v>5.1132688461956999</v>
      </c>
      <c r="M205" s="68"/>
      <c r="N205" s="68">
        <f t="shared" si="161"/>
        <v>9.9479938641939682</v>
      </c>
      <c r="O205" s="68">
        <f t="shared" si="230"/>
        <v>534.56827740018559</v>
      </c>
      <c r="P205" s="164">
        <f t="shared" si="156"/>
        <v>593.2018919609875</v>
      </c>
      <c r="Q205" s="233" cm="1">
        <f t="array" ref="Q205">Lininterp($A$55:$A$71,$Z$55:$Z$71,V204)</f>
        <v>2117.6138578811906</v>
      </c>
      <c r="R205" s="68" cm="1">
        <f t="array" ref="R205">Lininterp($A$55:$A$71,$Y$55:$Y$71,V204)</f>
        <v>2117.5883624888197</v>
      </c>
      <c r="S205" s="69">
        <f t="shared" si="157"/>
        <v>1.6082284964137592E-6</v>
      </c>
      <c r="T205" s="68">
        <f t="shared" ref="T205" si="272">T204+S205</f>
        <v>4.3931450817755362</v>
      </c>
      <c r="U205" s="68"/>
      <c r="V205" s="68">
        <f t="shared" si="164"/>
        <v>8.5469748672675792</v>
      </c>
      <c r="W205" s="68">
        <f t="shared" si="232"/>
        <v>464.74198196739576</v>
      </c>
      <c r="X205" s="164">
        <f t="shared" si="159"/>
        <v>139.07285102870475</v>
      </c>
    </row>
    <row r="206" spans="1:24" x14ac:dyDescent="0.2">
      <c r="A206" s="227">
        <f t="shared" si="208"/>
        <v>118</v>
      </c>
      <c r="B206" s="227"/>
      <c r="C206" s="227"/>
      <c r="D206" s="227"/>
      <c r="E206" s="227"/>
      <c r="F206" s="227"/>
      <c r="G206" s="93" cm="1">
        <f t="array" ref="G206">Lininterp($A$55:$A$71,$N$55:$N$71,N205)</f>
        <v>6132.8003722536978</v>
      </c>
      <c r="H206" s="233"/>
      <c r="I206" s="233"/>
      <c r="J206" s="68" cm="1">
        <f t="array" ref="J206">Lininterp($A$55:$A$71,$G$55:$G$71,N205)</f>
        <v>6132.4528709841261</v>
      </c>
      <c r="K206" s="68">
        <f t="shared" si="154"/>
        <v>6.9619106103517833E-6</v>
      </c>
      <c r="L206" s="68">
        <f t="shared" ref="L206" si="273">L205+K206</f>
        <v>5.1132758081063105</v>
      </c>
      <c r="M206" s="68"/>
      <c r="N206" s="68">
        <f t="shared" si="161"/>
        <v>9.9480074087671415</v>
      </c>
      <c r="O206" s="68">
        <f t="shared" si="230"/>
        <v>539.68155320829192</v>
      </c>
      <c r="P206" s="164">
        <f t="shared" si="156"/>
        <v>593.20350729610152</v>
      </c>
      <c r="Q206" s="233" cm="1">
        <f t="array" ref="Q206">Lininterp($A$55:$A$71,$Z$55:$Z$71,V205)</f>
        <v>2117.6131569741087</v>
      </c>
      <c r="R206" s="68" cm="1">
        <f t="array" ref="R206">Lininterp($A$55:$A$71,$Y$55:$Y$71,V205)</f>
        <v>2117.590420325605</v>
      </c>
      <c r="S206" s="69">
        <f t="shared" si="157"/>
        <v>1.4342091898294597E-6</v>
      </c>
      <c r="T206" s="68">
        <f t="shared" ref="T206" si="274">T205+S206</f>
        <v>4.3931465159847258</v>
      </c>
      <c r="U206" s="68"/>
      <c r="V206" s="68">
        <f t="shared" si="164"/>
        <v>8.5469776575578322</v>
      </c>
      <c r="W206" s="68">
        <f t="shared" si="232"/>
        <v>469.13512848338047</v>
      </c>
      <c r="X206" s="164">
        <f t="shared" si="159"/>
        <v>139.07294183362458</v>
      </c>
    </row>
    <row r="207" spans="1:24" x14ac:dyDescent="0.2">
      <c r="A207" s="227">
        <f t="shared" si="208"/>
        <v>119</v>
      </c>
      <c r="B207" s="227"/>
      <c r="C207" s="227"/>
      <c r="D207" s="227"/>
      <c r="E207" s="227"/>
      <c r="F207" s="227"/>
      <c r="G207" s="93" cm="1">
        <f t="array" ref="G207">Lininterp($A$55:$A$71,$N$55:$N$71,N206)</f>
        <v>6132.7900560465314</v>
      </c>
      <c r="H207" s="233"/>
      <c r="I207" s="233"/>
      <c r="J207" s="68" cm="1">
        <f t="array" ref="J207">Lininterp($A$55:$A$71,$G$55:$G$71,N206)</f>
        <v>6132.4756719186062</v>
      </c>
      <c r="K207" s="68">
        <f t="shared" si="154"/>
        <v>6.298435106802511E-6</v>
      </c>
      <c r="L207" s="68">
        <f t="shared" ref="L207" si="275">L206+K207</f>
        <v>5.1132821065414173</v>
      </c>
      <c r="M207" s="68"/>
      <c r="N207" s="68">
        <f t="shared" si="161"/>
        <v>9.9480196625319408</v>
      </c>
      <c r="O207" s="68">
        <f t="shared" si="230"/>
        <v>544.79483531483334</v>
      </c>
      <c r="P207" s="164">
        <f t="shared" si="156"/>
        <v>593.20496869041585</v>
      </c>
      <c r="Q207" s="233" cm="1">
        <f t="array" ref="Q207">Lininterp($A$55:$A$71,$Z$55:$Z$71,V206)</f>
        <v>2117.6125319090879</v>
      </c>
      <c r="R207" s="68" cm="1">
        <f t="array" ref="R207">Lininterp($A$55:$A$71,$Y$55:$Y$71,V206)</f>
        <v>2117.5922554929562</v>
      </c>
      <c r="S207" s="69">
        <f t="shared" si="157"/>
        <v>1.2790197441905458E-6</v>
      </c>
      <c r="T207" s="68">
        <f t="shared" ref="T207" si="276">T206+S207</f>
        <v>4.3931477950044702</v>
      </c>
      <c r="U207" s="68"/>
      <c r="V207" s="68">
        <f t="shared" si="164"/>
        <v>8.5469801459230936</v>
      </c>
      <c r="W207" s="68">
        <f t="shared" si="232"/>
        <v>473.52827627838496</v>
      </c>
      <c r="X207" s="164">
        <f t="shared" si="159"/>
        <v>139.07302281296992</v>
      </c>
    </row>
    <row r="208" spans="1:24" x14ac:dyDescent="0.2">
      <c r="A208" s="227">
        <f t="shared" si="208"/>
        <v>120</v>
      </c>
      <c r="B208" s="227"/>
      <c r="C208" s="227"/>
      <c r="D208" s="227"/>
      <c r="E208" s="227"/>
      <c r="F208" s="227"/>
      <c r="G208" s="93" cm="1">
        <f t="array" ref="G208">Lininterp($A$55:$A$71,$N$55:$N$71,N207)</f>
        <v>6132.7807229819446</v>
      </c>
      <c r="H208" s="233"/>
      <c r="I208" s="233"/>
      <c r="J208" s="68" cm="1">
        <f t="array" ref="J208">Lininterp($A$55:$A$71,$G$55:$G$71,N207)</f>
        <v>6132.4962999062691</v>
      </c>
      <c r="K208" s="68">
        <f t="shared" si="154"/>
        <v>5.6981893355801505E-6</v>
      </c>
      <c r="L208" s="68">
        <f t="shared" ref="L208" si="277">L207+K208</f>
        <v>5.1132878047307528</v>
      </c>
      <c r="M208" s="68"/>
      <c r="N208" s="68">
        <f t="shared" si="161"/>
        <v>9.9480307485034096</v>
      </c>
      <c r="O208" s="68">
        <f t="shared" si="230"/>
        <v>549.90812311956404</v>
      </c>
      <c r="P208" s="164">
        <f t="shared" si="156"/>
        <v>593.20629081426489</v>
      </c>
      <c r="Q208" s="233" cm="1">
        <f t="array" ref="Q208">Lininterp($A$55:$A$71,$Z$55:$Z$71,V207)</f>
        <v>2117.6119744795938</v>
      </c>
      <c r="R208" s="68" cm="1">
        <f t="array" ref="R208">Lininterp($A$55:$A$71,$Y$55:$Y$71,V207)</f>
        <v>2117.5938920849494</v>
      </c>
      <c r="S208" s="69">
        <f t="shared" si="157"/>
        <v>1.1406226633976405E-6</v>
      </c>
      <c r="T208" s="68">
        <f t="shared" ref="T208" si="278">T207+S208</f>
        <v>4.3931489356271332</v>
      </c>
      <c r="U208" s="68"/>
      <c r="V208" s="68">
        <f t="shared" si="164"/>
        <v>8.5469823650333332</v>
      </c>
      <c r="W208" s="68">
        <f t="shared" si="232"/>
        <v>477.92142521401212</v>
      </c>
      <c r="X208" s="164">
        <f t="shared" si="159"/>
        <v>139.0730950299176</v>
      </c>
    </row>
    <row r="209" spans="1:24" x14ac:dyDescent="0.2">
      <c r="A209" s="227">
        <f t="shared" si="208"/>
        <v>121</v>
      </c>
      <c r="B209" s="227"/>
      <c r="C209" s="227"/>
      <c r="D209" s="227"/>
      <c r="E209" s="227"/>
      <c r="F209" s="227"/>
      <c r="G209" s="93" cm="1">
        <f t="array" ref="G209">Lininterp($A$55:$A$71,$N$55:$N$71,N208)</f>
        <v>6132.7722793656822</v>
      </c>
      <c r="H209" s="233"/>
      <c r="I209" s="233"/>
      <c r="J209" s="68" cm="1">
        <f t="array" ref="J209">Lininterp($A$55:$A$71,$G$55:$G$71,N208)</f>
        <v>6132.5149620306402</v>
      </c>
      <c r="K209" s="68">
        <f t="shared" si="154"/>
        <v>5.1551474538905993E-6</v>
      </c>
      <c r="L209" s="68">
        <f t="shared" ref="L209" si="279">L208+K209</f>
        <v>5.1132929598782066</v>
      </c>
      <c r="M209" s="68"/>
      <c r="N209" s="68">
        <f t="shared" si="161"/>
        <v>9.9480407779731639</v>
      </c>
      <c r="O209" s="68">
        <f t="shared" si="230"/>
        <v>555.02141607944225</v>
      </c>
      <c r="P209" s="164">
        <f t="shared" si="156"/>
        <v>593.20748693995074</v>
      </c>
      <c r="Q209" s="233" cm="1">
        <f t="array" ref="Q209">Lininterp($A$55:$A$71,$Z$55:$Z$71,V208)</f>
        <v>2117.6114773670852</v>
      </c>
      <c r="R209" s="68" cm="1">
        <f t="array" ref="R209">Lininterp($A$55:$A$71,$Y$55:$Y$71,V208)</f>
        <v>2117.5953515885462</v>
      </c>
      <c r="S209" s="69">
        <f t="shared" si="157"/>
        <v>1.0172009199116521E-6</v>
      </c>
      <c r="T209" s="68">
        <f t="shared" ref="T209" si="280">T208+S209</f>
        <v>4.3931499528280531</v>
      </c>
      <c r="U209" s="68"/>
      <c r="V209" s="68">
        <f t="shared" si="164"/>
        <v>8.5469843440234499</v>
      </c>
      <c r="W209" s="68">
        <f t="shared" si="232"/>
        <v>482.31457516684014</v>
      </c>
      <c r="X209" s="164">
        <f t="shared" si="159"/>
        <v>139.073159432604</v>
      </c>
    </row>
    <row r="210" spans="1:24" x14ac:dyDescent="0.2">
      <c r="A210" s="227">
        <f t="shared" si="208"/>
        <v>122</v>
      </c>
      <c r="B210" s="227"/>
      <c r="C210" s="227"/>
      <c r="D210" s="227"/>
      <c r="E210" s="227"/>
      <c r="F210" s="227"/>
      <c r="G210" s="93" cm="1">
        <f t="array" ref="G210">Lininterp($A$55:$A$71,$N$55:$N$71,N209)</f>
        <v>6132.764640432626</v>
      </c>
      <c r="H210" s="233"/>
      <c r="I210" s="233"/>
      <c r="J210" s="68" cm="1">
        <f t="array" ref="J210">Lininterp($A$55:$A$71,$G$55:$G$71,N209)</f>
        <v>6132.5318456400237</v>
      </c>
      <c r="K210" s="68">
        <f t="shared" si="154"/>
        <v>4.6638578864779073E-6</v>
      </c>
      <c r="L210" s="68">
        <f t="shared" ref="L210" si="281">L209+K210</f>
        <v>5.1132976237360932</v>
      </c>
      <c r="M210" s="68"/>
      <c r="N210" s="68">
        <f t="shared" si="161"/>
        <v>9.9480498516266405</v>
      </c>
      <c r="O210" s="68">
        <f t="shared" si="230"/>
        <v>560.13471370317836</v>
      </c>
      <c r="P210" s="164">
        <f t="shared" si="156"/>
        <v>593.20856907496614</v>
      </c>
      <c r="Q210" s="233" cm="1">
        <f t="array" ref="Q210">Lininterp($A$55:$A$71,$Z$55:$Z$71,V209)</f>
        <v>2117.6110340449263</v>
      </c>
      <c r="R210" s="68" cm="1">
        <f t="array" ref="R210">Lininterp($A$55:$A$71,$Y$55:$Y$71,V209)</f>
        <v>2117.5966531657018</v>
      </c>
      <c r="S210" s="69">
        <f t="shared" si="157"/>
        <v>9.071340984249976E-7</v>
      </c>
      <c r="T210" s="68">
        <f t="shared" ref="T210" si="282">T209+S210</f>
        <v>4.3931508599621516</v>
      </c>
      <c r="U210" s="68"/>
      <c r="V210" s="68">
        <f t="shared" si="164"/>
        <v>8.5469861088757817</v>
      </c>
      <c r="W210" s="68">
        <f t="shared" si="232"/>
        <v>486.70772602680228</v>
      </c>
      <c r="X210" s="164">
        <f t="shared" si="159"/>
        <v>139.07321686657255</v>
      </c>
    </row>
    <row r="211" spans="1:24" x14ac:dyDescent="0.2">
      <c r="A211" s="227">
        <f t="shared" si="208"/>
        <v>123</v>
      </c>
      <c r="B211" s="227"/>
      <c r="C211" s="227"/>
      <c r="D211" s="227"/>
      <c r="E211" s="227"/>
      <c r="F211" s="227"/>
      <c r="G211" s="93" cm="1">
        <f t="array" ref="G211">Lininterp($A$55:$A$71,$N$55:$N$71,N210)</f>
        <v>6132.7577294958382</v>
      </c>
      <c r="H211" s="233"/>
      <c r="I211" s="233"/>
      <c r="J211" s="68" cm="1">
        <f t="array" ref="J211">Lininterp($A$55:$A$71,$G$55:$G$71,N210)</f>
        <v>6132.5471202282861</v>
      </c>
      <c r="K211" s="68">
        <f t="shared" si="154"/>
        <v>4.2193885973915272E-6</v>
      </c>
      <c r="L211" s="68">
        <f t="shared" ref="L211" si="283">L210+K211</f>
        <v>5.1133018431246908</v>
      </c>
      <c r="M211" s="68"/>
      <c r="N211" s="68">
        <f t="shared" si="161"/>
        <v>9.9480580605538727</v>
      </c>
      <c r="O211" s="68">
        <f t="shared" si="230"/>
        <v>565.24801554630301</v>
      </c>
      <c r="P211" s="164">
        <f t="shared" si="156"/>
        <v>593.20954808252225</v>
      </c>
      <c r="Q211" s="233" cm="1">
        <f t="array" ref="Q211">Lininterp($A$55:$A$71,$Z$55:$Z$71,V210)</f>
        <v>2117.6106386927013</v>
      </c>
      <c r="R211" s="68" cm="1">
        <f t="array" ref="R211">Lininterp($A$55:$A$71,$Y$55:$Y$71,V210)</f>
        <v>2117.5978139049389</v>
      </c>
      <c r="S211" s="69">
        <f t="shared" si="157"/>
        <v>8.0897712182208435E-7</v>
      </c>
      <c r="T211" s="68">
        <f t="shared" ref="T211" si="284">T210+S211</f>
        <v>4.3931516689392733</v>
      </c>
      <c r="U211" s="68"/>
      <c r="V211" s="68">
        <f t="shared" si="164"/>
        <v>8.5469876827612321</v>
      </c>
      <c r="W211" s="68">
        <f t="shared" si="232"/>
        <v>491.10087769574153</v>
      </c>
      <c r="X211" s="164">
        <f t="shared" si="159"/>
        <v>139.07326808587487</v>
      </c>
    </row>
    <row r="212" spans="1:24" x14ac:dyDescent="0.2">
      <c r="A212" s="227">
        <f t="shared" si="208"/>
        <v>124</v>
      </c>
      <c r="B212" s="227"/>
      <c r="C212" s="227"/>
      <c r="D212" s="227"/>
      <c r="E212" s="227"/>
      <c r="F212" s="227"/>
      <c r="G212" s="93" cm="1">
        <f t="array" ref="G212">Lininterp($A$55:$A$71,$N$55:$N$71,N211)</f>
        <v>6132.7514771767092</v>
      </c>
      <c r="H212" s="233"/>
      <c r="I212" s="233"/>
      <c r="J212" s="68" cm="1">
        <f t="array" ref="J212">Lininterp($A$55:$A$71,$G$55:$G$71,N211)</f>
        <v>6132.5609391363887</v>
      </c>
      <c r="K212" s="68">
        <f t="shared" si="154"/>
        <v>3.8172775777700632E-6</v>
      </c>
      <c r="L212" s="68">
        <f t="shared" ref="L212" si="285">L211+K212</f>
        <v>5.1133056604022684</v>
      </c>
      <c r="M212" s="68"/>
      <c r="N212" s="68">
        <f t="shared" si="161"/>
        <v>9.9480654871639462</v>
      </c>
      <c r="O212" s="68">
        <f t="shared" si="230"/>
        <v>570.36132120670527</v>
      </c>
      <c r="P212" s="164">
        <f t="shared" si="156"/>
        <v>593.21043379059176</v>
      </c>
      <c r="Q212" s="233" cm="1">
        <f t="array" ref="Q212">Lininterp($A$55:$A$71,$Z$55:$Z$71,V211)</f>
        <v>2117.610286119796</v>
      </c>
      <c r="R212" s="68" cm="1">
        <f t="array" ref="R212">Lininterp($A$55:$A$71,$Y$55:$Y$71,V211)</f>
        <v>2117.5988490457062</v>
      </c>
      <c r="S212" s="69">
        <f t="shared" si="157"/>
        <v>7.214412784585791E-7</v>
      </c>
      <c r="T212" s="68">
        <f t="shared" ref="T212" si="286">T211+S212</f>
        <v>4.3931523903805516</v>
      </c>
      <c r="U212" s="68"/>
      <c r="V212" s="68">
        <f t="shared" si="164"/>
        <v>8.5469890863434852</v>
      </c>
      <c r="W212" s="68">
        <f t="shared" si="232"/>
        <v>495.49403008612211</v>
      </c>
      <c r="X212" s="164">
        <f t="shared" si="159"/>
        <v>139.07331376297054</v>
      </c>
    </row>
    <row r="213" spans="1:24" x14ac:dyDescent="0.2">
      <c r="A213" s="227">
        <f t="shared" si="208"/>
        <v>125</v>
      </c>
      <c r="B213" s="227"/>
      <c r="C213" s="227"/>
      <c r="D213" s="227"/>
      <c r="E213" s="227"/>
      <c r="F213" s="227"/>
      <c r="G213" s="93" cm="1">
        <f t="array" ref="G213">Lininterp($A$55:$A$71,$N$55:$N$71,N212)</f>
        <v>6132.7458207084637</v>
      </c>
      <c r="H213" s="233"/>
      <c r="I213" s="233"/>
      <c r="J213" s="68" cm="1">
        <f t="array" ref="J213">Lininterp($A$55:$A$71,$G$55:$G$71,N212)</f>
        <v>6132.5734410917867</v>
      </c>
      <c r="K213" s="68">
        <f t="shared" si="154"/>
        <v>3.4534880515157956E-6</v>
      </c>
      <c r="L213" s="68">
        <f t="shared" ref="L213" si="287">L212+K213</f>
        <v>5.1133091138903195</v>
      </c>
      <c r="M213" s="68"/>
      <c r="N213" s="68">
        <f t="shared" si="161"/>
        <v>9.948072206012295</v>
      </c>
      <c r="O213" s="68">
        <f t="shared" si="230"/>
        <v>575.47463032059557</v>
      </c>
      <c r="P213" s="164">
        <f t="shared" si="156"/>
        <v>593.2112350905619</v>
      </c>
      <c r="Q213" s="233" cm="1">
        <f t="array" ref="Q213">Lininterp($A$55:$A$71,$Z$55:$Z$71,V212)</f>
        <v>2117.6099716972481</v>
      </c>
      <c r="R213" s="68" cm="1">
        <f t="array" ref="R213">Lininterp($A$55:$A$71,$Y$55:$Y$71,V212)</f>
        <v>2117.5997721784602</v>
      </c>
      <c r="S213" s="69">
        <f t="shared" si="157"/>
        <v>6.433773022892106E-7</v>
      </c>
      <c r="T213" s="68">
        <f t="shared" ref="T213" si="288">T212+S213</f>
        <v>4.3931530337578542</v>
      </c>
      <c r="U213" s="68"/>
      <c r="V213" s="68">
        <f t="shared" si="164"/>
        <v>8.5469903380502998</v>
      </c>
      <c r="W213" s="68">
        <f t="shared" si="232"/>
        <v>499.88718311987998</v>
      </c>
      <c r="X213" s="164">
        <f t="shared" si="159"/>
        <v>139.07335449755567</v>
      </c>
    </row>
    <row r="214" spans="1:24" x14ac:dyDescent="0.2">
      <c r="A214" s="227">
        <f t="shared" si="208"/>
        <v>126</v>
      </c>
      <c r="B214" s="227"/>
      <c r="C214" s="227"/>
      <c r="D214" s="227"/>
      <c r="E214" s="227"/>
      <c r="F214" s="227"/>
      <c r="G214" s="93" cm="1">
        <f t="array" ref="G214">Lininterp($A$55:$A$71,$N$55:$N$71,N213)</f>
        <v>6132.7407033060472</v>
      </c>
      <c r="H214" s="233"/>
      <c r="I214" s="233"/>
      <c r="J214" s="68" cm="1">
        <f t="array" ref="J214">Lininterp($A$55:$A$71,$G$55:$G$71,N213)</f>
        <v>6132.5847516010972</v>
      </c>
      <c r="K214" s="68">
        <f t="shared" si="154"/>
        <v>3.124367950459385E-6</v>
      </c>
      <c r="L214" s="68">
        <f t="shared" ref="L214" si="289">L213+K214</f>
        <v>5.1133122382582696</v>
      </c>
      <c r="M214" s="68"/>
      <c r="N214" s="68">
        <f t="shared" si="161"/>
        <v>9.9480782845491618</v>
      </c>
      <c r="O214" s="68">
        <f t="shared" si="230"/>
        <v>580.5879425588538</v>
      </c>
      <c r="P214" s="164">
        <f t="shared" si="156"/>
        <v>593.21196002648719</v>
      </c>
      <c r="Q214" s="233" cm="1">
        <f t="array" ref="Q214">Lininterp($A$55:$A$71,$Z$55:$Z$71,V213)</f>
        <v>2117.6096912969761</v>
      </c>
      <c r="R214" s="68" cm="1">
        <f t="array" ref="R214">Lininterp($A$55:$A$71,$Y$55:$Y$71,V213)</f>
        <v>2117.6005954230945</v>
      </c>
      <c r="S214" s="69">
        <f t="shared" si="157"/>
        <v>5.7376028433783141E-7</v>
      </c>
      <c r="T214" s="68">
        <f t="shared" ref="T214" si="290">T213+S214</f>
        <v>4.3931536075181388</v>
      </c>
      <c r="U214" s="68"/>
      <c r="V214" s="68">
        <f t="shared" si="164"/>
        <v>8.5469914543154442</v>
      </c>
      <c r="W214" s="68">
        <f t="shared" si="232"/>
        <v>504.28033672739809</v>
      </c>
      <c r="X214" s="164">
        <f t="shared" si="159"/>
        <v>139.07339082443619</v>
      </c>
    </row>
    <row r="215" spans="1:24" x14ac:dyDescent="0.2">
      <c r="A215" s="227">
        <f t="shared" si="208"/>
        <v>127</v>
      </c>
      <c r="B215" s="227"/>
      <c r="C215" s="227"/>
      <c r="D215" s="227"/>
      <c r="E215" s="227"/>
      <c r="F215" s="227"/>
      <c r="G215" s="93" cm="1">
        <f t="array" ref="G215">Lininterp($A$55:$A$71,$N$55:$N$71,N214)</f>
        <v>6132.7360735960683</v>
      </c>
      <c r="H215" s="233"/>
      <c r="I215" s="233"/>
      <c r="J215" s="68" cm="1">
        <f t="array" ref="J215">Lininterp($A$55:$A$71,$G$55:$G$71,N214)</f>
        <v>6132.594984210059</v>
      </c>
      <c r="K215" s="68">
        <f t="shared" si="154"/>
        <v>2.826613251447419E-6</v>
      </c>
      <c r="L215" s="68">
        <f t="shared" ref="L215" si="291">L214+K215</f>
        <v>5.1133150648715207</v>
      </c>
      <c r="M215" s="68"/>
      <c r="N215" s="68">
        <f t="shared" si="161"/>
        <v>9.9480837837967329</v>
      </c>
      <c r="O215" s="68">
        <f t="shared" si="230"/>
        <v>585.70125762372527</v>
      </c>
      <c r="P215" s="164">
        <f t="shared" si="156"/>
        <v>593.21261587583581</v>
      </c>
      <c r="Q215" s="233" cm="1">
        <f t="array" ref="Q215">Lininterp($A$55:$A$71,$Z$55:$Z$71,V214)</f>
        <v>2117.6094412375796</v>
      </c>
      <c r="R215" s="68" cm="1">
        <f t="array" ref="R215">Lininterp($A$55:$A$71,$Y$55:$Y$71,V214)</f>
        <v>2117.6013295880603</v>
      </c>
      <c r="S215" s="69">
        <f t="shared" si="157"/>
        <v>5.1167621663600477E-7</v>
      </c>
      <c r="T215" s="68">
        <f t="shared" ref="T215" si="292">T214+S215</f>
        <v>4.3931541191943557</v>
      </c>
      <c r="U215" s="68"/>
      <c r="V215" s="68">
        <f t="shared" si="164"/>
        <v>8.546992449794466</v>
      </c>
      <c r="W215" s="68">
        <f t="shared" si="232"/>
        <v>508.67349084659247</v>
      </c>
      <c r="X215" s="164">
        <f t="shared" si="159"/>
        <v>139.07342322054933</v>
      </c>
    </row>
    <row r="216" spans="1:24" x14ac:dyDescent="0.2">
      <c r="A216" s="227">
        <f t="shared" si="208"/>
        <v>128</v>
      </c>
      <c r="B216" s="227"/>
      <c r="C216" s="227"/>
      <c r="D216" s="227"/>
      <c r="E216" s="227"/>
      <c r="F216" s="227"/>
      <c r="G216" s="93" cm="1">
        <f t="array" ref="G216">Lininterp($A$55:$A$71,$N$55:$N$71,N215)</f>
        <v>6132.7318851010541</v>
      </c>
      <c r="H216" s="233"/>
      <c r="I216" s="233"/>
      <c r="J216" s="68" cm="1">
        <f t="array" ref="J216">Lininterp($A$55:$A$71,$G$55:$G$71,N215)</f>
        <v>6132.6042416434202</v>
      </c>
      <c r="K216" s="68">
        <f t="shared" ref="K216:K279" si="293">(G216-J216)/($B$8*1100)</f>
        <v>2.5572348070517143E-6</v>
      </c>
      <c r="L216" s="68">
        <f t="shared" ref="L216" si="294">L215+K216</f>
        <v>5.1133176221063277</v>
      </c>
      <c r="M216" s="68"/>
      <c r="N216" s="68">
        <f t="shared" si="161"/>
        <v>9.9480887589617275</v>
      </c>
      <c r="O216" s="68">
        <f t="shared" si="230"/>
        <v>590.81457524583163</v>
      </c>
      <c r="P216" s="164">
        <f t="shared" ref="P216:P279" si="295">0.5*$B$8*(L216)^2</f>
        <v>593.21320922254313</v>
      </c>
      <c r="Q216" s="233" cm="1">
        <f t="array" ref="Q216">Lininterp($A$55:$A$71,$Z$55:$Z$71,V215)</f>
        <v>2117.6092182360067</v>
      </c>
      <c r="R216" s="68" cm="1">
        <f t="array" ref="R216">Lininterp($A$55:$A$71,$Y$55:$Y$71,V215)</f>
        <v>2117.6019843122772</v>
      </c>
      <c r="S216" s="69">
        <f t="shared" ref="S216:S279" si="296">(Q216-R216)/($C$8*1100)</f>
        <v>4.5630999175784563E-7</v>
      </c>
      <c r="T216" s="68">
        <f t="shared" ref="T216" si="297">T215+S216</f>
        <v>4.3931545755043473</v>
      </c>
      <c r="U216" s="68"/>
      <c r="V216" s="68">
        <f t="shared" si="164"/>
        <v>8.5469933375570957</v>
      </c>
      <c r="W216" s="68">
        <f t="shared" si="232"/>
        <v>513.06664542209683</v>
      </c>
      <c r="X216" s="164">
        <f t="shared" ref="X216:X279" si="298">0.5*$C$8*(T216)^2</f>
        <v>139.07345211122521</v>
      </c>
    </row>
    <row r="217" spans="1:24" x14ac:dyDescent="0.2">
      <c r="A217" s="227">
        <f t="shared" si="208"/>
        <v>129</v>
      </c>
      <c r="B217" s="227"/>
      <c r="C217" s="227"/>
      <c r="D217" s="227"/>
      <c r="E217" s="227"/>
      <c r="F217" s="227"/>
      <c r="G217" s="93" cm="1">
        <f t="array" ref="G217">Lininterp($A$55:$A$71,$N$55:$N$71,N216)</f>
        <v>6132.7280957728772</v>
      </c>
      <c r="H217" s="233"/>
      <c r="I217" s="233"/>
      <c r="J217" s="68" cm="1">
        <f t="array" ref="J217">Lininterp($A$55:$A$71,$G$55:$G$71,N216)</f>
        <v>6132.6126168361716</v>
      </c>
      <c r="K217" s="68">
        <f t="shared" si="293"/>
        <v>2.3135283382234994E-6</v>
      </c>
      <c r="L217" s="68">
        <f t="shared" ref="L217" si="299">L216+K217</f>
        <v>5.1133199356346655</v>
      </c>
      <c r="M217" s="68"/>
      <c r="N217" s="68">
        <f t="shared" ref="N217:N280" si="300">L217/0.514</f>
        <v>9.948093259989621</v>
      </c>
      <c r="O217" s="68">
        <f t="shared" ref="O217:O248" si="301">O216+L217</f>
        <v>595.92789518146628</v>
      </c>
      <c r="P217" s="164">
        <f t="shared" si="295"/>
        <v>593.21374602310266</v>
      </c>
      <c r="Q217" s="233" cm="1">
        <f t="array" ref="Q217">Lininterp($A$55:$A$71,$Z$55:$Z$71,V216)</f>
        <v>2117.60901936445</v>
      </c>
      <c r="R217" s="68" cm="1">
        <f t="array" ref="R217">Lininterp($A$55:$A$71,$Y$55:$Y$71,V216)</f>
        <v>2117.6025681916753</v>
      </c>
      <c r="S217" s="69">
        <f t="shared" si="296"/>
        <v>4.0693470178947998E-7</v>
      </c>
      <c r="T217" s="68">
        <f t="shared" ref="T217" si="302">T216+S217</f>
        <v>4.3931549824390492</v>
      </c>
      <c r="U217" s="68"/>
      <c r="V217" s="68">
        <f t="shared" ref="V217:V280" si="303">T217/0.514</f>
        <v>8.5469941292588505</v>
      </c>
      <c r="W217" s="68">
        <f t="shared" ref="W217:W248" si="304">W216+T217</f>
        <v>517.45980040453583</v>
      </c>
      <c r="X217" s="164">
        <f t="shared" si="298"/>
        <v>139.07347787577115</v>
      </c>
    </row>
    <row r="218" spans="1:24" x14ac:dyDescent="0.2">
      <c r="A218" s="227">
        <f t="shared" si="208"/>
        <v>130</v>
      </c>
      <c r="B218" s="227"/>
      <c r="C218" s="227"/>
      <c r="D218" s="227"/>
      <c r="E218" s="227"/>
      <c r="F218" s="227"/>
      <c r="G218" s="93" cm="1">
        <f t="array" ref="G218">Lininterp($A$55:$A$71,$N$55:$N$71,N217)</f>
        <v>6132.7246675706283</v>
      </c>
      <c r="H218" s="233"/>
      <c r="I218" s="233"/>
      <c r="J218" s="68" cm="1">
        <f t="array" ref="J218">Lininterp($A$55:$A$71,$G$55:$G$71,N217)</f>
        <v>6132.6201938665281</v>
      </c>
      <c r="K218" s="68">
        <f t="shared" si="293"/>
        <v>2.0930472857679205E-6</v>
      </c>
      <c r="L218" s="68">
        <f t="shared" ref="L218" si="305">L217+K218</f>
        <v>5.1133220286819512</v>
      </c>
      <c r="M218" s="68"/>
      <c r="N218" s="68">
        <f t="shared" si="300"/>
        <v>9.9480973320660535</v>
      </c>
      <c r="O218" s="68">
        <f t="shared" si="301"/>
        <v>601.04121721014826</v>
      </c>
      <c r="P218" s="164">
        <f t="shared" si="295"/>
        <v>593.21423166636009</v>
      </c>
      <c r="Q218" s="233" cm="1">
        <f t="array" ref="Q218">Lininterp($A$55:$A$71,$Z$55:$Z$71,V217)</f>
        <v>2117.6088420119063</v>
      </c>
      <c r="R218" s="68" cm="1">
        <f t="array" ref="R218">Lininterp($A$55:$A$71,$Y$55:$Y$71,V217)</f>
        <v>2117.6030888920614</v>
      </c>
      <c r="S218" s="69">
        <f t="shared" si="296"/>
        <v>3.6290209396742616E-7</v>
      </c>
      <c r="T218" s="68">
        <f t="shared" ref="T218" si="306">T217+S218</f>
        <v>4.3931553453411434</v>
      </c>
      <c r="U218" s="68"/>
      <c r="V218" s="68">
        <f t="shared" si="303"/>
        <v>8.5469948352940524</v>
      </c>
      <c r="W218" s="68">
        <f t="shared" si="304"/>
        <v>521.85295574987697</v>
      </c>
      <c r="X218" s="164">
        <f t="shared" si="298"/>
        <v>139.0735008524513</v>
      </c>
    </row>
    <row r="219" spans="1:24" x14ac:dyDescent="0.2">
      <c r="A219" s="227">
        <f t="shared" si="208"/>
        <v>131</v>
      </c>
      <c r="B219" s="227"/>
      <c r="C219" s="227"/>
      <c r="D219" s="227"/>
      <c r="E219" s="227"/>
      <c r="F219" s="227"/>
      <c r="G219" s="93" cm="1">
        <f t="array" ref="G219">Lininterp($A$55:$A$71,$N$55:$N$71,N218)</f>
        <v>6132.7215660787224</v>
      </c>
      <c r="H219" s="233"/>
      <c r="I219" s="233"/>
      <c r="J219" s="68" cm="1">
        <f t="array" ref="J219">Lininterp($A$55:$A$71,$G$55:$G$71,N218)</f>
        <v>6132.6270487999946</v>
      </c>
      <c r="K219" s="68">
        <f t="shared" si="293"/>
        <v>1.8935782492188404E-6</v>
      </c>
      <c r="L219" s="68">
        <f t="shared" ref="L219" si="307">L218+K219</f>
        <v>5.1133239222602</v>
      </c>
      <c r="M219" s="68"/>
      <c r="N219" s="68">
        <f t="shared" si="300"/>
        <v>9.948101016070428</v>
      </c>
      <c r="O219" s="68">
        <f t="shared" si="301"/>
        <v>606.15454113240844</v>
      </c>
      <c r="P219" s="164">
        <f t="shared" si="295"/>
        <v>593.21467102760812</v>
      </c>
      <c r="Q219" s="233" cm="1">
        <f t="array" ref="Q219">Lininterp($A$55:$A$71,$Z$55:$Z$71,V218)</f>
        <v>2117.6086838498986</v>
      </c>
      <c r="R219" s="68" cm="1">
        <f t="array" ref="R219">Lininterp($A$55:$A$71,$Y$55:$Y$71,V218)</f>
        <v>2117.6035532497567</v>
      </c>
      <c r="S219" s="69">
        <f t="shared" si="296"/>
        <v>3.2363406029976343E-7</v>
      </c>
      <c r="T219" s="68">
        <f t="shared" ref="T219" si="308">T218+S219</f>
        <v>4.3931556689752034</v>
      </c>
      <c r="U219" s="68"/>
      <c r="V219" s="68">
        <f t="shared" si="303"/>
        <v>8.5469954649323014</v>
      </c>
      <c r="W219" s="68">
        <f t="shared" si="304"/>
        <v>526.24611141885214</v>
      </c>
      <c r="X219" s="164">
        <f t="shared" si="298"/>
        <v>139.07352134292788</v>
      </c>
    </row>
    <row r="220" spans="1:24" x14ac:dyDescent="0.2">
      <c r="A220" s="227">
        <f t="shared" si="208"/>
        <v>132</v>
      </c>
      <c r="B220" s="227"/>
      <c r="C220" s="227"/>
      <c r="D220" s="227"/>
      <c r="E220" s="227"/>
      <c r="F220" s="227"/>
      <c r="G220" s="93" cm="1">
        <f t="array" ref="G220">Lininterp($A$55:$A$71,$N$55:$N$71,N219)</f>
        <v>6132.7187601614123</v>
      </c>
      <c r="H220" s="233"/>
      <c r="I220" s="233"/>
      <c r="J220" s="68" cm="1">
        <f t="array" ref="J220">Lininterp($A$55:$A$71,$G$55:$G$71,N219)</f>
        <v>6132.6332504529582</v>
      </c>
      <c r="K220" s="68">
        <f t="shared" si="293"/>
        <v>1.7131187673308559E-6</v>
      </c>
      <c r="L220" s="68">
        <f t="shared" ref="L220" si="309">L219+K220</f>
        <v>5.1133256353789678</v>
      </c>
      <c r="M220" s="68"/>
      <c r="N220" s="68">
        <f t="shared" si="300"/>
        <v>9.9481043489863179</v>
      </c>
      <c r="O220" s="68">
        <f t="shared" si="301"/>
        <v>611.26786676778738</v>
      </c>
      <c r="P220" s="164">
        <f t="shared" si="295"/>
        <v>593.21506851752736</v>
      </c>
      <c r="Q220" s="233" cm="1">
        <f t="array" ref="Q220">Lininterp($A$55:$A$71,$Z$55:$Z$71,V219)</f>
        <v>2117.6085428019042</v>
      </c>
      <c r="R220" s="68" cm="1">
        <f t="array" ref="R220">Lininterp($A$55:$A$71,$Y$55:$Y$71,V219)</f>
        <v>2117.6039673613559</v>
      </c>
      <c r="S220" s="69">
        <f t="shared" si="296"/>
        <v>2.886150472329072E-7</v>
      </c>
      <c r="T220" s="68">
        <f t="shared" ref="T220" si="310">T219+S220</f>
        <v>4.3931559575902508</v>
      </c>
      <c r="U220" s="68"/>
      <c r="V220" s="68">
        <f t="shared" si="303"/>
        <v>8.5469960264401763</v>
      </c>
      <c r="W220" s="68">
        <f t="shared" si="304"/>
        <v>530.63926737644238</v>
      </c>
      <c r="X220" s="164">
        <f t="shared" si="298"/>
        <v>139.07353961622175</v>
      </c>
    </row>
    <row r="221" spans="1:24" x14ac:dyDescent="0.2">
      <c r="A221" s="227">
        <f t="shared" si="208"/>
        <v>133</v>
      </c>
      <c r="B221" s="227"/>
      <c r="C221" s="227"/>
      <c r="D221" s="227"/>
      <c r="E221" s="227"/>
      <c r="F221" s="227"/>
      <c r="G221" s="93" cm="1">
        <f t="array" ref="G221">Lininterp($A$55:$A$71,$N$55:$N$71,N220)</f>
        <v>6132.7162216502056</v>
      </c>
      <c r="H221" s="233"/>
      <c r="I221" s="233"/>
      <c r="J221" s="68" cm="1">
        <f t="array" ref="J221">Lininterp($A$55:$A$71,$G$55:$G$71,N220)</f>
        <v>6132.6388610835675</v>
      </c>
      <c r="K221" s="68">
        <f t="shared" si="293"/>
        <v>1.5498572145214436E-6</v>
      </c>
      <c r="L221" s="68">
        <f t="shared" ref="L221" si="311">L220+K221</f>
        <v>5.1133271852361819</v>
      </c>
      <c r="M221" s="68"/>
      <c r="N221" s="68">
        <f t="shared" si="300"/>
        <v>9.9481073642727278</v>
      </c>
      <c r="O221" s="68">
        <f t="shared" si="301"/>
        <v>616.38119395302351</v>
      </c>
      <c r="P221" s="164">
        <f t="shared" si="295"/>
        <v>593.21542812646226</v>
      </c>
      <c r="Q221" s="233" cm="1">
        <f t="array" ref="Q221">Lininterp($A$55:$A$71,$Z$55:$Z$71,V220)</f>
        <v>2117.6084170160898</v>
      </c>
      <c r="R221" s="68" cm="1">
        <f t="array" ref="R221">Lininterp($A$55:$A$71,$Y$55:$Y$71,V220)</f>
        <v>2117.6043366637673</v>
      </c>
      <c r="S221" s="69">
        <f t="shared" si="296"/>
        <v>2.5738528691675811E-7</v>
      </c>
      <c r="T221" s="68">
        <f t="shared" ref="T221" si="312">T220+S221</f>
        <v>4.3931562149755381</v>
      </c>
      <c r="U221" s="68"/>
      <c r="V221" s="68">
        <f t="shared" si="303"/>
        <v>8.5469965271897621</v>
      </c>
      <c r="W221" s="68">
        <f t="shared" si="304"/>
        <v>535.03242359141791</v>
      </c>
      <c r="X221" s="164">
        <f t="shared" si="298"/>
        <v>139.07355591224416</v>
      </c>
    </row>
    <row r="222" spans="1:24" x14ac:dyDescent="0.2">
      <c r="A222" s="227">
        <f t="shared" si="208"/>
        <v>134</v>
      </c>
      <c r="B222" s="227"/>
      <c r="C222" s="227"/>
      <c r="D222" s="227"/>
      <c r="E222" s="227"/>
      <c r="F222" s="227"/>
      <c r="G222" s="93" cm="1">
        <f t="array" ref="G222">Lininterp($A$55:$A$71,$N$55:$N$71,N221)</f>
        <v>6132.7139250610944</v>
      </c>
      <c r="H222" s="233"/>
      <c r="I222" s="233"/>
      <c r="J222" s="68" cm="1">
        <f t="array" ref="J222">Lininterp($A$55:$A$71,$G$55:$G$71,N221)</f>
        <v>6132.64393701671</v>
      </c>
      <c r="K222" s="68">
        <f t="shared" si="293"/>
        <v>1.4021546148547598E-6</v>
      </c>
      <c r="L222" s="68">
        <f t="shared" ref="L222" si="313">L221+K222</f>
        <v>5.1133285873907965</v>
      </c>
      <c r="M222" s="68"/>
      <c r="N222" s="68">
        <f t="shared" si="300"/>
        <v>9.9481100921999932</v>
      </c>
      <c r="O222" s="68">
        <f t="shared" si="301"/>
        <v>621.49452254041432</v>
      </c>
      <c r="P222" s="164">
        <f t="shared" si="295"/>
        <v>593.21575346447958</v>
      </c>
      <c r="Q222" s="233" cm="1">
        <f t="array" ref="Q222">Lininterp($A$55:$A$71,$Z$55:$Z$71,V221)</f>
        <v>2117.6083048410032</v>
      </c>
      <c r="R222" s="68" cm="1">
        <f t="array" ref="R222">Lininterp($A$55:$A$71,$Y$55:$Y$71,V221)</f>
        <v>2117.6046660055949</v>
      </c>
      <c r="S222" s="69">
        <f t="shared" si="296"/>
        <v>2.295347611157591E-7</v>
      </c>
      <c r="T222" s="68">
        <f t="shared" ref="T222" si="314">T221+S222</f>
        <v>4.3931564445102991</v>
      </c>
      <c r="U222" s="68"/>
      <c r="V222" s="68">
        <f t="shared" si="303"/>
        <v>8.5469969737554461</v>
      </c>
      <c r="W222" s="68">
        <f t="shared" si="304"/>
        <v>539.42558003592819</v>
      </c>
      <c r="X222" s="164">
        <f t="shared" si="298"/>
        <v>139.07357044494671</v>
      </c>
    </row>
    <row r="223" spans="1:24" x14ac:dyDescent="0.2">
      <c r="A223" s="227">
        <f t="shared" si="208"/>
        <v>135</v>
      </c>
      <c r="B223" s="227"/>
      <c r="C223" s="227"/>
      <c r="D223" s="227"/>
      <c r="E223" s="227"/>
      <c r="F223" s="227"/>
      <c r="G223" s="93" cm="1">
        <f t="array" ref="G223">Lininterp($A$55:$A$71,$N$55:$N$71,N222)</f>
        <v>6132.7118473387145</v>
      </c>
      <c r="H223" s="233"/>
      <c r="I223" s="233"/>
      <c r="J223" s="68" cm="1">
        <f t="array" ref="J223">Lininterp($A$55:$A$71,$G$55:$G$71,N222)</f>
        <v>6132.6485292094685</v>
      </c>
      <c r="K223" s="68">
        <f t="shared" si="293"/>
        <v>1.2685281880226429E-6</v>
      </c>
      <c r="L223" s="68">
        <f t="shared" ref="L223" si="315">L222+K223</f>
        <v>5.1133298559189848</v>
      </c>
      <c r="M223" s="68"/>
      <c r="N223" s="68">
        <f t="shared" si="300"/>
        <v>9.9481125601536675</v>
      </c>
      <c r="O223" s="68">
        <f t="shared" si="301"/>
        <v>626.60785239633333</v>
      </c>
      <c r="P223" s="164">
        <f t="shared" si="295"/>
        <v>593.21604779760742</v>
      </c>
      <c r="Q223" s="233" cm="1">
        <f t="array" ref="Q223">Lininterp($A$55:$A$71,$Z$55:$Z$71,V222)</f>
        <v>2117.6082048038875</v>
      </c>
      <c r="R223" s="68" cm="1">
        <f t="array" ref="R223">Lininterp($A$55:$A$71,$Y$55:$Y$71,V222)</f>
        <v>2117.6049597107972</v>
      </c>
      <c r="S223" s="69">
        <f t="shared" si="296"/>
        <v>2.046978177631405E-7</v>
      </c>
      <c r="T223" s="68">
        <f t="shared" ref="T223" si="316">T222+S223</f>
        <v>4.3931566492081169</v>
      </c>
      <c r="U223" s="68"/>
      <c r="V223" s="68">
        <f t="shared" si="303"/>
        <v>8.5469973720002272</v>
      </c>
      <c r="W223" s="68">
        <f t="shared" si="304"/>
        <v>543.81873668513629</v>
      </c>
      <c r="X223" s="164">
        <f t="shared" si="298"/>
        <v>139.07358340513031</v>
      </c>
    </row>
    <row r="224" spans="1:24" x14ac:dyDescent="0.2">
      <c r="A224" s="227">
        <f t="shared" si="208"/>
        <v>136</v>
      </c>
      <c r="B224" s="227"/>
      <c r="C224" s="227"/>
      <c r="D224" s="227"/>
      <c r="E224" s="227"/>
      <c r="F224" s="227"/>
      <c r="G224" s="93" cm="1">
        <f t="array" ref="G224">Lininterp($A$55:$A$71,$N$55:$N$71,N223)</f>
        <v>6132.7099676248945</v>
      </c>
      <c r="H224" s="233"/>
      <c r="I224" s="233"/>
      <c r="J224" s="68" cm="1">
        <f t="array" ref="J224">Lininterp($A$55:$A$71,$G$55:$G$71,N223)</f>
        <v>6132.6526837626843</v>
      </c>
      <c r="K224" s="68">
        <f t="shared" si="293"/>
        <v>1.147636463643574E-6</v>
      </c>
      <c r="L224" s="68">
        <f t="shared" ref="L224" si="317">L223+K224</f>
        <v>5.1133310035554489</v>
      </c>
      <c r="M224" s="68"/>
      <c r="N224" s="68">
        <f t="shared" si="300"/>
        <v>9.9481147929094327</v>
      </c>
      <c r="O224" s="68">
        <f t="shared" si="301"/>
        <v>631.72118339988879</v>
      </c>
      <c r="P224" s="164">
        <f t="shared" si="295"/>
        <v>593.21631408062183</v>
      </c>
      <c r="Q224" s="233" cm="1">
        <f t="array" ref="Q224">Lininterp($A$55:$A$71,$Z$55:$Z$71,V223)</f>
        <v>2117.6081155913471</v>
      </c>
      <c r="R224" s="68" cm="1">
        <f t="array" ref="R224">Lininterp($A$55:$A$71,$Y$55:$Y$71,V223)</f>
        <v>2117.6052216354551</v>
      </c>
      <c r="S224" s="69">
        <f t="shared" si="296"/>
        <v>1.8254837051095375E-7</v>
      </c>
      <c r="T224" s="68">
        <f t="shared" ref="T224" si="318">T223+S224</f>
        <v>4.3931568317564871</v>
      </c>
      <c r="U224" s="68"/>
      <c r="V224" s="68">
        <f t="shared" si="303"/>
        <v>8.5469977271526982</v>
      </c>
      <c r="W224" s="68">
        <f t="shared" si="304"/>
        <v>548.21189351689281</v>
      </c>
      <c r="X224" s="164">
        <f t="shared" si="298"/>
        <v>139.07359496295015</v>
      </c>
    </row>
    <row r="225" spans="1:24" x14ac:dyDescent="0.2">
      <c r="A225" s="227">
        <f t="shared" si="208"/>
        <v>137</v>
      </c>
      <c r="B225" s="227"/>
      <c r="C225" s="227"/>
      <c r="D225" s="227"/>
      <c r="E225" s="227"/>
      <c r="F225" s="227"/>
      <c r="G225" s="93" cm="1">
        <f t="array" ref="G225">Lininterp($A$55:$A$71,$N$55:$N$71,N224)</f>
        <v>6132.7082670492664</v>
      </c>
      <c r="H225" s="233"/>
      <c r="I225" s="233"/>
      <c r="J225" s="68" cm="1">
        <f t="array" ref="J225">Lininterp($A$55:$A$71,$G$55:$G$71,N224)</f>
        <v>6132.656442383739</v>
      </c>
      <c r="K225" s="68">
        <f t="shared" si="293"/>
        <v>1.0382658148500318E-6</v>
      </c>
      <c r="L225" s="68">
        <f t="shared" ref="L225" si="319">L224+K225</f>
        <v>5.1133320418212636</v>
      </c>
      <c r="M225" s="68"/>
      <c r="N225" s="68">
        <f t="shared" si="300"/>
        <v>9.9481168128818354</v>
      </c>
      <c r="O225" s="68">
        <f t="shared" si="301"/>
        <v>636.8345154417101</v>
      </c>
      <c r="P225" s="164">
        <f t="shared" si="295"/>
        <v>593.21655498670896</v>
      </c>
      <c r="Q225" s="233" cm="1">
        <f t="array" ref="Q225">Lininterp($A$55:$A$71,$Z$55:$Z$71,V224)</f>
        <v>2117.6080360321016</v>
      </c>
      <c r="R225" s="68" cm="1">
        <f t="array" ref="R225">Lininterp($A$55:$A$71,$Y$55:$Y$71,V224)</f>
        <v>2117.6054552184019</v>
      </c>
      <c r="S225" s="69">
        <f t="shared" si="296"/>
        <v>1.6279561716471454E-7</v>
      </c>
      <c r="T225" s="68">
        <f t="shared" ref="T225" si="320">T224+S225</f>
        <v>4.3931569945521041</v>
      </c>
      <c r="U225" s="68"/>
      <c r="V225" s="68">
        <f t="shared" si="303"/>
        <v>8.5469980438756892</v>
      </c>
      <c r="W225" s="68">
        <f t="shared" si="304"/>
        <v>552.60505051144492</v>
      </c>
      <c r="X225" s="164">
        <f t="shared" si="298"/>
        <v>139.07360527014973</v>
      </c>
    </row>
    <row r="226" spans="1:24" x14ac:dyDescent="0.2">
      <c r="A226" s="227">
        <f t="shared" si="208"/>
        <v>138</v>
      </c>
      <c r="B226" s="227"/>
      <c r="C226" s="227"/>
      <c r="D226" s="227"/>
      <c r="E226" s="227"/>
      <c r="F226" s="227"/>
      <c r="G226" s="93" cm="1">
        <f t="array" ref="G226">Lininterp($A$55:$A$71,$N$55:$N$71,N225)</f>
        <v>6132.7067285398207</v>
      </c>
      <c r="H226" s="233"/>
      <c r="I226" s="233"/>
      <c r="J226" s="68" cm="1">
        <f t="array" ref="J226">Lininterp($A$55:$A$71,$G$55:$G$71,N225)</f>
        <v>6132.6598428052821</v>
      </c>
      <c r="K226" s="68">
        <f t="shared" si="293"/>
        <v>9.3931827403298903E-7</v>
      </c>
      <c r="L226" s="68">
        <f t="shared" ref="L226" si="321">L225+K226</f>
        <v>5.1133329811395374</v>
      </c>
      <c r="M226" s="68"/>
      <c r="N226" s="68">
        <f t="shared" si="300"/>
        <v>9.9481186403492945</v>
      </c>
      <c r="O226" s="68">
        <f t="shared" si="301"/>
        <v>641.94784842284969</v>
      </c>
      <c r="P226" s="164">
        <f t="shared" si="295"/>
        <v>593.21677293430048</v>
      </c>
      <c r="Q226" s="233" cm="1">
        <f t="array" ref="Q226">Lininterp($A$55:$A$71,$Z$55:$Z$71,V225)</f>
        <v>2117.6079650816109</v>
      </c>
      <c r="R226" s="68" cm="1">
        <f t="array" ref="R226">Lininterp($A$55:$A$71,$Y$55:$Y$71,V225)</f>
        <v>2117.6056635263699</v>
      </c>
      <c r="S226" s="69">
        <f t="shared" si="296"/>
        <v>1.4518022201333653E-7</v>
      </c>
      <c r="T226" s="68">
        <f t="shared" ref="T226" si="322">T225+S226</f>
        <v>4.3931571397323257</v>
      </c>
      <c r="U226" s="68"/>
      <c r="V226" s="68">
        <f t="shared" si="303"/>
        <v>8.5469983263274809</v>
      </c>
      <c r="W226" s="68">
        <f t="shared" si="304"/>
        <v>556.99820765117727</v>
      </c>
      <c r="X226" s="164">
        <f t="shared" si="298"/>
        <v>139.07361446205303</v>
      </c>
    </row>
    <row r="227" spans="1:24" x14ac:dyDescent="0.2">
      <c r="A227" s="227">
        <f t="shared" si="208"/>
        <v>139</v>
      </c>
      <c r="B227" s="227"/>
      <c r="C227" s="227"/>
      <c r="D227" s="227"/>
      <c r="E227" s="227"/>
      <c r="F227" s="227"/>
      <c r="G227" s="93" cm="1">
        <f t="array" ref="G227">Lininterp($A$55:$A$71,$N$55:$N$71,N226)</f>
        <v>6132.7053366515229</v>
      </c>
      <c r="H227" s="233"/>
      <c r="I227" s="233"/>
      <c r="J227" s="68" cm="1">
        <f t="array" ref="J227">Lininterp($A$55:$A$71,$G$55:$G$71,N226)</f>
        <v>6132.6629191640022</v>
      </c>
      <c r="K227" s="68">
        <f t="shared" si="293"/>
        <v>8.4980051094047661E-7</v>
      </c>
      <c r="L227" s="68">
        <f t="shared" ref="L227" si="323">L226+K227</f>
        <v>5.1133338309400482</v>
      </c>
      <c r="M227" s="68"/>
      <c r="N227" s="68">
        <f t="shared" si="300"/>
        <v>9.9481202936576807</v>
      </c>
      <c r="O227" s="68">
        <f t="shared" si="301"/>
        <v>647.06118225378975</v>
      </c>
      <c r="P227" s="164">
        <f t="shared" si="295"/>
        <v>593.21697011135132</v>
      </c>
      <c r="Q227" s="233" cm="1">
        <f t="array" ref="Q227">Lininterp($A$55:$A$71,$Z$55:$Z$71,V226)</f>
        <v>2117.6079018083601</v>
      </c>
      <c r="R227" s="68" cm="1">
        <f t="array" ref="R227">Lininterp($A$55:$A$71,$Y$55:$Y$71,V226)</f>
        <v>2117.6058492942502</v>
      </c>
      <c r="S227" s="69">
        <f t="shared" si="296"/>
        <v>1.2947091116700414E-7</v>
      </c>
      <c r="T227" s="68">
        <f t="shared" ref="T227" si="324">T226+S227</f>
        <v>4.393157269203237</v>
      </c>
      <c r="U227" s="68"/>
      <c r="V227" s="68">
        <f t="shared" si="303"/>
        <v>8.5469985782164137</v>
      </c>
      <c r="W227" s="68">
        <f t="shared" si="304"/>
        <v>561.39136492038051</v>
      </c>
      <c r="X227" s="164">
        <f t="shared" si="298"/>
        <v>139.07362265934137</v>
      </c>
    </row>
    <row r="228" spans="1:24" x14ac:dyDescent="0.2">
      <c r="A228" s="227">
        <f t="shared" si="208"/>
        <v>140</v>
      </c>
      <c r="B228" s="227"/>
      <c r="C228" s="227"/>
      <c r="D228" s="227"/>
      <c r="E228" s="227"/>
      <c r="F228" s="227"/>
      <c r="G228" s="93" cm="1">
        <f t="array" ref="G228">Lininterp($A$55:$A$71,$N$55:$N$71,N227)</f>
        <v>6132.7040774112647</v>
      </c>
      <c r="H228" s="233"/>
      <c r="I228" s="233"/>
      <c r="J228" s="68" cm="1">
        <f t="array" ref="J228">Lininterp($A$55:$A$71,$G$55:$G$71,N227)</f>
        <v>6132.6657023433399</v>
      </c>
      <c r="K228" s="68">
        <f t="shared" si="293"/>
        <v>7.6881386041510219E-7</v>
      </c>
      <c r="L228" s="68">
        <f t="shared" ref="L228" si="325">L227+K228</f>
        <v>5.1133345997539088</v>
      </c>
      <c r="M228" s="68"/>
      <c r="N228" s="68">
        <f t="shared" si="300"/>
        <v>9.9481217894044924</v>
      </c>
      <c r="O228" s="68">
        <f t="shared" si="301"/>
        <v>652.17451685354365</v>
      </c>
      <c r="P228" s="164">
        <f t="shared" si="295"/>
        <v>593.21714849730392</v>
      </c>
      <c r="Q228" s="233" cm="1">
        <f t="array" ref="Q228">Lininterp($A$55:$A$71,$Z$55:$Z$71,V227)</f>
        <v>2117.6078453816281</v>
      </c>
      <c r="R228" s="68" cm="1">
        <f t="array" ref="R228">Lininterp($A$55:$A$71,$Y$55:$Y$71,V227)</f>
        <v>2117.6060149610103</v>
      </c>
      <c r="S228" s="69">
        <f t="shared" si="296"/>
        <v>1.1546143535106021E-7</v>
      </c>
      <c r="T228" s="68">
        <f t="shared" ref="T228" si="326">T227+S228</f>
        <v>4.3931573846646721</v>
      </c>
      <c r="U228" s="68"/>
      <c r="V228" s="68">
        <f t="shared" si="303"/>
        <v>8.546998802849556</v>
      </c>
      <c r="W228" s="68">
        <f t="shared" si="304"/>
        <v>565.78452230504513</v>
      </c>
      <c r="X228" s="164">
        <f t="shared" si="298"/>
        <v>139.07362996963747</v>
      </c>
    </row>
    <row r="229" spans="1:24" x14ac:dyDescent="0.2">
      <c r="A229" s="227">
        <f t="shared" si="208"/>
        <v>141</v>
      </c>
      <c r="B229" s="227"/>
      <c r="C229" s="227"/>
      <c r="D229" s="227"/>
      <c r="E229" s="227"/>
      <c r="F229" s="227"/>
      <c r="G229" s="93" cm="1">
        <f t="array" ref="G229">Lininterp($A$55:$A$71,$N$55:$N$71,N228)</f>
        <v>6132.702938177581</v>
      </c>
      <c r="H229" s="233"/>
      <c r="I229" s="233"/>
      <c r="J229" s="68" cm="1">
        <f t="array" ref="J229">Lininterp($A$55:$A$71,$G$55:$G$71,N228)</f>
        <v>6132.6682202835227</v>
      </c>
      <c r="K229" s="68">
        <f t="shared" si="293"/>
        <v>6.9554530063006212E-7</v>
      </c>
      <c r="L229" s="68">
        <f t="shared" ref="L229" si="327">L228+K229</f>
        <v>5.1133352952992093</v>
      </c>
      <c r="M229" s="68"/>
      <c r="N229" s="68">
        <f t="shared" si="300"/>
        <v>9.9481231426054659</v>
      </c>
      <c r="O229" s="68">
        <f t="shared" si="301"/>
        <v>657.28785214884283</v>
      </c>
      <c r="P229" s="164">
        <f t="shared" si="295"/>
        <v>593.2173098829594</v>
      </c>
      <c r="Q229" s="233" cm="1">
        <f t="array" ref="Q229">Lininterp($A$55:$A$71,$Z$55:$Z$71,V228)</f>
        <v>2117.6077950605836</v>
      </c>
      <c r="R229" s="68" cm="1">
        <f t="array" ref="R229">Lininterp($A$55:$A$71,$Y$55:$Y$71,V228)</f>
        <v>2117.6061627017011</v>
      </c>
      <c r="S229" s="69">
        <f t="shared" si="296"/>
        <v>1.0296786309477092E-7</v>
      </c>
      <c r="T229" s="68">
        <f t="shared" ref="T229" si="328">T228+S229</f>
        <v>4.3931574876325348</v>
      </c>
      <c r="U229" s="68"/>
      <c r="V229" s="68">
        <f t="shared" si="303"/>
        <v>8.546999003176138</v>
      </c>
      <c r="W229" s="68">
        <f t="shared" si="304"/>
        <v>570.17767979267762</v>
      </c>
      <c r="X229" s="164">
        <f t="shared" si="298"/>
        <v>139.07363648891885</v>
      </c>
    </row>
    <row r="230" spans="1:24" x14ac:dyDescent="0.2">
      <c r="A230" s="227">
        <f t="shared" si="208"/>
        <v>142</v>
      </c>
      <c r="B230" s="227"/>
      <c r="C230" s="227"/>
      <c r="D230" s="227"/>
      <c r="E230" s="227"/>
      <c r="F230" s="227"/>
      <c r="G230" s="93" cm="1">
        <f t="array" ref="G230">Lininterp($A$55:$A$71,$N$55:$N$71,N229)</f>
        <v>6132.7019075137578</v>
      </c>
      <c r="H230" s="233"/>
      <c r="I230" s="233"/>
      <c r="J230" s="68" cm="1">
        <f t="array" ref="J230">Lininterp($A$55:$A$71,$G$55:$G$71,N229)</f>
        <v>6132.6704982620413</v>
      </c>
      <c r="K230" s="68">
        <f t="shared" si="293"/>
        <v>6.292592917936815E-7</v>
      </c>
      <c r="L230" s="68">
        <f t="shared" ref="L230" si="329">L229+K230</f>
        <v>5.1133359245585011</v>
      </c>
      <c r="M230" s="68"/>
      <c r="N230" s="68">
        <f t="shared" si="300"/>
        <v>9.9481243668453327</v>
      </c>
      <c r="O230" s="68">
        <f t="shared" si="301"/>
        <v>662.40118807340139</v>
      </c>
      <c r="P230" s="164">
        <f t="shared" si="295"/>
        <v>593.21745588845511</v>
      </c>
      <c r="Q230" s="233" cm="1">
        <f t="array" ref="Q230">Lininterp($A$55:$A$71,$Z$55:$Z$71,V229)</f>
        <v>2117.6077501845571</v>
      </c>
      <c r="R230" s="68" cm="1">
        <f t="array" ref="R230">Lininterp($A$55:$A$71,$Y$55:$Y$71,V229)</f>
        <v>2117.6062944560235</v>
      </c>
      <c r="S230" s="69">
        <f t="shared" si="296"/>
        <v>9.1826165159818832E-8</v>
      </c>
      <c r="T230" s="68">
        <f t="shared" ref="T230" si="330">T229+S230</f>
        <v>4.3931575794587001</v>
      </c>
      <c r="U230" s="68"/>
      <c r="V230" s="68">
        <f t="shared" si="303"/>
        <v>8.5469991818262638</v>
      </c>
      <c r="W230" s="68">
        <f t="shared" si="304"/>
        <v>574.57083737213634</v>
      </c>
      <c r="X230" s="164">
        <f t="shared" si="298"/>
        <v>139.07364230277776</v>
      </c>
    </row>
    <row r="231" spans="1:24" x14ac:dyDescent="0.2">
      <c r="A231" s="227">
        <f t="shared" si="208"/>
        <v>143</v>
      </c>
      <c r="B231" s="227"/>
      <c r="C231" s="227"/>
      <c r="D231" s="227"/>
      <c r="E231" s="227"/>
      <c r="F231" s="227"/>
      <c r="G231" s="93" cm="1">
        <f t="array" ref="G231">Lininterp($A$55:$A$71,$N$55:$N$71,N230)</f>
        <v>6132.7009750729985</v>
      </c>
      <c r="H231" s="233"/>
      <c r="I231" s="233"/>
      <c r="J231" s="68" cm="1">
        <f t="array" ref="J231">Lininterp($A$55:$A$71,$G$55:$G$71,N230)</f>
        <v>6132.6725591474333</v>
      </c>
      <c r="K231" s="68">
        <f t="shared" si="293"/>
        <v>5.6929039119612304E-7</v>
      </c>
      <c r="L231" s="68">
        <f t="shared" ref="L231" si="331">L230+K231</f>
        <v>5.1133364938488919</v>
      </c>
      <c r="M231" s="68"/>
      <c r="N231" s="68">
        <f t="shared" si="300"/>
        <v>9.9481254744141872</v>
      </c>
      <c r="O231" s="68">
        <f t="shared" si="301"/>
        <v>667.51452456725031</v>
      </c>
      <c r="P231" s="164">
        <f t="shared" si="295"/>
        <v>593.21758797952873</v>
      </c>
      <c r="Q231" s="233" cm="1">
        <f t="array" ref="Q231">Lininterp($A$55:$A$71,$Z$55:$Z$71,V230)</f>
        <v>2117.6077101643677</v>
      </c>
      <c r="R231" s="68" cm="1">
        <f t="array" ref="R231">Lininterp($A$55:$A$71,$Y$55:$Y$71,V230)</f>
        <v>2117.6064119537923</v>
      </c>
      <c r="S231" s="69">
        <f t="shared" si="296"/>
        <v>8.1890061207897286E-8</v>
      </c>
      <c r="T231" s="68">
        <f t="shared" ref="T231" si="332">T230+S231</f>
        <v>4.3931576613487611</v>
      </c>
      <c r="U231" s="68"/>
      <c r="V231" s="68">
        <f t="shared" si="303"/>
        <v>8.5469993411454492</v>
      </c>
      <c r="W231" s="68">
        <f t="shared" si="304"/>
        <v>578.96399503348505</v>
      </c>
      <c r="X231" s="164">
        <f t="shared" si="298"/>
        <v>139.07364748754475</v>
      </c>
    </row>
    <row r="232" spans="1:24" x14ac:dyDescent="0.2">
      <c r="A232" s="227">
        <f t="shared" si="208"/>
        <v>144</v>
      </c>
      <c r="B232" s="227"/>
      <c r="C232" s="227"/>
      <c r="D232" s="227"/>
      <c r="E232" s="227"/>
      <c r="F232" s="227"/>
      <c r="G232" s="93" cm="1">
        <f t="array" ref="G232">Lininterp($A$55:$A$71,$N$55:$N$71,N231)</f>
        <v>6132.7001314945701</v>
      </c>
      <c r="H232" s="233"/>
      <c r="I232" s="233"/>
      <c r="J232" s="68" cm="1">
        <f t="array" ref="J232">Lininterp($A$55:$A$71,$G$55:$G$71,N231)</f>
        <v>6132.6744236288423</v>
      </c>
      <c r="K232" s="68">
        <f t="shared" si="293"/>
        <v>5.1503657353636418E-7</v>
      </c>
      <c r="L232" s="68">
        <f t="shared" ref="L232" si="333">L231+K232</f>
        <v>5.1133370088854653</v>
      </c>
      <c r="M232" s="68"/>
      <c r="N232" s="68">
        <f t="shared" si="300"/>
        <v>9.9481264764308666</v>
      </c>
      <c r="O232" s="68">
        <f t="shared" si="301"/>
        <v>672.62786157613573</v>
      </c>
      <c r="P232" s="164">
        <f t="shared" si="295"/>
        <v>593.21770748223298</v>
      </c>
      <c r="Q232" s="233" cm="1">
        <f t="array" ref="Q232">Lininterp($A$55:$A$71,$Z$55:$Z$71,V231)</f>
        <v>2117.607674474586</v>
      </c>
      <c r="R232" s="68" cm="1">
        <f t="array" ref="R232">Lininterp($A$55:$A$71,$Y$55:$Y$71,V231)</f>
        <v>2117.6065167376464</v>
      </c>
      <c r="S232" s="69">
        <f t="shared" si="296"/>
        <v>7.3029099161762236E-8</v>
      </c>
      <c r="T232" s="68">
        <f t="shared" ref="T232" si="334">T231+S232</f>
        <v>4.3931577343778603</v>
      </c>
      <c r="U232" s="68"/>
      <c r="V232" s="68">
        <f t="shared" si="303"/>
        <v>8.5469994832254095</v>
      </c>
      <c r="W232" s="68">
        <f t="shared" si="304"/>
        <v>583.35715276786289</v>
      </c>
      <c r="X232" s="164">
        <f t="shared" si="298"/>
        <v>139.07365211129104</v>
      </c>
    </row>
    <row r="233" spans="1:24" x14ac:dyDescent="0.2">
      <c r="A233" s="227">
        <f t="shared" si="208"/>
        <v>145</v>
      </c>
      <c r="B233" s="227"/>
      <c r="C233" s="227"/>
      <c r="D233" s="227"/>
      <c r="E233" s="227"/>
      <c r="F233" s="227"/>
      <c r="G233" s="93" cm="1">
        <f t="array" ref="G233">Lininterp($A$55:$A$71,$N$55:$N$71,N232)</f>
        <v>6132.6993683098235</v>
      </c>
      <c r="H233" s="233"/>
      <c r="I233" s="233"/>
      <c r="J233" s="68" cm="1">
        <f t="array" ref="J233">Lininterp($A$55:$A$71,$G$55:$G$71,N232)</f>
        <v>6132.6761104237212</v>
      </c>
      <c r="K233" s="68">
        <f t="shared" si="293"/>
        <v>4.6595318696166041E-7</v>
      </c>
      <c r="L233" s="68">
        <f t="shared" ref="L233" si="335">L232+K233</f>
        <v>5.1133374748386524</v>
      </c>
      <c r="M233" s="68"/>
      <c r="N233" s="68">
        <f t="shared" si="300"/>
        <v>9.948127382954576</v>
      </c>
      <c r="O233" s="68">
        <f t="shared" si="301"/>
        <v>677.74119905097439</v>
      </c>
      <c r="P233" s="164">
        <f t="shared" si="295"/>
        <v>593.21781559624674</v>
      </c>
      <c r="Q233" s="233" cm="1">
        <f t="array" ref="Q233">Lininterp($A$55:$A$71,$Z$55:$Z$71,V232)</f>
        <v>2117.6076426466379</v>
      </c>
      <c r="R233" s="68" cm="1">
        <f t="array" ref="R233">Lininterp($A$55:$A$71,$Y$55:$Y$71,V232)</f>
        <v>2117.606610183303</v>
      </c>
      <c r="S233" s="69">
        <f t="shared" si="296"/>
        <v>6.5126942647933842E-8</v>
      </c>
      <c r="T233" s="68">
        <f t="shared" ref="T233" si="336">T232+S233</f>
        <v>4.3931577995048032</v>
      </c>
      <c r="U233" s="68"/>
      <c r="V233" s="68">
        <f t="shared" si="303"/>
        <v>8.5469996099315235</v>
      </c>
      <c r="W233" s="68">
        <f t="shared" si="304"/>
        <v>587.75031056736771</v>
      </c>
      <c r="X233" s="164">
        <f t="shared" si="298"/>
        <v>139.07365623472228</v>
      </c>
    </row>
    <row r="234" spans="1:24" x14ac:dyDescent="0.2">
      <c r="A234" s="227">
        <f t="shared" si="208"/>
        <v>146</v>
      </c>
      <c r="B234" s="227"/>
      <c r="C234" s="227"/>
      <c r="D234" s="227"/>
      <c r="E234" s="227"/>
      <c r="F234" s="227"/>
      <c r="G234" s="93" cm="1">
        <f t="array" ref="G234">Lininterp($A$55:$A$71,$N$55:$N$71,N233)</f>
        <v>6132.6986778571772</v>
      </c>
      <c r="H234" s="233"/>
      <c r="I234" s="233"/>
      <c r="J234" s="68" cm="1">
        <f t="array" ref="J234">Lininterp($A$55:$A$71,$G$55:$G$71,N233)</f>
        <v>6132.6776364657335</v>
      </c>
      <c r="K234" s="68">
        <f t="shared" si="293"/>
        <v>4.2154748536437208E-7</v>
      </c>
      <c r="L234" s="68">
        <f t="shared" ref="L234" si="337">L233+K234</f>
        <v>5.1133378963861382</v>
      </c>
      <c r="M234" s="68"/>
      <c r="N234" s="68">
        <f t="shared" si="300"/>
        <v>9.9481282030858722</v>
      </c>
      <c r="O234" s="68">
        <f t="shared" si="301"/>
        <v>682.85453694736054</v>
      </c>
      <c r="P234" s="164">
        <f t="shared" si="295"/>
        <v>593.21791340691937</v>
      </c>
      <c r="Q234" s="233" cm="1">
        <f t="array" ref="Q234">Lininterp($A$55:$A$71,$Z$55:$Z$71,V233)</f>
        <v>2117.6076142626516</v>
      </c>
      <c r="R234" s="68" cm="1">
        <f t="array" ref="R234">Lininterp($A$55:$A$71,$Y$55:$Y$71,V233)</f>
        <v>2117.6066935176168</v>
      </c>
      <c r="S234" s="69">
        <f t="shared" si="296"/>
        <v>5.8079843659030068E-8</v>
      </c>
      <c r="T234" s="68">
        <f t="shared" ref="T234" si="338">T233+S234</f>
        <v>4.3931578575846473</v>
      </c>
      <c r="U234" s="68"/>
      <c r="V234" s="68">
        <f t="shared" si="303"/>
        <v>8.5469997229273282</v>
      </c>
      <c r="W234" s="68">
        <f t="shared" si="304"/>
        <v>592.1434684249524</v>
      </c>
      <c r="X234" s="164">
        <f t="shared" si="298"/>
        <v>139.07365991197526</v>
      </c>
    </row>
    <row r="235" spans="1:24" x14ac:dyDescent="0.2">
      <c r="A235" s="227">
        <f t="shared" si="208"/>
        <v>147</v>
      </c>
      <c r="B235" s="227"/>
      <c r="C235" s="227"/>
      <c r="D235" s="227"/>
      <c r="E235" s="227"/>
      <c r="F235" s="227"/>
      <c r="G235" s="93" cm="1">
        <f t="array" ref="G235">Lininterp($A$55:$A$71,$N$55:$N$71,N234)</f>
        <v>6132.6980532052048</v>
      </c>
      <c r="H235" s="233"/>
      <c r="I235" s="233"/>
      <c r="J235" s="68" cm="1">
        <f t="array" ref="J235">Lininterp($A$55:$A$71,$G$55:$G$71,N234)</f>
        <v>6132.6790170747572</v>
      </c>
      <c r="K235" s="68">
        <f t="shared" si="293"/>
        <v>3.8137368161719515E-7</v>
      </c>
      <c r="L235" s="68">
        <f t="shared" ref="L235" si="339">L234+K235</f>
        <v>5.1133382777598202</v>
      </c>
      <c r="M235" s="68"/>
      <c r="N235" s="68">
        <f t="shared" si="300"/>
        <v>9.9481289450580164</v>
      </c>
      <c r="O235" s="68">
        <f t="shared" si="301"/>
        <v>687.96787522512034</v>
      </c>
      <c r="P235" s="164">
        <f t="shared" si="295"/>
        <v>593.21800189616567</v>
      </c>
      <c r="Q235" s="233" cm="1">
        <f t="array" ref="Q235">Lininterp($A$55:$A$71,$Z$55:$Z$71,V234)</f>
        <v>2117.6075889499716</v>
      </c>
      <c r="R235" s="68" cm="1">
        <f t="array" ref="R235">Lininterp($A$55:$A$71,$Y$55:$Y$71,V234)</f>
        <v>2117.6067678346926</v>
      </c>
      <c r="S235" s="69">
        <f t="shared" si="296"/>
        <v>5.1795280155373111E-8</v>
      </c>
      <c r="T235" s="68">
        <f t="shared" ref="T235" si="340">T234+S235</f>
        <v>4.3931579093799273</v>
      </c>
      <c r="U235" s="68"/>
      <c r="V235" s="68">
        <f t="shared" si="303"/>
        <v>8.5469998236963569</v>
      </c>
      <c r="W235" s="68">
        <f t="shared" si="304"/>
        <v>596.53662633433237</v>
      </c>
      <c r="X235" s="164">
        <f t="shared" si="298"/>
        <v>139.07366319132896</v>
      </c>
    </row>
    <row r="236" spans="1:24" x14ac:dyDescent="0.2">
      <c r="A236" s="227">
        <f t="shared" si="208"/>
        <v>148</v>
      </c>
      <c r="B236" s="227"/>
      <c r="C236" s="227"/>
      <c r="D236" s="227"/>
      <c r="E236" s="227"/>
      <c r="F236" s="227"/>
      <c r="G236" s="93" cm="1">
        <f t="array" ref="G236">Lininterp($A$55:$A$71,$N$55:$N$71,N235)</f>
        <v>6132.6974880830512</v>
      </c>
      <c r="H236" s="233"/>
      <c r="I236" s="233"/>
      <c r="J236" s="68" cm="1">
        <f t="array" ref="J236">Lininterp($A$55:$A$71,$G$55:$G$71,N235)</f>
        <v>6132.6802661106649</v>
      </c>
      <c r="K236" s="68">
        <f t="shared" si="293"/>
        <v>3.4502847265942227E-7</v>
      </c>
      <c r="L236" s="68">
        <f t="shared" ref="L236" si="341">L235+K236</f>
        <v>5.1133386227882927</v>
      </c>
      <c r="M236" s="68"/>
      <c r="N236" s="68">
        <f t="shared" si="300"/>
        <v>9.9481296163196351</v>
      </c>
      <c r="O236" s="68">
        <f t="shared" si="301"/>
        <v>693.08121384790866</v>
      </c>
      <c r="P236" s="164">
        <f t="shared" si="295"/>
        <v>593.21808195232347</v>
      </c>
      <c r="Q236" s="233" cm="1">
        <f t="array" ref="Q236">Lininterp($A$55:$A$71,$Z$55:$Z$71,V235)</f>
        <v>2117.6075663762645</v>
      </c>
      <c r="R236" s="68" cm="1">
        <f t="array" ref="R236">Lininterp($A$55:$A$71,$Y$55:$Y$71,V235)</f>
        <v>2117.6068341102464</v>
      </c>
      <c r="S236" s="69">
        <f t="shared" si="296"/>
        <v>4.6190741452184324E-8</v>
      </c>
      <c r="T236" s="68">
        <f t="shared" ref="T236" si="342">T235+S236</f>
        <v>4.3931579555706683</v>
      </c>
      <c r="U236" s="68"/>
      <c r="V236" s="68">
        <f t="shared" si="303"/>
        <v>8.5469999135616117</v>
      </c>
      <c r="W236" s="68">
        <f t="shared" si="304"/>
        <v>600.92978428990307</v>
      </c>
      <c r="X236" s="164">
        <f t="shared" si="298"/>
        <v>139.07366611583825</v>
      </c>
    </row>
    <row r="237" spans="1:24" x14ac:dyDescent="0.2">
      <c r="A237" s="227">
        <f t="shared" si="208"/>
        <v>149</v>
      </c>
      <c r="B237" s="227"/>
      <c r="C237" s="227"/>
      <c r="D237" s="227"/>
      <c r="E237" s="227"/>
      <c r="F237" s="227"/>
      <c r="G237" s="93" cm="1">
        <f t="array" ref="G237">Lininterp($A$55:$A$71,$N$55:$N$71,N236)</f>
        <v>6132.6969768174822</v>
      </c>
      <c r="H237" s="233"/>
      <c r="I237" s="233"/>
      <c r="J237" s="68" cm="1">
        <f t="array" ref="J237">Lininterp($A$55:$A$71,$G$55:$G$71,N236)</f>
        <v>6132.6813961124735</v>
      </c>
      <c r="K237" s="68">
        <f t="shared" si="293"/>
        <v>3.1214699057197449E-7</v>
      </c>
      <c r="L237" s="68">
        <f t="shared" ref="L237" si="343">L236+K237</f>
        <v>5.1133389349352836</v>
      </c>
      <c r="M237" s="68"/>
      <c r="N237" s="68">
        <f t="shared" si="300"/>
        <v>9.9481302236095015</v>
      </c>
      <c r="O237" s="68">
        <f t="shared" si="301"/>
        <v>698.19455278284397</v>
      </c>
      <c r="P237" s="164">
        <f t="shared" si="295"/>
        <v>593.21815437907185</v>
      </c>
      <c r="Q237" s="233" cm="1">
        <f t="array" ref="Q237">Lininterp($A$55:$A$71,$Z$55:$Z$71,V236)</f>
        <v>2117.607546245159</v>
      </c>
      <c r="R237" s="68" cm="1">
        <f t="array" ref="R237">Lininterp($A$55:$A$71,$Y$55:$Y$71,V236)</f>
        <v>2117.6068932144135</v>
      </c>
      <c r="S237" s="69">
        <f t="shared" si="296"/>
        <v>4.1192645271346455E-8</v>
      </c>
      <c r="T237" s="68">
        <f t="shared" ref="T237" si="344">T236+S237</f>
        <v>4.3931579967633132</v>
      </c>
      <c r="U237" s="68"/>
      <c r="V237" s="68">
        <f t="shared" si="303"/>
        <v>8.5469999937029435</v>
      </c>
      <c r="W237" s="68">
        <f t="shared" si="304"/>
        <v>605.32294228666638</v>
      </c>
      <c r="X237" s="164">
        <f t="shared" si="298"/>
        <v>139.07366872389935</v>
      </c>
    </row>
    <row r="238" spans="1:24" x14ac:dyDescent="0.2">
      <c r="A238" s="227">
        <f t="shared" si="208"/>
        <v>150</v>
      </c>
      <c r="B238" s="227"/>
      <c r="C238" s="227"/>
      <c r="D238" s="227"/>
      <c r="E238" s="227"/>
      <c r="F238" s="227"/>
      <c r="G238" s="93" cm="1">
        <f t="array" ref="G238">Lininterp($A$55:$A$71,$N$55:$N$71,N237)</f>
        <v>6132.6965142759173</v>
      </c>
      <c r="H238" s="233"/>
      <c r="I238" s="233"/>
      <c r="J238" s="68" cm="1">
        <f t="array" ref="J238">Lininterp($A$55:$A$71,$G$55:$G$71,N237)</f>
        <v>6132.682418424235</v>
      </c>
      <c r="K238" s="68">
        <f t="shared" si="293"/>
        <v>2.8239913917236251E-7</v>
      </c>
      <c r="L238" s="68">
        <f t="shared" ref="L238" si="345">L237+K238</f>
        <v>5.1133392173344223</v>
      </c>
      <c r="M238" s="68"/>
      <c r="N238" s="68">
        <f t="shared" si="300"/>
        <v>9.9481307730241681</v>
      </c>
      <c r="O238" s="68">
        <f t="shared" si="301"/>
        <v>703.30789200017841</v>
      </c>
      <c r="P238" s="164">
        <f t="shared" si="295"/>
        <v>593.21821990349838</v>
      </c>
      <c r="Q238" s="233" cm="1">
        <f t="array" ref="Q238">Lininterp($A$55:$A$71,$Z$55:$Z$71,V237)</f>
        <v>2117.6075282923516</v>
      </c>
      <c r="R238" s="68" cm="1">
        <f t="array" ref="R238">Lininterp($A$55:$A$71,$Y$55:$Y$71,V237)</f>
        <v>2117.6069459231794</v>
      </c>
      <c r="S238" s="69">
        <f t="shared" si="296"/>
        <v>3.6735371025154357E-8</v>
      </c>
      <c r="T238" s="68">
        <f t="shared" ref="T238" si="346">T237+S238</f>
        <v>4.3931580334986844</v>
      </c>
      <c r="U238" s="68"/>
      <c r="V238" s="68">
        <f t="shared" si="303"/>
        <v>8.5470000651725382</v>
      </c>
      <c r="W238" s="68">
        <f t="shared" si="304"/>
        <v>609.71610032016508</v>
      </c>
      <c r="X238" s="164">
        <f t="shared" si="298"/>
        <v>139.07367104975373</v>
      </c>
    </row>
    <row r="239" spans="1:24" x14ac:dyDescent="0.2">
      <c r="A239" s="227">
        <f t="shared" ref="A239:A288" si="347">A238+1</f>
        <v>151</v>
      </c>
      <c r="B239" s="227"/>
      <c r="C239" s="227"/>
      <c r="D239" s="227"/>
      <c r="E239" s="227"/>
      <c r="F239" s="227"/>
      <c r="G239" s="93" cm="1">
        <f t="array" ref="G239">Lininterp($A$55:$A$71,$N$55:$N$71,N238)</f>
        <v>6132.6960958149248</v>
      </c>
      <c r="H239" s="233"/>
      <c r="I239" s="233"/>
      <c r="J239" s="68" cm="1">
        <f t="array" ref="J239">Lininterp($A$55:$A$71,$G$55:$G$71,N238)</f>
        <v>6132.683343308885</v>
      </c>
      <c r="K239" s="68">
        <f t="shared" si="293"/>
        <v>2.5548628129102366E-7</v>
      </c>
      <c r="L239" s="68">
        <f t="shared" ref="L239" si="348">L238+K239</f>
        <v>5.1133394728207033</v>
      </c>
      <c r="M239" s="68"/>
      <c r="N239" s="68">
        <f t="shared" si="300"/>
        <v>9.9481312700791893</v>
      </c>
      <c r="O239" s="68">
        <f t="shared" si="301"/>
        <v>708.42123147299912</v>
      </c>
      <c r="P239" s="164">
        <f t="shared" si="295"/>
        <v>593.21827918339898</v>
      </c>
      <c r="Q239" s="233" cm="1">
        <f t="array" ref="Q239">Lininterp($A$55:$A$71,$Z$55:$Z$71,V238)</f>
        <v>2117.6075122821376</v>
      </c>
      <c r="R239" s="68" cm="1">
        <f t="array" ref="R239">Lininterp($A$55:$A$71,$Y$55:$Y$71,V238)</f>
        <v>2117.6069929285641</v>
      </c>
      <c r="S239" s="69">
        <f t="shared" si="296"/>
        <v>3.2760398603830066E-8</v>
      </c>
      <c r="T239" s="68">
        <f t="shared" ref="T239" si="349">T238+S239</f>
        <v>4.3931580662590832</v>
      </c>
      <c r="U239" s="68"/>
      <c r="V239" s="68">
        <f t="shared" si="303"/>
        <v>8.5470001289087225</v>
      </c>
      <c r="W239" s="68">
        <f t="shared" si="304"/>
        <v>614.10925838642413</v>
      </c>
      <c r="X239" s="164">
        <f t="shared" si="298"/>
        <v>139.07367312393765</v>
      </c>
    </row>
    <row r="240" spans="1:24" x14ac:dyDescent="0.2">
      <c r="A240" s="227">
        <f t="shared" si="347"/>
        <v>152</v>
      </c>
      <c r="B240" s="227"/>
      <c r="C240" s="227"/>
      <c r="D240" s="227"/>
      <c r="E240" s="227"/>
      <c r="F240" s="227"/>
      <c r="G240" s="93" cm="1">
        <f t="array" ref="G240">Lininterp($A$55:$A$71,$N$55:$N$71,N239)</f>
        <v>6132.6957172335915</v>
      </c>
      <c r="H240" s="233"/>
      <c r="I240" s="233"/>
      <c r="J240" s="68" cm="1">
        <f t="array" ref="J240">Lininterp($A$55:$A$71,$G$55:$G$71,N239)</f>
        <v>6132.6841800513075</v>
      </c>
      <c r="K240" s="68">
        <f t="shared" si="293"/>
        <v>2.3113823974040371E-7</v>
      </c>
      <c r="L240" s="68">
        <f t="shared" ref="L240" si="350">L239+K240</f>
        <v>5.1133397039589434</v>
      </c>
      <c r="M240" s="68"/>
      <c r="N240" s="68">
        <f t="shared" si="300"/>
        <v>9.948131719764481</v>
      </c>
      <c r="O240" s="68">
        <f t="shared" si="301"/>
        <v>713.53457117695802</v>
      </c>
      <c r="P240" s="164">
        <f t="shared" si="295"/>
        <v>593.21833281388172</v>
      </c>
      <c r="Q240" s="233" cm="1">
        <f t="array" ref="Q240">Lininterp($A$55:$A$71,$Z$55:$Z$71,V239)</f>
        <v>2117.6074980043186</v>
      </c>
      <c r="R240" s="68" cm="1">
        <f t="array" ref="R240">Lininterp($A$55:$A$71,$Y$55:$Y$71,V239)</f>
        <v>2117.6070348477028</v>
      </c>
      <c r="S240" s="69">
        <f t="shared" si="296"/>
        <v>2.9215540475638743E-8</v>
      </c>
      <c r="T240" s="68">
        <f t="shared" ref="T240" si="351">T239+S240</f>
        <v>4.3931580954746234</v>
      </c>
      <c r="U240" s="68"/>
      <c r="V240" s="68">
        <f t="shared" si="303"/>
        <v>8.5470001857482938</v>
      </c>
      <c r="W240" s="68">
        <f t="shared" si="304"/>
        <v>618.50241648189876</v>
      </c>
      <c r="X240" s="164">
        <f t="shared" si="298"/>
        <v>139.07367497368332</v>
      </c>
    </row>
    <row r="241" spans="1:24" x14ac:dyDescent="0.2">
      <c r="A241" s="227">
        <f t="shared" si="347"/>
        <v>153</v>
      </c>
      <c r="B241" s="227"/>
      <c r="C241" s="227"/>
      <c r="D241" s="227"/>
      <c r="E241" s="227"/>
      <c r="F241" s="227"/>
      <c r="G241" s="93" cm="1">
        <f t="array" ref="G241">Lininterp($A$55:$A$71,$N$55:$N$71,N240)</f>
        <v>6132.6953747313537</v>
      </c>
      <c r="H241" s="233"/>
      <c r="I241" s="233"/>
      <c r="J241" s="68" cm="1">
        <f t="array" ref="J241">Lininterp($A$55:$A$71,$G$55:$G$71,N240)</f>
        <v>6132.6849370515274</v>
      </c>
      <c r="K241" s="68">
        <f t="shared" si="293"/>
        <v>2.0911058546522853E-7</v>
      </c>
      <c r="L241" s="68">
        <f t="shared" ref="L241" si="352">L240+K241</f>
        <v>5.1133399130695292</v>
      </c>
      <c r="M241" s="68"/>
      <c r="N241" s="68">
        <f t="shared" si="300"/>
        <v>9.9481321265944143</v>
      </c>
      <c r="O241" s="68">
        <f t="shared" si="301"/>
        <v>718.64791109002761</v>
      </c>
      <c r="P241" s="164">
        <f t="shared" si="295"/>
        <v>593.21838133333972</v>
      </c>
      <c r="Q241" s="233" cm="1">
        <f t="array" ref="Q241">Lininterp($A$55:$A$71,$Z$55:$Z$71,V240)</f>
        <v>2117.6074852714396</v>
      </c>
      <c r="R241" s="68" cm="1">
        <f t="array" ref="R241">Lininterp($A$55:$A$71,$Y$55:$Y$71,V240)</f>
        <v>2117.6070722309555</v>
      </c>
      <c r="S241" s="69">
        <f t="shared" si="296"/>
        <v>2.6054255883734767E-8</v>
      </c>
      <c r="T241" s="68">
        <f t="shared" ref="T241" si="353">T240+S241</f>
        <v>4.3931581215288791</v>
      </c>
      <c r="U241" s="68"/>
      <c r="V241" s="68">
        <f t="shared" si="303"/>
        <v>8.5470002364375084</v>
      </c>
      <c r="W241" s="68">
        <f t="shared" si="304"/>
        <v>622.89557460342769</v>
      </c>
      <c r="X241" s="164">
        <f t="shared" si="298"/>
        <v>139.07367662327616</v>
      </c>
    </row>
    <row r="242" spans="1:24" x14ac:dyDescent="0.2">
      <c r="A242" s="227">
        <f t="shared" si="347"/>
        <v>154</v>
      </c>
      <c r="B242" s="227"/>
      <c r="C242" s="227"/>
      <c r="D242" s="227"/>
      <c r="E242" s="227"/>
      <c r="F242" s="227"/>
      <c r="G242" s="93" cm="1">
        <f t="array" ref="G242">Lininterp($A$55:$A$71,$N$55:$N$71,N241)</f>
        <v>6132.6950648698457</v>
      </c>
      <c r="H242" s="233"/>
      <c r="I242" s="233"/>
      <c r="J242" s="68" cm="1">
        <f t="array" ref="J242">Lininterp($A$55:$A$71,$G$55:$G$71,N241)</f>
        <v>6132.6856219090369</v>
      </c>
      <c r="K242" s="68">
        <f t="shared" si="293"/>
        <v>1.8918218379324758E-7</v>
      </c>
      <c r="L242" s="68">
        <f t="shared" ref="L242" si="354">L241+K242</f>
        <v>5.1133401022517129</v>
      </c>
      <c r="M242" s="68"/>
      <c r="N242" s="68">
        <f t="shared" si="300"/>
        <v>9.9481324946531373</v>
      </c>
      <c r="O242" s="68">
        <f t="shared" si="301"/>
        <v>723.76125119227936</v>
      </c>
      <c r="P242" s="164">
        <f t="shared" si="295"/>
        <v>593.21842522885731</v>
      </c>
      <c r="Q242" s="233" cm="1">
        <f t="array" ref="Q242">Lininterp($A$55:$A$71,$Z$55:$Z$71,V241)</f>
        <v>2117.6074739163287</v>
      </c>
      <c r="R242" s="68" cm="1">
        <f t="array" ref="R242">Lininterp($A$55:$A$71,$Y$55:$Y$71,V241)</f>
        <v>2117.6071055691327</v>
      </c>
      <c r="S242" s="69">
        <f t="shared" si="296"/>
        <v>2.323503982503994E-8</v>
      </c>
      <c r="T242" s="68">
        <f t="shared" ref="T242" si="355">T241+S242</f>
        <v>4.3931581447639187</v>
      </c>
      <c r="U242" s="68"/>
      <c r="V242" s="68">
        <f t="shared" si="303"/>
        <v>8.5470002816418642</v>
      </c>
      <c r="W242" s="68">
        <f t="shared" si="304"/>
        <v>627.28873274819159</v>
      </c>
      <c r="X242" s="164">
        <f t="shared" si="298"/>
        <v>139.07367809437386</v>
      </c>
    </row>
    <row r="243" spans="1:24" x14ac:dyDescent="0.2">
      <c r="A243" s="227">
        <f t="shared" si="347"/>
        <v>155</v>
      </c>
      <c r="B243" s="227"/>
      <c r="C243" s="227"/>
      <c r="D243" s="227"/>
      <c r="E243" s="227"/>
      <c r="F243" s="227"/>
      <c r="G243" s="93" cm="1">
        <f t="array" ref="G243">Lininterp($A$55:$A$71,$N$55:$N$71,N242)</f>
        <v>6132.6947845383802</v>
      </c>
      <c r="H243" s="233"/>
      <c r="I243" s="233"/>
      <c r="J243" s="68" cm="1">
        <f t="array" ref="J243">Lininterp($A$55:$A$71,$G$55:$G$71,N242)</f>
        <v>6132.686241499091</v>
      </c>
      <c r="K243" s="68">
        <f t="shared" si="293"/>
        <v>1.7115297433386726E-7</v>
      </c>
      <c r="L243" s="68">
        <f t="shared" ref="L243" si="356">L242+K243</f>
        <v>5.1133402734046873</v>
      </c>
      <c r="M243" s="68"/>
      <c r="N243" s="68">
        <f t="shared" si="300"/>
        <v>9.9481328276355789</v>
      </c>
      <c r="O243" s="68">
        <f t="shared" si="301"/>
        <v>728.87459146568403</v>
      </c>
      <c r="P243" s="164">
        <f t="shared" si="295"/>
        <v>593.21846494109934</v>
      </c>
      <c r="Q243" s="233" cm="1">
        <f t="array" ref="Q243">Lininterp($A$55:$A$71,$Z$55:$Z$71,V242)</f>
        <v>2117.6074637899051</v>
      </c>
      <c r="R243" s="68" cm="1">
        <f t="array" ref="R243">Lininterp($A$55:$A$71,$Y$55:$Y$71,V242)</f>
        <v>2117.6071352999315</v>
      </c>
      <c r="S243" s="69">
        <f t="shared" si="296"/>
        <v>2.0720878836698409E-8</v>
      </c>
      <c r="T243" s="68">
        <f t="shared" ref="T243" si="357">T242+S243</f>
        <v>4.393158165484798</v>
      </c>
      <c r="U243" s="68"/>
      <c r="V243" s="68">
        <f t="shared" si="303"/>
        <v>8.5470003219548598</v>
      </c>
      <c r="W243" s="68">
        <f t="shared" si="304"/>
        <v>631.6818909136764</v>
      </c>
      <c r="X243" s="164">
        <f t="shared" si="298"/>
        <v>139.07367940629061</v>
      </c>
    </row>
    <row r="244" spans="1:24" x14ac:dyDescent="0.2">
      <c r="A244" s="227">
        <f t="shared" si="347"/>
        <v>156</v>
      </c>
      <c r="B244" s="227"/>
      <c r="C244" s="227"/>
      <c r="D244" s="227"/>
      <c r="E244" s="227"/>
      <c r="F244" s="227"/>
      <c r="G244" s="93" cm="1">
        <f t="array" ref="G244">Lininterp($A$55:$A$71,$N$55:$N$71,N243)</f>
        <v>6132.6945309227212</v>
      </c>
      <c r="H244" s="233"/>
      <c r="I244" s="233"/>
      <c r="J244" s="68" cm="1">
        <f t="array" ref="J244">Lininterp($A$55:$A$71,$G$55:$G$71,N243)</f>
        <v>6132.6868020417332</v>
      </c>
      <c r="K244" s="68">
        <f t="shared" si="293"/>
        <v>1.5484196251370531E-7</v>
      </c>
      <c r="L244" s="68">
        <f t="shared" ref="L244" si="358">L243+K244</f>
        <v>5.1133404282466497</v>
      </c>
      <c r="M244" s="68"/>
      <c r="N244" s="68">
        <f t="shared" si="300"/>
        <v>9.9481331288845318</v>
      </c>
      <c r="O244" s="68">
        <f t="shared" si="301"/>
        <v>733.98793189393064</v>
      </c>
      <c r="P244" s="164">
        <f t="shared" si="295"/>
        <v>593.21850086873474</v>
      </c>
      <c r="Q244" s="233" cm="1">
        <f t="array" ref="Q244">Lininterp($A$55:$A$71,$Z$55:$Z$71,V243)</f>
        <v>2117.6074547592161</v>
      </c>
      <c r="R244" s="68" cm="1">
        <f t="array" ref="R244">Lininterp($A$55:$A$71,$Y$55:$Y$71,V243)</f>
        <v>2117.6071618136943</v>
      </c>
      <c r="S244" s="69">
        <f t="shared" si="296"/>
        <v>1.8478763894547658E-8</v>
      </c>
      <c r="T244" s="68">
        <f t="shared" ref="T244" si="359">T243+S244</f>
        <v>4.3931581839635623</v>
      </c>
      <c r="U244" s="68"/>
      <c r="V244" s="68">
        <f t="shared" si="303"/>
        <v>8.5470003579057625</v>
      </c>
      <c r="W244" s="68">
        <f t="shared" si="304"/>
        <v>636.07504909763998</v>
      </c>
      <c r="X244" s="164">
        <f t="shared" si="298"/>
        <v>139.07368057625067</v>
      </c>
    </row>
    <row r="245" spans="1:24" x14ac:dyDescent="0.2">
      <c r="A245" s="227">
        <f t="shared" si="347"/>
        <v>157</v>
      </c>
      <c r="B245" s="227"/>
      <c r="C245" s="227"/>
      <c r="D245" s="227"/>
      <c r="E245" s="227"/>
      <c r="F245" s="227"/>
      <c r="G245" s="93" cm="1">
        <f t="array" ref="G245">Lininterp($A$55:$A$71,$N$55:$N$71,N244)</f>
        <v>6132.6943014768349</v>
      </c>
      <c r="H245" s="233"/>
      <c r="I245" s="233"/>
      <c r="J245" s="68" cm="1">
        <f t="array" ref="J245">Lininterp($A$55:$A$71,$G$55:$G$71,N244)</f>
        <v>6132.687309164221</v>
      </c>
      <c r="K245" s="68">
        <f t="shared" si="293"/>
        <v>1.4008540296105997E-7</v>
      </c>
      <c r="L245" s="68">
        <f t="shared" ref="L245" si="360">L244+K245</f>
        <v>5.1133405683320525</v>
      </c>
      <c r="M245" s="68"/>
      <c r="N245" s="68">
        <f t="shared" si="300"/>
        <v>9.9481334014242258</v>
      </c>
      <c r="O245" s="68">
        <f t="shared" si="301"/>
        <v>739.10127246226273</v>
      </c>
      <c r="P245" s="164">
        <f t="shared" si="295"/>
        <v>593.21853337243942</v>
      </c>
      <c r="Q245" s="233" cm="1">
        <f t="array" ref="Q245">Lininterp($A$55:$A$71,$Z$55:$Z$71,V244)</f>
        <v>2117.6074467056983</v>
      </c>
      <c r="R245" s="68" cm="1">
        <f t="array" ref="R245">Lininterp($A$55:$A$71,$Y$55:$Y$71,V244)</f>
        <v>2117.6071854585189</v>
      </c>
      <c r="S245" s="69">
        <f t="shared" si="296"/>
        <v>1.6479258386964058E-8</v>
      </c>
      <c r="T245" s="68">
        <f t="shared" ref="T245" si="361">T244+S245</f>
        <v>4.3931582004428202</v>
      </c>
      <c r="U245" s="68"/>
      <c r="V245" s="68">
        <f t="shared" si="303"/>
        <v>8.547000389966577</v>
      </c>
      <c r="W245" s="68">
        <f t="shared" si="304"/>
        <v>640.4682072980828</v>
      </c>
      <c r="X245" s="164">
        <f t="shared" si="298"/>
        <v>139.07368161961443</v>
      </c>
    </row>
    <row r="246" spans="1:24" x14ac:dyDescent="0.2">
      <c r="A246" s="227">
        <f t="shared" si="347"/>
        <v>158</v>
      </c>
      <c r="B246" s="227"/>
      <c r="C246" s="227"/>
      <c r="D246" s="227"/>
      <c r="E246" s="227"/>
      <c r="F246" s="227"/>
      <c r="G246" s="93" cm="1">
        <f t="array" ref="G246">Lininterp($A$55:$A$71,$N$55:$N$71,N245)</f>
        <v>6132.6940938973185</v>
      </c>
      <c r="H246" s="233"/>
      <c r="I246" s="233"/>
      <c r="J246" s="68" cm="1">
        <f t="array" ref="J246">Lininterp($A$55:$A$71,$G$55:$G$71,N245)</f>
        <v>6132.6877679575418</v>
      </c>
      <c r="K246" s="68">
        <f t="shared" si="293"/>
        <v>1.2673515496950762E-7</v>
      </c>
      <c r="L246" s="68">
        <f t="shared" ref="L246" si="362">L245+K246</f>
        <v>5.1133406950672073</v>
      </c>
      <c r="M246" s="68"/>
      <c r="N246" s="68">
        <f t="shared" si="300"/>
        <v>9.9481336479906748</v>
      </c>
      <c r="O246" s="68">
        <f t="shared" si="301"/>
        <v>744.21461315732995</v>
      </c>
      <c r="P246" s="164">
        <f t="shared" si="295"/>
        <v>593.21856277851657</v>
      </c>
      <c r="Q246" s="233" cm="1">
        <f t="array" ref="Q246">Lininterp($A$55:$A$71,$Z$55:$Z$71,V245)</f>
        <v>2117.6074395236164</v>
      </c>
      <c r="R246" s="68" cm="1">
        <f t="array" ref="R246">Lininterp($A$55:$A$71,$Y$55:$Y$71,V245)</f>
        <v>2117.6072065448411</v>
      </c>
      <c r="S246" s="69">
        <f t="shared" si="296"/>
        <v>1.4696110579284458E-8</v>
      </c>
      <c r="T246" s="68">
        <f t="shared" ref="T246" si="363">T245+S246</f>
        <v>4.3931582151389312</v>
      </c>
      <c r="U246" s="68"/>
      <c r="V246" s="68">
        <f t="shared" si="303"/>
        <v>8.5470004185582322</v>
      </c>
      <c r="W246" s="68">
        <f t="shared" si="304"/>
        <v>644.8613655132217</v>
      </c>
      <c r="X246" s="164">
        <f t="shared" si="298"/>
        <v>139.07368255008046</v>
      </c>
    </row>
    <row r="247" spans="1:24" x14ac:dyDescent="0.2">
      <c r="A247" s="227">
        <f t="shared" si="347"/>
        <v>159</v>
      </c>
      <c r="B247" s="227"/>
      <c r="C247" s="227"/>
      <c r="D247" s="227"/>
      <c r="E247" s="227"/>
      <c r="F247" s="227"/>
      <c r="G247" s="93" cm="1">
        <f t="array" ref="G247">Lininterp($A$55:$A$71,$N$55:$N$71,N246)</f>
        <v>6132.6939061002922</v>
      </c>
      <c r="H247" s="233"/>
      <c r="I247" s="233"/>
      <c r="J247" s="68" cm="1">
        <f t="array" ref="J247">Lininterp($A$55:$A$71,$G$55:$G$71,N246)</f>
        <v>6132.6881830275015</v>
      </c>
      <c r="K247" s="68">
        <f t="shared" si="293"/>
        <v>1.1465719602868021E-7</v>
      </c>
      <c r="L247" s="68">
        <f t="shared" ref="L247" si="364">L246+K247</f>
        <v>5.1133408097244031</v>
      </c>
      <c r="M247" s="68"/>
      <c r="N247" s="68">
        <f t="shared" si="300"/>
        <v>9.9481338710591505</v>
      </c>
      <c r="O247" s="68">
        <f t="shared" si="301"/>
        <v>749.32795396705433</v>
      </c>
      <c r="P247" s="164">
        <f t="shared" si="295"/>
        <v>593.21858938217224</v>
      </c>
      <c r="Q247" s="233" cm="1">
        <f t="array" ref="Q247">Lininterp($A$55:$A$71,$Z$55:$Z$71,V246)</f>
        <v>2117.6074331186755</v>
      </c>
      <c r="R247" s="68" cm="1">
        <f t="array" ref="R247">Lininterp($A$55:$A$71,$Y$55:$Y$71,V246)</f>
        <v>2117.6072253495058</v>
      </c>
      <c r="S247" s="69">
        <f t="shared" si="296"/>
        <v>1.3105909277974686E-8</v>
      </c>
      <c r="T247" s="68">
        <f t="shared" ref="T247" si="365">T246+S247</f>
        <v>4.3931582282448405</v>
      </c>
      <c r="U247" s="68"/>
      <c r="V247" s="68">
        <f t="shared" si="303"/>
        <v>8.5470004440561098</v>
      </c>
      <c r="W247" s="68">
        <f t="shared" si="304"/>
        <v>649.25452374146653</v>
      </c>
      <c r="X247" s="164">
        <f t="shared" si="298"/>
        <v>139.07368337986486</v>
      </c>
    </row>
    <row r="248" spans="1:24" x14ac:dyDescent="0.2">
      <c r="A248" s="227">
        <f t="shared" si="347"/>
        <v>160</v>
      </c>
      <c r="B248" s="227"/>
      <c r="C248" s="227"/>
      <c r="D248" s="227"/>
      <c r="E248" s="227"/>
      <c r="F248" s="227"/>
      <c r="G248" s="93" cm="1">
        <f t="array" ref="G248">Lininterp($A$55:$A$71,$N$55:$N$71,N247)</f>
        <v>6132.6937362004674</v>
      </c>
      <c r="H248" s="233"/>
      <c r="I248" s="233"/>
      <c r="J248" s="68" cm="1">
        <f t="array" ref="J248">Lininterp($A$55:$A$71,$G$55:$G$71,N247)</f>
        <v>6132.6885585409736</v>
      </c>
      <c r="K248" s="68">
        <f t="shared" si="293"/>
        <v>1.0373027589361983E-7</v>
      </c>
      <c r="L248" s="68">
        <f t="shared" ref="L248" si="366">L247+K248</f>
        <v>5.113340913454679</v>
      </c>
      <c r="M248" s="68"/>
      <c r="N248" s="68">
        <f t="shared" si="300"/>
        <v>9.9481340728690242</v>
      </c>
      <c r="O248" s="68">
        <f t="shared" si="301"/>
        <v>754.44129488050896</v>
      </c>
      <c r="P248" s="164">
        <f t="shared" si="295"/>
        <v>593.21861345047944</v>
      </c>
      <c r="Q248" s="233" cm="1">
        <f t="array" ref="Q248">Lininterp($A$55:$A$71,$Z$55:$Z$71,V247)</f>
        <v>2117.6074274067855</v>
      </c>
      <c r="R248" s="68" cm="1">
        <f t="array" ref="R248">Lininterp($A$55:$A$71,$Y$55:$Y$71,V247)</f>
        <v>2117.6072421193999</v>
      </c>
      <c r="S248" s="69">
        <f t="shared" si="296"/>
        <v>1.1687776728046115E-8</v>
      </c>
      <c r="T248" s="68">
        <f t="shared" ref="T248" si="367">T247+S248</f>
        <v>4.3931582399326174</v>
      </c>
      <c r="U248" s="68"/>
      <c r="V248" s="68">
        <f t="shared" si="303"/>
        <v>8.5470004667949748</v>
      </c>
      <c r="W248" s="68">
        <f t="shared" si="304"/>
        <v>653.64768198139916</v>
      </c>
      <c r="X248" s="164">
        <f t="shared" si="298"/>
        <v>139.07368411986198</v>
      </c>
    </row>
    <row r="249" spans="1:24" x14ac:dyDescent="0.2">
      <c r="A249" s="227">
        <f t="shared" si="347"/>
        <v>161</v>
      </c>
      <c r="B249" s="227"/>
      <c r="C249" s="227"/>
      <c r="D249" s="227"/>
      <c r="E249" s="227"/>
      <c r="F249" s="227"/>
      <c r="G249" s="93" cm="1">
        <f t="array" ref="G249">Lininterp($A$55:$A$71,$N$55:$N$71,N248)</f>
        <v>6132.6935824922302</v>
      </c>
      <c r="H249" s="233"/>
      <c r="I249" s="233"/>
      <c r="J249" s="68" cm="1">
        <f t="array" ref="J249">Lininterp($A$55:$A$71,$G$55:$G$71,N248)</f>
        <v>6132.6888982677156</v>
      </c>
      <c r="K249" s="68">
        <f t="shared" si="293"/>
        <v>9.3844699877468692E-8</v>
      </c>
      <c r="L249" s="68">
        <f t="shared" ref="L249" si="368">L248+K249</f>
        <v>5.113341007299379</v>
      </c>
      <c r="M249" s="68"/>
      <c r="N249" s="68">
        <f t="shared" si="300"/>
        <v>9.9481342554462628</v>
      </c>
      <c r="O249" s="68">
        <f t="shared" ref="O249:O280" si="369">O248+L249</f>
        <v>759.55463588780833</v>
      </c>
      <c r="P249" s="164">
        <f t="shared" si="295"/>
        <v>593.21863522505862</v>
      </c>
      <c r="Q249" s="233" cm="1">
        <f t="array" ref="Q249">Lininterp($A$55:$A$71,$Z$55:$Z$71,V248)</f>
        <v>2117.607422312954</v>
      </c>
      <c r="R249" s="68" cm="1">
        <f t="array" ref="R249">Lininterp($A$55:$A$71,$Y$55:$Y$71,V248)</f>
        <v>2117.6072570746983</v>
      </c>
      <c r="S249" s="69">
        <f t="shared" si="296"/>
        <v>1.0423094010680204E-8</v>
      </c>
      <c r="T249" s="68">
        <f t="shared" ref="T249" si="370">T248+S249</f>
        <v>4.3931582503557118</v>
      </c>
      <c r="U249" s="68"/>
      <c r="V249" s="68">
        <f t="shared" si="303"/>
        <v>8.5470004870733689</v>
      </c>
      <c r="W249" s="68">
        <f t="shared" ref="W249:W280" si="371">W248+T249</f>
        <v>658.04084023175483</v>
      </c>
      <c r="X249" s="164">
        <f t="shared" si="298"/>
        <v>139.07368477978727</v>
      </c>
    </row>
    <row r="250" spans="1:24" x14ac:dyDescent="0.2">
      <c r="A250" s="227">
        <f t="shared" si="347"/>
        <v>162</v>
      </c>
      <c r="B250" s="227"/>
      <c r="C250" s="227"/>
      <c r="D250" s="227"/>
      <c r="E250" s="227"/>
      <c r="F250" s="227"/>
      <c r="G250" s="93" cm="1">
        <f t="array" ref="G250">Lininterp($A$55:$A$71,$N$55:$N$71,N249)</f>
        <v>6132.6934434325058</v>
      </c>
      <c r="H250" s="233"/>
      <c r="I250" s="233"/>
      <c r="J250" s="68" cm="1">
        <f t="array" ref="J250">Lininterp($A$55:$A$71,$G$55:$G$71,N249)</f>
        <v>6132.6892056182387</v>
      </c>
      <c r="K250" s="68">
        <f t="shared" si="293"/>
        <v>8.4901226827136606E-8</v>
      </c>
      <c r="L250" s="68">
        <f t="shared" ref="L250" si="372">L249+K250</f>
        <v>5.1133410922006055</v>
      </c>
      <c r="M250" s="68"/>
      <c r="N250" s="68">
        <f t="shared" si="300"/>
        <v>9.9481344206237452</v>
      </c>
      <c r="O250" s="68">
        <f t="shared" si="369"/>
        <v>764.66797698000892</v>
      </c>
      <c r="P250" s="164">
        <f t="shared" si="295"/>
        <v>593.21865492450365</v>
      </c>
      <c r="Q250" s="233" cm="1">
        <f t="array" ref="Q250">Lininterp($A$55:$A$71,$Z$55:$Z$71,V249)</f>
        <v>2117.6074177703026</v>
      </c>
      <c r="R250" s="68" cm="1">
        <f t="array" ref="R250">Lininterp($A$55:$A$71,$Y$55:$Y$71,V249)</f>
        <v>2117.6072704117501</v>
      </c>
      <c r="S250" s="69">
        <f t="shared" si="296"/>
        <v>9.2952569617898167E-9</v>
      </c>
      <c r="T250" s="68">
        <f t="shared" ref="T250" si="373">T249+S250</f>
        <v>4.3931582596509688</v>
      </c>
      <c r="U250" s="68"/>
      <c r="V250" s="68">
        <f t="shared" si="303"/>
        <v>8.5470005051575271</v>
      </c>
      <c r="W250" s="68">
        <f t="shared" si="371"/>
        <v>662.43399849140576</v>
      </c>
      <c r="X250" s="164">
        <f t="shared" si="298"/>
        <v>139.07368536830495</v>
      </c>
    </row>
    <row r="251" spans="1:24" x14ac:dyDescent="0.2">
      <c r="A251" s="227">
        <f t="shared" si="347"/>
        <v>163</v>
      </c>
      <c r="B251" s="227"/>
      <c r="C251" s="227"/>
      <c r="D251" s="227"/>
      <c r="E251" s="227"/>
      <c r="F251" s="227"/>
      <c r="G251" s="93" cm="1">
        <f t="array" ref="G251">Lininterp($A$55:$A$71,$N$55:$N$71,N250)</f>
        <v>6132.6933176252833</v>
      </c>
      <c r="H251" s="233"/>
      <c r="I251" s="233"/>
      <c r="J251" s="68" cm="1">
        <f t="array" ref="J251">Lininterp($A$55:$A$71,$G$55:$G$71,N250)</f>
        <v>6132.6894836780129</v>
      </c>
      <c r="K251" s="68">
        <f t="shared" si="293"/>
        <v>7.6810073855810456E-8</v>
      </c>
      <c r="L251" s="68">
        <f t="shared" ref="L251" si="374">L250+K251</f>
        <v>5.1133411690106794</v>
      </c>
      <c r="M251" s="68"/>
      <c r="N251" s="68">
        <f t="shared" si="300"/>
        <v>9.9481345700596879</v>
      </c>
      <c r="O251" s="68">
        <f t="shared" si="369"/>
        <v>769.78131814901963</v>
      </c>
      <c r="P251" s="164">
        <f t="shared" si="295"/>
        <v>593.21867274657666</v>
      </c>
      <c r="Q251" s="233" cm="1">
        <f t="array" ref="Q251">Lininterp($A$55:$A$71,$Z$55:$Z$71,V250)</f>
        <v>2117.6074137191922</v>
      </c>
      <c r="R251" s="68" cm="1">
        <f t="array" ref="R251">Lininterp($A$55:$A$71,$Y$55:$Y$71,V250)</f>
        <v>2117.6072823056584</v>
      </c>
      <c r="S251" s="69">
        <f t="shared" si="296"/>
        <v>8.2894582226983599E-9</v>
      </c>
      <c r="T251" s="68">
        <f t="shared" ref="T251" si="375">T250+S251</f>
        <v>4.3931582679404269</v>
      </c>
      <c r="U251" s="68"/>
      <c r="V251" s="68">
        <f t="shared" si="303"/>
        <v>8.5470005212848772</v>
      </c>
      <c r="W251" s="68">
        <f t="shared" si="371"/>
        <v>666.82715675934617</v>
      </c>
      <c r="X251" s="164">
        <f t="shared" si="298"/>
        <v>139.07368589314174</v>
      </c>
    </row>
    <row r="252" spans="1:24" x14ac:dyDescent="0.2">
      <c r="A252" s="227">
        <f t="shared" si="347"/>
        <v>164</v>
      </c>
      <c r="B252" s="227"/>
      <c r="C252" s="227"/>
      <c r="D252" s="227"/>
      <c r="E252" s="227"/>
      <c r="F252" s="227"/>
      <c r="G252" s="93" cm="1">
        <f t="array" ref="G252">Lininterp($A$55:$A$71,$N$55:$N$71,N251)</f>
        <v>6132.6932038075847</v>
      </c>
      <c r="H252" s="233"/>
      <c r="I252" s="233"/>
      <c r="J252" s="68" cm="1">
        <f t="array" ref="J252">Lininterp($A$55:$A$71,$G$55:$G$71,N251)</f>
        <v>6132.6897352384785</v>
      </c>
      <c r="K252" s="68">
        <f t="shared" si="293"/>
        <v>6.9490013929682322E-8</v>
      </c>
      <c r="L252" s="68">
        <f t="shared" ref="L252" si="376">L251+K252</f>
        <v>5.1133412385006931</v>
      </c>
      <c r="M252" s="68"/>
      <c r="N252" s="68">
        <f t="shared" si="300"/>
        <v>9.948134705254267</v>
      </c>
      <c r="O252" s="68">
        <f t="shared" si="369"/>
        <v>774.89465938752028</v>
      </c>
      <c r="P252" s="164">
        <f t="shared" si="295"/>
        <v>593.21868887019241</v>
      </c>
      <c r="Q252" s="233" cm="1">
        <f t="array" ref="Q252">Lininterp($A$55:$A$71,$Z$55:$Z$71,V251)</f>
        <v>2117.6074101064346</v>
      </c>
      <c r="R252" s="68" cm="1">
        <f t="array" ref="R252">Lininterp($A$55:$A$71,$Y$55:$Y$71,V251)</f>
        <v>2117.6072929125789</v>
      </c>
      <c r="S252" s="69">
        <f t="shared" si="296"/>
        <v>7.3924925544276604E-9</v>
      </c>
      <c r="T252" s="68">
        <f t="shared" ref="T252" si="377">T251+S252</f>
        <v>4.3931582753329197</v>
      </c>
      <c r="U252" s="68"/>
      <c r="V252" s="68">
        <f t="shared" si="303"/>
        <v>8.5470005356671592</v>
      </c>
      <c r="W252" s="68">
        <f t="shared" si="371"/>
        <v>671.22031503467906</v>
      </c>
      <c r="X252" s="164">
        <f t="shared" si="298"/>
        <v>139.07368636118824</v>
      </c>
    </row>
    <row r="253" spans="1:24" x14ac:dyDescent="0.2">
      <c r="A253" s="227">
        <f t="shared" si="347"/>
        <v>165</v>
      </c>
      <c r="B253" s="227"/>
      <c r="C253" s="227"/>
      <c r="D253" s="227"/>
      <c r="E253" s="227"/>
      <c r="F253" s="227"/>
      <c r="G253" s="93" cm="1">
        <f t="array" ref="G253">Lininterp($A$55:$A$71,$N$55:$N$71,N252)</f>
        <v>6132.6931008368028</v>
      </c>
      <c r="H253" s="233"/>
      <c r="I253" s="233"/>
      <c r="J253" s="68" cm="1">
        <f t="array" ref="J253">Lininterp($A$55:$A$71,$G$55:$G$71,N252)</f>
        <v>6132.689962825033</v>
      </c>
      <c r="K253" s="68">
        <f t="shared" si="293"/>
        <v>6.2867561498552171E-8</v>
      </c>
      <c r="L253" s="68">
        <f t="shared" ref="L253" si="378">L252+K253</f>
        <v>5.1133413013682549</v>
      </c>
      <c r="M253" s="68"/>
      <c r="N253" s="68">
        <f t="shared" si="300"/>
        <v>9.9481348275646972</v>
      </c>
      <c r="O253" s="68">
        <f t="shared" si="369"/>
        <v>780.0080006888885</v>
      </c>
      <c r="P253" s="164">
        <f t="shared" si="295"/>
        <v>593.21870345721527</v>
      </c>
      <c r="Q253" s="233" cm="1">
        <f t="array" ref="Q253">Lininterp($A$55:$A$71,$Z$55:$Z$71,V252)</f>
        <v>2117.6074068845969</v>
      </c>
      <c r="R253" s="68" cm="1">
        <f t="array" ref="R253">Lininterp($A$55:$A$71,$Y$55:$Y$71,V252)</f>
        <v>2117.6073023717722</v>
      </c>
      <c r="S253" s="69">
        <f t="shared" si="296"/>
        <v>6.5925834936935017E-9</v>
      </c>
      <c r="T253" s="68">
        <f t="shared" ref="T253" si="379">T252+S253</f>
        <v>4.3931582819255031</v>
      </c>
      <c r="U253" s="68"/>
      <c r="V253" s="68">
        <f t="shared" si="303"/>
        <v>8.5470005484931963</v>
      </c>
      <c r="W253" s="68">
        <f t="shared" si="371"/>
        <v>675.61347331660454</v>
      </c>
      <c r="X253" s="164">
        <f t="shared" si="298"/>
        <v>139.07368677858949</v>
      </c>
    </row>
    <row r="254" spans="1:24" x14ac:dyDescent="0.2">
      <c r="A254" s="227">
        <f t="shared" si="347"/>
        <v>166</v>
      </c>
      <c r="B254" s="227"/>
      <c r="C254" s="227"/>
      <c r="D254" s="227"/>
      <c r="E254" s="227"/>
      <c r="F254" s="227"/>
      <c r="G254" s="93" cm="1">
        <f t="array" ref="G254">Lininterp($A$55:$A$71,$N$55:$N$71,N253)</f>
        <v>6132.6930076792178</v>
      </c>
      <c r="H254" s="233"/>
      <c r="I254" s="233"/>
      <c r="J254" s="68" cm="1">
        <f t="array" ref="J254">Lininterp($A$55:$A$71,$G$55:$G$71,N253)</f>
        <v>6132.6901687224108</v>
      </c>
      <c r="K254" s="68">
        <f t="shared" si="293"/>
        <v>5.6876233980455649E-8</v>
      </c>
      <c r="L254" s="68">
        <f t="shared" ref="L254" si="380">L253+K254</f>
        <v>5.1133413582444893</v>
      </c>
      <c r="M254" s="68"/>
      <c r="N254" s="68">
        <f t="shared" si="300"/>
        <v>9.9481349382188498</v>
      </c>
      <c r="O254" s="68">
        <f t="shared" si="369"/>
        <v>785.121342047133</v>
      </c>
      <c r="P254" s="164">
        <f t="shared" si="295"/>
        <v>593.21871665408378</v>
      </c>
      <c r="Q254" s="233" cm="1">
        <f t="array" ref="Q254">Lininterp($A$55:$A$71,$Z$55:$Z$71,V253)</f>
        <v>2117.6074040113808</v>
      </c>
      <c r="R254" s="68" cm="1">
        <f t="array" ref="R254">Lininterp($A$55:$A$71,$Y$55:$Y$71,V253)</f>
        <v>2117.6073108074265</v>
      </c>
      <c r="S254" s="69">
        <f t="shared" si="296"/>
        <v>5.8792291992269852E-9</v>
      </c>
      <c r="T254" s="68">
        <f t="shared" ref="T254" si="381">T253+S254</f>
        <v>4.3931582878047326</v>
      </c>
      <c r="U254" s="68"/>
      <c r="V254" s="68">
        <f t="shared" si="303"/>
        <v>8.5470005599313854</v>
      </c>
      <c r="W254" s="68">
        <f t="shared" si="371"/>
        <v>680.00663160440922</v>
      </c>
      <c r="X254" s="164">
        <f t="shared" si="298"/>
        <v>139.07368715082563</v>
      </c>
    </row>
    <row r="255" spans="1:24" x14ac:dyDescent="0.2">
      <c r="A255" s="227">
        <f t="shared" si="347"/>
        <v>167</v>
      </c>
      <c r="B255" s="227"/>
      <c r="C255" s="227"/>
      <c r="D255" s="227"/>
      <c r="E255" s="227"/>
      <c r="F255" s="227"/>
      <c r="G255" s="93" cm="1">
        <f t="array" ref="G255">Lininterp($A$55:$A$71,$N$55:$N$71,N254)</f>
        <v>6132.6929233996216</v>
      </c>
      <c r="H255" s="233"/>
      <c r="I255" s="233"/>
      <c r="J255" s="68" cm="1">
        <f t="array" ref="J255">Lininterp($A$55:$A$71,$G$55:$G$71,N254)</f>
        <v>6132.6903549976114</v>
      </c>
      <c r="K255" s="68">
        <f t="shared" si="293"/>
        <v>5.1455884545066982E-8</v>
      </c>
      <c r="L255" s="68">
        <f t="shared" ref="L255" si="382">L254+K255</f>
        <v>5.1133414097003742</v>
      </c>
      <c r="M255" s="68"/>
      <c r="N255" s="68">
        <f t="shared" si="300"/>
        <v>9.9481350383275764</v>
      </c>
      <c r="O255" s="68">
        <f t="shared" si="369"/>
        <v>790.23468345683341</v>
      </c>
      <c r="P255" s="164">
        <f t="shared" si="295"/>
        <v>593.2187285932805</v>
      </c>
      <c r="Q255" s="233" cm="1">
        <f t="array" ref="Q255">Lininterp($A$55:$A$71,$Z$55:$Z$71,V254)</f>
        <v>2117.6074014490628</v>
      </c>
      <c r="R255" s="68" cm="1">
        <f t="array" ref="R255">Lininterp($A$55:$A$71,$Y$55:$Y$71,V254)</f>
        <v>2117.6073183302969</v>
      </c>
      <c r="S255" s="69">
        <f t="shared" si="296"/>
        <v>5.2430637593598984E-9</v>
      </c>
      <c r="T255" s="68">
        <f t="shared" ref="T255" si="383">T254+S255</f>
        <v>4.3931582930477964</v>
      </c>
      <c r="U255" s="68"/>
      <c r="V255" s="68">
        <f t="shared" si="303"/>
        <v>8.5470005701318996</v>
      </c>
      <c r="W255" s="68">
        <f t="shared" si="371"/>
        <v>684.39978989745703</v>
      </c>
      <c r="X255" s="164">
        <f t="shared" si="298"/>
        <v>139.0736874827837</v>
      </c>
    </row>
    <row r="256" spans="1:24" x14ac:dyDescent="0.2">
      <c r="A256" s="227">
        <f t="shared" si="347"/>
        <v>168</v>
      </c>
      <c r="B256" s="227"/>
      <c r="C256" s="227"/>
      <c r="D256" s="227"/>
      <c r="E256" s="227"/>
      <c r="F256" s="227"/>
      <c r="G256" s="93" cm="1">
        <f t="array" ref="G256">Lininterp($A$55:$A$71,$N$55:$N$71,N255)</f>
        <v>6132.692847151935</v>
      </c>
      <c r="H256" s="233"/>
      <c r="I256" s="233"/>
      <c r="J256" s="68" cm="1">
        <f t="array" ref="J256">Lininterp($A$55:$A$71,$G$55:$G$71,N255)</f>
        <v>6132.6905235206423</v>
      </c>
      <c r="K256" s="68">
        <f t="shared" si="293"/>
        <v>4.6552098561277684E-8</v>
      </c>
      <c r="L256" s="68">
        <f t="shared" ref="L256" si="384">L255+K256</f>
        <v>5.1133414562524724</v>
      </c>
      <c r="M256" s="68"/>
      <c r="N256" s="68">
        <f t="shared" si="300"/>
        <v>9.9481351288958599</v>
      </c>
      <c r="O256" s="68">
        <f t="shared" si="369"/>
        <v>795.34802491308585</v>
      </c>
      <c r="P256" s="164">
        <f t="shared" si="295"/>
        <v>593.21873939466229</v>
      </c>
      <c r="Q256" s="233" cm="1">
        <f t="array" ref="Q256">Lininterp($A$55:$A$71,$Z$55:$Z$71,V255)</f>
        <v>2117.607399164001</v>
      </c>
      <c r="R256" s="68" cm="1">
        <f t="array" ref="R256">Lininterp($A$55:$A$71,$Y$55:$Y$71,V255)</f>
        <v>2117.607325039151</v>
      </c>
      <c r="S256" s="69">
        <f t="shared" si="296"/>
        <v>4.6757349074820958E-9</v>
      </c>
      <c r="T256" s="68">
        <f t="shared" ref="T256" si="385">T255+S256</f>
        <v>4.3931582977235308</v>
      </c>
      <c r="U256" s="68"/>
      <c r="V256" s="68">
        <f t="shared" si="303"/>
        <v>8.5470005792286585</v>
      </c>
      <c r="W256" s="68">
        <f t="shared" si="371"/>
        <v>688.79294819518054</v>
      </c>
      <c r="X256" s="164">
        <f t="shared" si="298"/>
        <v>139.07368777882203</v>
      </c>
    </row>
    <row r="257" spans="1:24" x14ac:dyDescent="0.2">
      <c r="A257" s="227">
        <f t="shared" si="347"/>
        <v>169</v>
      </c>
      <c r="B257" s="227"/>
      <c r="C257" s="227"/>
      <c r="D257" s="227"/>
      <c r="E257" s="227"/>
      <c r="F257" s="227"/>
      <c r="G257" s="93" cm="1">
        <f t="array" ref="G257">Lininterp($A$55:$A$71,$N$55:$N$71,N256)</f>
        <v>6132.6927781707154</v>
      </c>
      <c r="H257" s="233"/>
      <c r="I257" s="233"/>
      <c r="J257" s="68" cm="1">
        <f t="array" ref="J257">Lininterp($A$55:$A$71,$G$55:$G$71,N256)</f>
        <v>6132.6906759832909</v>
      </c>
      <c r="K257" s="68">
        <f t="shared" si="293"/>
        <v>4.2115647386263893E-8</v>
      </c>
      <c r="L257" s="68">
        <f t="shared" ref="L257" si="386">L256+K257</f>
        <v>5.1133414983681194</v>
      </c>
      <c r="M257" s="68"/>
      <c r="N257" s="68">
        <f t="shared" si="300"/>
        <v>9.9481352108329162</v>
      </c>
      <c r="O257" s="68">
        <f t="shared" si="369"/>
        <v>800.46136641145392</v>
      </c>
      <c r="P257" s="164">
        <f t="shared" si="295"/>
        <v>593.21874916666411</v>
      </c>
      <c r="Q257" s="233" cm="1">
        <f t="array" ref="Q257">Lininterp($A$55:$A$71,$Z$55:$Z$71,V256)</f>
        <v>2117.6073971261967</v>
      </c>
      <c r="R257" s="68" cm="1">
        <f t="array" ref="R257">Lininterp($A$55:$A$71,$Y$55:$Y$71,V256)</f>
        <v>2117.6073310220681</v>
      </c>
      <c r="S257" s="69">
        <f t="shared" si="296"/>
        <v>4.169794358938891E-9</v>
      </c>
      <c r="T257" s="68">
        <f t="shared" ref="T257" si="387">T256+S257</f>
        <v>4.3931583018933251</v>
      </c>
      <c r="U257" s="68"/>
      <c r="V257" s="68">
        <f t="shared" si="303"/>
        <v>8.547000587341099</v>
      </c>
      <c r="W257" s="68">
        <f t="shared" si="371"/>
        <v>693.18610649707387</v>
      </c>
      <c r="X257" s="164">
        <f t="shared" si="298"/>
        <v>139.07368804282743</v>
      </c>
    </row>
    <row r="258" spans="1:24" x14ac:dyDescent="0.2">
      <c r="A258" s="227">
        <f t="shared" si="347"/>
        <v>170</v>
      </c>
      <c r="B258" s="227"/>
      <c r="C258" s="227"/>
      <c r="D258" s="227"/>
      <c r="E258" s="227"/>
      <c r="F258" s="227"/>
      <c r="G258" s="93" cm="1">
        <f t="array" ref="G258">Lininterp($A$55:$A$71,$N$55:$N$71,N257)</f>
        <v>6132.6927157634591</v>
      </c>
      <c r="H258" s="233"/>
      <c r="I258" s="233"/>
      <c r="J258" s="68" cm="1">
        <f t="array" ref="J258">Lininterp($A$55:$A$71,$G$55:$G$71,N257)</f>
        <v>6132.6908139161314</v>
      </c>
      <c r="K258" s="68">
        <f t="shared" si="293"/>
        <v>3.8101993428449197E-8</v>
      </c>
      <c r="L258" s="68">
        <f t="shared" ref="L258" si="388">L257+K258</f>
        <v>5.1133415364701129</v>
      </c>
      <c r="M258" s="68"/>
      <c r="N258" s="68">
        <f t="shared" si="300"/>
        <v>9.9481352849613085</v>
      </c>
      <c r="O258" s="68">
        <f t="shared" si="369"/>
        <v>805.57470794792403</v>
      </c>
      <c r="P258" s="164">
        <f t="shared" si="295"/>
        <v>593.2187580073869</v>
      </c>
      <c r="Q258" s="233" cm="1">
        <f t="array" ref="Q258">Lininterp($A$55:$A$71,$Z$55:$Z$71,V257)</f>
        <v>2117.6073953088935</v>
      </c>
      <c r="R258" s="68" cm="1">
        <f t="array" ref="R258">Lininterp($A$55:$A$71,$Y$55:$Y$71,V257)</f>
        <v>2117.6073363576011</v>
      </c>
      <c r="S258" s="69">
        <f t="shared" si="296"/>
        <v>3.7185993064288094E-9</v>
      </c>
      <c r="T258" s="68">
        <f t="shared" ref="T258" si="389">T257+S258</f>
        <v>4.3931583056119248</v>
      </c>
      <c r="U258" s="68"/>
      <c r="V258" s="68">
        <f t="shared" si="303"/>
        <v>8.5470005945757297</v>
      </c>
      <c r="W258" s="68">
        <f t="shared" si="371"/>
        <v>697.57926480268577</v>
      </c>
      <c r="X258" s="164">
        <f t="shared" si="298"/>
        <v>139.07368827826593</v>
      </c>
    </row>
    <row r="259" spans="1:24" x14ac:dyDescent="0.2">
      <c r="A259" s="227">
        <f t="shared" si="347"/>
        <v>171</v>
      </c>
      <c r="B259" s="227"/>
      <c r="C259" s="227"/>
      <c r="D259" s="227"/>
      <c r="E259" s="227"/>
      <c r="F259" s="227"/>
      <c r="G259" s="93" cm="1">
        <f t="array" ref="G259">Lininterp($A$55:$A$71,$N$55:$N$71,N258)</f>
        <v>6132.6926593036624</v>
      </c>
      <c r="H259" s="233"/>
      <c r="I259" s="233"/>
      <c r="J259" s="68" cm="1">
        <f t="array" ref="J259">Lininterp($A$55:$A$71,$G$55:$G$71,N258)</f>
        <v>6132.6909387038668</v>
      </c>
      <c r="K259" s="68">
        <f t="shared" si="293"/>
        <v>3.4470843769433828E-8</v>
      </c>
      <c r="L259" s="68">
        <f t="shared" ref="L259" si="390">L258+K259</f>
        <v>5.1133415709409569</v>
      </c>
      <c r="M259" s="68"/>
      <c r="N259" s="68">
        <f t="shared" si="300"/>
        <v>9.9481353520252078</v>
      </c>
      <c r="O259" s="68">
        <f t="shared" si="369"/>
        <v>810.688049518865</v>
      </c>
      <c r="P259" s="164">
        <f t="shared" si="295"/>
        <v>593.21876600558176</v>
      </c>
      <c r="Q259" s="233" cm="1">
        <f t="array" ref="Q259">Lininterp($A$55:$A$71,$Z$55:$Z$71,V258)</f>
        <v>2117.6073936882326</v>
      </c>
      <c r="R259" s="68" cm="1">
        <f t="array" ref="R259">Lininterp($A$55:$A$71,$Y$55:$Y$71,V258)</f>
        <v>2117.6073411158004</v>
      </c>
      <c r="S259" s="69">
        <f t="shared" si="296"/>
        <v>3.316226020509721E-9</v>
      </c>
      <c r="T259" s="68">
        <f t="shared" ref="T259" si="391">T258+S259</f>
        <v>4.3931583089281512</v>
      </c>
      <c r="U259" s="68"/>
      <c r="V259" s="68">
        <f t="shared" si="303"/>
        <v>8.5470006010275306</v>
      </c>
      <c r="W259" s="68">
        <f t="shared" si="371"/>
        <v>701.97242311161392</v>
      </c>
      <c r="X259" s="164">
        <f t="shared" si="298"/>
        <v>139.07368848822873</v>
      </c>
    </row>
    <row r="260" spans="1:24" x14ac:dyDescent="0.2">
      <c r="A260" s="227">
        <f t="shared" si="347"/>
        <v>172</v>
      </c>
      <c r="B260" s="227"/>
      <c r="C260" s="227"/>
      <c r="D260" s="227"/>
      <c r="E260" s="227"/>
      <c r="F260" s="227"/>
      <c r="G260" s="93" cm="1">
        <f t="array" ref="G260">Lininterp($A$55:$A$71,$N$55:$N$71,N259)</f>
        <v>6132.6926082245282</v>
      </c>
      <c r="H260" s="233"/>
      <c r="I260" s="233"/>
      <c r="J260" s="68" cm="1">
        <f t="array" ref="J260">Lininterp($A$55:$A$71,$G$55:$G$71,N259)</f>
        <v>6132.6910515992349</v>
      </c>
      <c r="K260" s="68">
        <f t="shared" si="293"/>
        <v>3.1185745475573061E-8</v>
      </c>
      <c r="L260" s="68">
        <f t="shared" ref="L260" si="392">L259+K260</f>
        <v>5.1133416021267024</v>
      </c>
      <c r="M260" s="68"/>
      <c r="N260" s="68">
        <f t="shared" si="300"/>
        <v>9.9481354126978641</v>
      </c>
      <c r="O260" s="68">
        <f t="shared" si="369"/>
        <v>815.80139112099175</v>
      </c>
      <c r="P260" s="164">
        <f t="shared" si="295"/>
        <v>593.21877324154264</v>
      </c>
      <c r="Q260" s="233" cm="1">
        <f t="array" ref="Q260">Lininterp($A$55:$A$71,$Z$55:$Z$71,V259)</f>
        <v>2117.6073922429368</v>
      </c>
      <c r="R260" s="68" cm="1">
        <f t="array" ref="R260">Lininterp($A$55:$A$71,$Y$55:$Y$71,V259)</f>
        <v>2117.6073453591348</v>
      </c>
      <c r="S260" s="69">
        <f t="shared" si="296"/>
        <v>2.9573918835217032E-9</v>
      </c>
      <c r="T260" s="68">
        <f t="shared" ref="T260" si="393">T259+S260</f>
        <v>4.3931583118855428</v>
      </c>
      <c r="U260" s="68"/>
      <c r="V260" s="68">
        <f t="shared" si="303"/>
        <v>8.5470006067812108</v>
      </c>
      <c r="W260" s="68">
        <f t="shared" si="371"/>
        <v>706.36558142349941</v>
      </c>
      <c r="X260" s="164">
        <f t="shared" si="298"/>
        <v>139.07368867547231</v>
      </c>
    </row>
    <row r="261" spans="1:24" x14ac:dyDescent="0.2">
      <c r="A261" s="227">
        <f t="shared" si="347"/>
        <v>173</v>
      </c>
      <c r="B261" s="227"/>
      <c r="C261" s="227"/>
      <c r="D261" s="227"/>
      <c r="E261" s="227"/>
      <c r="F261" s="227"/>
      <c r="G261" s="93" cm="1">
        <f t="array" ref="G261">Lininterp($A$55:$A$71,$N$55:$N$71,N260)</f>
        <v>6132.6925620132752</v>
      </c>
      <c r="H261" s="233"/>
      <c r="I261" s="233"/>
      <c r="J261" s="68" cm="1">
        <f t="array" ref="J261">Lininterp($A$55:$A$71,$G$55:$G$71,N260)</f>
        <v>6132.6911537355845</v>
      </c>
      <c r="K261" s="68">
        <f t="shared" si="293"/>
        <v>2.8213719647402743E-8</v>
      </c>
      <c r="L261" s="68">
        <f t="shared" ref="L261" si="394">L260+K261</f>
        <v>5.1133416303404218</v>
      </c>
      <c r="M261" s="68"/>
      <c r="N261" s="68">
        <f t="shared" si="300"/>
        <v>9.9481354675883686</v>
      </c>
      <c r="O261" s="68">
        <f t="shared" si="369"/>
        <v>820.91473275133217</v>
      </c>
      <c r="P261" s="164">
        <f t="shared" si="295"/>
        <v>593.21877978791065</v>
      </c>
      <c r="Q261" s="233" cm="1">
        <f t="array" ref="Q261">Lininterp($A$55:$A$71,$Z$55:$Z$71,V260)</f>
        <v>2117.6073909540301</v>
      </c>
      <c r="R261" s="68" cm="1">
        <f t="array" ref="R261">Lininterp($A$55:$A$71,$Y$55:$Y$71,V260)</f>
        <v>2117.6073491433172</v>
      </c>
      <c r="S261" s="69">
        <f t="shared" si="296"/>
        <v>2.6373855700757231E-9</v>
      </c>
      <c r="T261" s="68">
        <f t="shared" ref="T261" si="395">T260+S261</f>
        <v>4.3931583145229283</v>
      </c>
      <c r="U261" s="68"/>
      <c r="V261" s="68">
        <f t="shared" si="303"/>
        <v>8.5470006119123116</v>
      </c>
      <c r="W261" s="68">
        <f t="shared" si="371"/>
        <v>710.75873973802231</v>
      </c>
      <c r="X261" s="164">
        <f t="shared" si="298"/>
        <v>139.07368884245508</v>
      </c>
    </row>
    <row r="262" spans="1:24" x14ac:dyDescent="0.2">
      <c r="A262" s="227">
        <f t="shared" si="347"/>
        <v>174</v>
      </c>
      <c r="B262" s="227"/>
      <c r="C262" s="227"/>
      <c r="D262" s="227"/>
      <c r="E262" s="227"/>
      <c r="F262" s="227"/>
      <c r="G262" s="93" cm="1">
        <f t="array" ref="G262">Lininterp($A$55:$A$71,$N$55:$N$71,N261)</f>
        <v>6132.6925202059911</v>
      </c>
      <c r="H262" s="233"/>
      <c r="I262" s="233"/>
      <c r="J262" s="68" cm="1">
        <f t="array" ref="J262">Lininterp($A$55:$A$71,$G$55:$G$71,N261)</f>
        <v>6132.6912461382599</v>
      </c>
      <c r="K262" s="68">
        <f t="shared" si="293"/>
        <v>2.5524930216512798E-8</v>
      </c>
      <c r="L262" s="68">
        <f t="shared" ref="L262" si="396">L261+K262</f>
        <v>5.1133416558653524</v>
      </c>
      <c r="M262" s="68"/>
      <c r="N262" s="68">
        <f t="shared" si="300"/>
        <v>9.948135517247767</v>
      </c>
      <c r="O262" s="68">
        <f t="shared" si="369"/>
        <v>826.02807440719755</v>
      </c>
      <c r="P262" s="164">
        <f t="shared" si="295"/>
        <v>593.21878571040486</v>
      </c>
      <c r="Q262" s="233" cm="1">
        <f t="array" ref="Q262">Lininterp($A$55:$A$71,$Z$55:$Z$71,V261)</f>
        <v>2117.6073898045897</v>
      </c>
      <c r="R262" s="68" cm="1">
        <f t="array" ref="R262">Lininterp($A$55:$A$71,$Y$55:$Y$71,V261)</f>
        <v>2117.60735251803</v>
      </c>
      <c r="S262" s="69">
        <f t="shared" si="296"/>
        <v>2.3520056896441478E-9</v>
      </c>
      <c r="T262" s="68">
        <f t="shared" ref="T262" si="397">T261+S262</f>
        <v>4.393158316874934</v>
      </c>
      <c r="U262" s="68"/>
      <c r="V262" s="68">
        <f t="shared" si="303"/>
        <v>8.547000616488198</v>
      </c>
      <c r="W262" s="68">
        <f t="shared" si="371"/>
        <v>715.15189805489729</v>
      </c>
      <c r="X262" s="164">
        <f t="shared" si="298"/>
        <v>139.07368899136941</v>
      </c>
    </row>
    <row r="263" spans="1:24" x14ac:dyDescent="0.2">
      <c r="A263" s="227">
        <f t="shared" si="347"/>
        <v>175</v>
      </c>
      <c r="B263" s="227"/>
      <c r="C263" s="227"/>
      <c r="D263" s="227"/>
      <c r="E263" s="227"/>
      <c r="F263" s="227"/>
      <c r="G263" s="93" cm="1">
        <f t="array" ref="G263">Lininterp($A$55:$A$71,$N$55:$N$71,N262)</f>
        <v>6132.6924823829722</v>
      </c>
      <c r="H263" s="233"/>
      <c r="I263" s="233"/>
      <c r="J263" s="68" cm="1">
        <f t="array" ref="J263">Lininterp($A$55:$A$71,$G$55:$G$71,N262)</f>
        <v>6132.691329734891</v>
      </c>
      <c r="K263" s="68">
        <f t="shared" si="293"/>
        <v>2.3092384428740628E-8</v>
      </c>
      <c r="L263" s="68">
        <f t="shared" ref="L263" si="398">L262+K263</f>
        <v>5.1133416789577364</v>
      </c>
      <c r="M263" s="68"/>
      <c r="N263" s="68">
        <f t="shared" si="300"/>
        <v>9.9481355621745848</v>
      </c>
      <c r="O263" s="68">
        <f t="shared" si="369"/>
        <v>831.14141608615523</v>
      </c>
      <c r="P263" s="164">
        <f t="shared" si="295"/>
        <v>593.21879106848064</v>
      </c>
      <c r="Q263" s="233" cm="1">
        <f t="array" ref="Q263">Lininterp($A$55:$A$71,$Z$55:$Z$71,V262)</f>
        <v>2117.6073887795255</v>
      </c>
      <c r="R263" s="68" cm="1">
        <f t="array" ref="R263">Lininterp($A$55:$A$71,$Y$55:$Y$71,V262)</f>
        <v>2117.6073555275798</v>
      </c>
      <c r="S263" s="69">
        <f t="shared" si="296"/>
        <v>2.0975055390756196E-9</v>
      </c>
      <c r="T263" s="68">
        <f t="shared" ref="T263" si="399">T262+S263</f>
        <v>4.3931583189724392</v>
      </c>
      <c r="U263" s="68"/>
      <c r="V263" s="68">
        <f t="shared" si="303"/>
        <v>8.5470006205689479</v>
      </c>
      <c r="W263" s="68">
        <f t="shared" si="371"/>
        <v>719.54505637386978</v>
      </c>
      <c r="X263" s="164">
        <f t="shared" si="298"/>
        <v>139.07368912417036</v>
      </c>
    </row>
    <row r="264" spans="1:24" x14ac:dyDescent="0.2">
      <c r="A264" s="227">
        <f t="shared" si="347"/>
        <v>176</v>
      </c>
      <c r="B264" s="227"/>
      <c r="C264" s="227"/>
      <c r="D264" s="227"/>
      <c r="E264" s="227"/>
      <c r="F264" s="227"/>
      <c r="G264" s="93" cm="1">
        <f t="array" ref="G264">Lininterp($A$55:$A$71,$N$55:$N$71,N263)</f>
        <v>6132.6924481645183</v>
      </c>
      <c r="H264" s="233"/>
      <c r="I264" s="233"/>
      <c r="J264" s="68" cm="1">
        <f t="array" ref="J264">Lininterp($A$55:$A$71,$G$55:$G$71,N263)</f>
        <v>6132.691405364696</v>
      </c>
      <c r="K264" s="68">
        <f t="shared" si="293"/>
        <v>2.0891662225871368E-8</v>
      </c>
      <c r="L264" s="68">
        <f t="shared" ref="L264" si="400">L263+K264</f>
        <v>5.113341699849399</v>
      </c>
      <c r="M264" s="68"/>
      <c r="N264" s="68">
        <f t="shared" si="300"/>
        <v>9.9481356028198427</v>
      </c>
      <c r="O264" s="68">
        <f t="shared" si="369"/>
        <v>836.25475778600457</v>
      </c>
      <c r="P264" s="164">
        <f t="shared" si="295"/>
        <v>593.2187959159279</v>
      </c>
      <c r="Q264" s="233" cm="1">
        <f t="array" ref="Q264">Lininterp($A$55:$A$71,$Z$55:$Z$71,V263)</f>
        <v>2117.6073878653792</v>
      </c>
      <c r="R264" s="68" cm="1">
        <f t="array" ref="R264">Lininterp($A$55:$A$71,$Y$55:$Y$71,V263)</f>
        <v>2117.6073582114791</v>
      </c>
      <c r="S264" s="69">
        <f t="shared" si="296"/>
        <v>1.8705437642386623E-9</v>
      </c>
      <c r="T264" s="68">
        <f t="shared" ref="T264" si="401">T263+S264</f>
        <v>4.393158320842983</v>
      </c>
      <c r="U264" s="68"/>
      <c r="V264" s="68">
        <f t="shared" si="303"/>
        <v>8.5470006242081382</v>
      </c>
      <c r="W264" s="68">
        <f t="shared" si="371"/>
        <v>723.93821469471277</v>
      </c>
      <c r="X264" s="164">
        <f t="shared" si="298"/>
        <v>139.07368924260152</v>
      </c>
    </row>
    <row r="265" spans="1:24" x14ac:dyDescent="0.2">
      <c r="A265" s="227">
        <f t="shared" si="347"/>
        <v>177</v>
      </c>
      <c r="B265" s="227"/>
      <c r="C265" s="227"/>
      <c r="D265" s="227"/>
      <c r="E265" s="227"/>
      <c r="F265" s="227"/>
      <c r="G265" s="93" cm="1">
        <f t="array" ref="G265">Lininterp($A$55:$A$71,$N$55:$N$71,N264)</f>
        <v>6132.6924172071085</v>
      </c>
      <c r="H265" s="233"/>
      <c r="I265" s="233"/>
      <c r="J265" s="68" cm="1">
        <f t="array" ref="J265">Lininterp($A$55:$A$71,$G$55:$G$71,N264)</f>
        <v>6132.6914737869229</v>
      </c>
      <c r="K265" s="68">
        <f t="shared" si="293"/>
        <v>1.8900670517224849E-8</v>
      </c>
      <c r="L265" s="68">
        <f t="shared" ref="L265" si="402">L264+K265</f>
        <v>5.1133417187500694</v>
      </c>
      <c r="M265" s="68"/>
      <c r="N265" s="68">
        <f t="shared" si="300"/>
        <v>9.948135639591575</v>
      </c>
      <c r="O265" s="68">
        <f t="shared" si="369"/>
        <v>841.3680995047547</v>
      </c>
      <c r="P265" s="164">
        <f t="shared" si="295"/>
        <v>593.21880030140949</v>
      </c>
      <c r="Q265" s="233" cm="1">
        <f t="array" ref="Q265">Lininterp($A$55:$A$71,$Z$55:$Z$71,V264)</f>
        <v>2117.6073870501482</v>
      </c>
      <c r="R265" s="68" cm="1">
        <f t="array" ref="R265">Lininterp($A$55:$A$71,$Y$55:$Y$71,V264)</f>
        <v>2117.6073606049663</v>
      </c>
      <c r="S265" s="69">
        <f t="shared" si="296"/>
        <v>1.668140443147473E-9</v>
      </c>
      <c r="T265" s="68">
        <f t="shared" ref="T265" si="403">T264+S265</f>
        <v>4.3931583225111233</v>
      </c>
      <c r="U265" s="68"/>
      <c r="V265" s="68">
        <f t="shared" si="303"/>
        <v>8.5470006274535475</v>
      </c>
      <c r="W265" s="68">
        <f t="shared" si="371"/>
        <v>728.33137301722388</v>
      </c>
      <c r="X265" s="164">
        <f t="shared" si="298"/>
        <v>139.07368934821775</v>
      </c>
    </row>
    <row r="266" spans="1:24" x14ac:dyDescent="0.2">
      <c r="A266" s="227">
        <f t="shared" si="347"/>
        <v>178</v>
      </c>
      <c r="B266" s="227"/>
      <c r="C266" s="227"/>
      <c r="D266" s="227"/>
      <c r="E266" s="227"/>
      <c r="F266" s="227"/>
      <c r="G266" s="93" cm="1">
        <f t="array" ref="G266">Lininterp($A$55:$A$71,$N$55:$N$71,N265)</f>
        <v>6132.692389199965</v>
      </c>
      <c r="H266" s="233"/>
      <c r="I266" s="233"/>
      <c r="J266" s="68" cm="1">
        <f t="array" ref="J266">Lininterp($A$55:$A$71,$G$55:$G$71,N265)</f>
        <v>6132.6915356884574</v>
      </c>
      <c r="K266" s="68">
        <f t="shared" si="293"/>
        <v>1.7099421903825244E-8</v>
      </c>
      <c r="L266" s="68">
        <f t="shared" ref="L266" si="404">L265+K266</f>
        <v>5.1133417358494917</v>
      </c>
      <c r="M266" s="68"/>
      <c r="N266" s="68">
        <f t="shared" si="300"/>
        <v>9.9481356728589336</v>
      </c>
      <c r="O266" s="68">
        <f t="shared" si="369"/>
        <v>846.48144124060423</v>
      </c>
      <c r="P266" s="164">
        <f t="shared" si="295"/>
        <v>593.21880426895132</v>
      </c>
      <c r="Q266" s="233" cm="1">
        <f t="array" ref="Q266">Lininterp($A$55:$A$71,$Z$55:$Z$71,V265)</f>
        <v>2117.6073863231304</v>
      </c>
      <c r="R266" s="68" cm="1">
        <f t="array" ref="R266">Lininterp($A$55:$A$71,$Y$55:$Y$71,V265)</f>
        <v>2117.6073627394644</v>
      </c>
      <c r="S266" s="69">
        <f t="shared" si="296"/>
        <v>1.4876383610891712E-9</v>
      </c>
      <c r="T266" s="68">
        <f t="shared" ref="T266" si="405">T265+S266</f>
        <v>4.3931583239987617</v>
      </c>
      <c r="U266" s="68"/>
      <c r="V266" s="68">
        <f t="shared" si="303"/>
        <v>8.5470006303477852</v>
      </c>
      <c r="W266" s="68">
        <f t="shared" si="371"/>
        <v>732.7245313412227</v>
      </c>
      <c r="X266" s="164">
        <f t="shared" si="298"/>
        <v>139.07368944240577</v>
      </c>
    </row>
    <row r="267" spans="1:24" x14ac:dyDescent="0.2">
      <c r="A267" s="227">
        <f t="shared" si="347"/>
        <v>179</v>
      </c>
      <c r="B267" s="227"/>
      <c r="C267" s="227"/>
      <c r="D267" s="227"/>
      <c r="E267" s="227"/>
      <c r="F267" s="227"/>
      <c r="G267" s="93" cm="1">
        <f t="array" ref="G267">Lininterp($A$55:$A$71,$N$55:$N$71,N266)</f>
        <v>6132.6923638619228</v>
      </c>
      <c r="H267" s="233"/>
      <c r="I267" s="233"/>
      <c r="J267" s="68" cm="1">
        <f t="array" ref="J267">Lininterp($A$55:$A$71,$G$55:$G$71,N266)</f>
        <v>6132.6915916907292</v>
      </c>
      <c r="K267" s="68">
        <f t="shared" si="293"/>
        <v>1.5469833627881309E-8</v>
      </c>
      <c r="L267" s="68">
        <f t="shared" ref="L267" si="406">L266+K267</f>
        <v>5.1133417513193251</v>
      </c>
      <c r="M267" s="68"/>
      <c r="N267" s="68">
        <f t="shared" si="300"/>
        <v>9.9481357029558843</v>
      </c>
      <c r="O267" s="68">
        <f t="shared" si="369"/>
        <v>851.59478299192358</v>
      </c>
      <c r="P267" s="164">
        <f t="shared" si="295"/>
        <v>593.21880785838334</v>
      </c>
      <c r="Q267" s="233" cm="1">
        <f t="array" ref="Q267">Lininterp($A$55:$A$71,$Z$55:$Z$71,V266)</f>
        <v>2117.6073856747794</v>
      </c>
      <c r="R267" s="68" cm="1">
        <f t="array" ref="R267">Lininterp($A$55:$A$71,$Y$55:$Y$71,V266)</f>
        <v>2117.6073646429977</v>
      </c>
      <c r="S267" s="69">
        <f t="shared" si="296"/>
        <v>1.3266675845365047E-9</v>
      </c>
      <c r="T267" s="68">
        <f t="shared" ref="T267" si="407">T266+S267</f>
        <v>4.3931583253254294</v>
      </c>
      <c r="U267" s="68"/>
      <c r="V267" s="68">
        <f t="shared" si="303"/>
        <v>8.5470006329288513</v>
      </c>
      <c r="W267" s="68">
        <f t="shared" si="371"/>
        <v>737.11768966654813</v>
      </c>
      <c r="X267" s="164">
        <f t="shared" si="298"/>
        <v>139.07368952640206</v>
      </c>
    </row>
    <row r="268" spans="1:24" x14ac:dyDescent="0.2">
      <c r="A268" s="227">
        <f t="shared" si="347"/>
        <v>180</v>
      </c>
      <c r="B268" s="227"/>
      <c r="C268" s="227"/>
      <c r="D268" s="227"/>
      <c r="E268" s="227"/>
      <c r="F268" s="227"/>
      <c r="G268" s="93" cm="1">
        <f t="array" ref="G268">Lininterp($A$55:$A$71,$N$55:$N$71,N267)</f>
        <v>6132.6923409386181</v>
      </c>
      <c r="H268" s="233"/>
      <c r="I268" s="233"/>
      <c r="J268" s="68" cm="1">
        <f t="array" ref="J268">Lininterp($A$55:$A$71,$G$55:$G$71,N267)</f>
        <v>6132.691642355936</v>
      </c>
      <c r="K268" s="68">
        <f t="shared" si="293"/>
        <v>1.3995546528925205E-8</v>
      </c>
      <c r="L268" s="68">
        <f t="shared" ref="L268" si="408">L267+K268</f>
        <v>5.1133417653148721</v>
      </c>
      <c r="M268" s="68"/>
      <c r="N268" s="68">
        <f t="shared" si="300"/>
        <v>9.9481357301845765</v>
      </c>
      <c r="O268" s="68">
        <f t="shared" si="369"/>
        <v>856.70812475723847</v>
      </c>
      <c r="P268" s="164">
        <f t="shared" si="295"/>
        <v>593.21881110573975</v>
      </c>
      <c r="Q268" s="233" cm="1">
        <f t="array" ref="Q268">Lininterp($A$55:$A$71,$Z$55:$Z$71,V267)</f>
        <v>2117.6073850965836</v>
      </c>
      <c r="R268" s="68" cm="1">
        <f t="array" ref="R268">Lininterp($A$55:$A$71,$Y$55:$Y$71,V267)</f>
        <v>2117.6073663405587</v>
      </c>
      <c r="S268" s="69">
        <f t="shared" si="296"/>
        <v>1.1831147107303769E-9</v>
      </c>
      <c r="T268" s="68">
        <f t="shared" ref="T268" si="409">T267+S268</f>
        <v>4.3931583265085443</v>
      </c>
      <c r="U268" s="68"/>
      <c r="V268" s="68">
        <f t="shared" si="303"/>
        <v>8.5470006352306314</v>
      </c>
      <c r="W268" s="68">
        <f t="shared" si="371"/>
        <v>741.5108479930567</v>
      </c>
      <c r="X268" s="164">
        <f t="shared" si="298"/>
        <v>139.07368960130952</v>
      </c>
    </row>
    <row r="269" spans="1:24" x14ac:dyDescent="0.2">
      <c r="A269" s="227">
        <f t="shared" si="347"/>
        <v>181</v>
      </c>
      <c r="B269" s="227"/>
      <c r="C269" s="227"/>
      <c r="D269" s="227"/>
      <c r="E269" s="227"/>
      <c r="F269" s="227"/>
      <c r="G269" s="93" cm="1">
        <f t="array" ref="G269">Lininterp($A$55:$A$71,$N$55:$N$71,N268)</f>
        <v>6132.6923201999189</v>
      </c>
      <c r="H269" s="233"/>
      <c r="I269" s="233"/>
      <c r="J269" s="68" cm="1">
        <f t="array" ref="J269">Lininterp($A$55:$A$71,$G$55:$G$71,N268)</f>
        <v>6132.6916881927164</v>
      </c>
      <c r="K269" s="68">
        <f t="shared" si="293"/>
        <v>1.2661759925105755E-8</v>
      </c>
      <c r="L269" s="68">
        <f t="shared" ref="L269" si="410">L268+K269</f>
        <v>5.1133417779766317</v>
      </c>
      <c r="M269" s="68"/>
      <c r="N269" s="68">
        <f t="shared" si="300"/>
        <v>9.9481357548183489</v>
      </c>
      <c r="O269" s="68">
        <f t="shared" si="369"/>
        <v>861.82146653521511</v>
      </c>
      <c r="P269" s="164">
        <f t="shared" si="295"/>
        <v>593.21881404362045</v>
      </c>
      <c r="Q269" s="233" cm="1">
        <f t="array" ref="Q269">Lininterp($A$55:$A$71,$Z$55:$Z$71,V268)</f>
        <v>2117.6073845809519</v>
      </c>
      <c r="R269" s="68" cm="1">
        <f t="array" ref="R269">Lininterp($A$55:$A$71,$Y$55:$Y$71,V268)</f>
        <v>2117.607367854434</v>
      </c>
      <c r="S269" s="69">
        <f t="shared" si="296"/>
        <v>1.055095071826738E-9</v>
      </c>
      <c r="T269" s="68">
        <f t="shared" ref="T269" si="411">T268+S269</f>
        <v>4.393158327563639</v>
      </c>
      <c r="U269" s="68"/>
      <c r="V269" s="68">
        <f t="shared" si="303"/>
        <v>8.5470006372833449</v>
      </c>
      <c r="W269" s="68">
        <f t="shared" si="371"/>
        <v>745.90400632062028</v>
      </c>
      <c r="X269" s="164">
        <f t="shared" si="298"/>
        <v>139.07368966811154</v>
      </c>
    </row>
    <row r="270" spans="1:24" x14ac:dyDescent="0.2">
      <c r="A270" s="227">
        <f t="shared" si="347"/>
        <v>182</v>
      </c>
      <c r="B270" s="227"/>
      <c r="C270" s="227"/>
      <c r="D270" s="227"/>
      <c r="E270" s="227"/>
      <c r="F270" s="227"/>
      <c r="G270" s="93" cm="1">
        <f t="array" ref="G270">Lininterp($A$55:$A$71,$N$55:$N$71,N269)</f>
        <v>6132.6923014376371</v>
      </c>
      <c r="H270" s="233"/>
      <c r="I270" s="233"/>
      <c r="J270" s="68" cm="1">
        <f t="array" ref="J270">Lininterp($A$55:$A$71,$G$55:$G$71,N269)</f>
        <v>6132.6917296612082</v>
      </c>
      <c r="K270" s="68">
        <f t="shared" si="293"/>
        <v>1.1455084442167224E-8</v>
      </c>
      <c r="L270" s="68">
        <f t="shared" ref="L270" si="412">L269+K270</f>
        <v>5.1133417894317166</v>
      </c>
      <c r="M270" s="68"/>
      <c r="N270" s="68">
        <f t="shared" si="300"/>
        <v>9.9481357771045076</v>
      </c>
      <c r="O270" s="68">
        <f t="shared" si="369"/>
        <v>866.93480832464684</v>
      </c>
      <c r="P270" s="164">
        <f t="shared" si="295"/>
        <v>593.21881670151902</v>
      </c>
      <c r="Q270" s="233" cm="1">
        <f t="array" ref="Q270">Lininterp($A$55:$A$71,$Z$55:$Z$71,V269)</f>
        <v>2117.6073841211146</v>
      </c>
      <c r="R270" s="68" cm="1">
        <f t="array" ref="R270">Lininterp($A$55:$A$71,$Y$55:$Y$71,V269)</f>
        <v>2117.6073692044988</v>
      </c>
      <c r="S270" s="69">
        <f t="shared" si="296"/>
        <v>9.4092792229293516E-10</v>
      </c>
      <c r="T270" s="68">
        <f t="shared" ref="T270" si="413">T269+S270</f>
        <v>4.3931583285045672</v>
      </c>
      <c r="U270" s="68"/>
      <c r="V270" s="68">
        <f t="shared" si="303"/>
        <v>8.5470006391139446</v>
      </c>
      <c r="W270" s="68">
        <f t="shared" si="371"/>
        <v>750.29716464912485</v>
      </c>
      <c r="X270" s="164">
        <f t="shared" si="298"/>
        <v>139.07368972768526</v>
      </c>
    </row>
    <row r="271" spans="1:24" x14ac:dyDescent="0.2">
      <c r="A271" s="227">
        <f t="shared" si="347"/>
        <v>183</v>
      </c>
      <c r="B271" s="227"/>
      <c r="C271" s="227"/>
      <c r="D271" s="227"/>
      <c r="E271" s="227"/>
      <c r="F271" s="227"/>
      <c r="G271" s="93" cm="1">
        <f t="array" ref="G271">Lininterp($A$55:$A$71,$N$55:$N$71,N270)</f>
        <v>6132.6922844634119</v>
      </c>
      <c r="H271" s="233"/>
      <c r="I271" s="233"/>
      <c r="J271" s="68" cm="1">
        <f t="array" ref="J271">Lininterp($A$55:$A$71,$G$55:$G$71,N270)</f>
        <v>6132.6917671777283</v>
      </c>
      <c r="K271" s="68">
        <f t="shared" si="293"/>
        <v>1.036340584791243E-8</v>
      </c>
      <c r="L271" s="68">
        <f t="shared" ref="L271" si="414">L270+K271</f>
        <v>5.1133417997951227</v>
      </c>
      <c r="M271" s="68"/>
      <c r="N271" s="68">
        <f t="shared" si="300"/>
        <v>9.9481357972667759</v>
      </c>
      <c r="O271" s="68">
        <f t="shared" si="369"/>
        <v>872.04815012444192</v>
      </c>
      <c r="P271" s="164">
        <f t="shared" si="295"/>
        <v>593.21881910611773</v>
      </c>
      <c r="Q271" s="233" cm="1">
        <f t="array" ref="Q271">Lininterp($A$55:$A$71,$Z$55:$Z$71,V270)</f>
        <v>2117.6073837110339</v>
      </c>
      <c r="R271" s="68" cm="1">
        <f t="array" ref="R271">Lininterp($A$55:$A$71,$Y$55:$Y$71,V270)</f>
        <v>2117.6073704084802</v>
      </c>
      <c r="S271" s="69">
        <f t="shared" si="296"/>
        <v>8.3911420796224289E-10</v>
      </c>
      <c r="T271" s="68">
        <f t="shared" ref="T271" si="415">T270+S271</f>
        <v>4.3931583293436818</v>
      </c>
      <c r="U271" s="68"/>
      <c r="V271" s="68">
        <f t="shared" si="303"/>
        <v>8.5470006407464627</v>
      </c>
      <c r="W271" s="68">
        <f t="shared" si="371"/>
        <v>754.69032297846854</v>
      </c>
      <c r="X271" s="164">
        <f t="shared" si="298"/>
        <v>139.07368978081274</v>
      </c>
    </row>
    <row r="272" spans="1:24" x14ac:dyDescent="0.2">
      <c r="A272" s="227">
        <f t="shared" si="347"/>
        <v>184</v>
      </c>
      <c r="B272" s="227"/>
      <c r="C272" s="227"/>
      <c r="D272" s="227"/>
      <c r="E272" s="227"/>
      <c r="F272" s="227"/>
      <c r="G272" s="93" cm="1">
        <f t="array" ref="G272">Lininterp($A$55:$A$71,$N$55:$N$71,N271)</f>
        <v>6132.6922691068457</v>
      </c>
      <c r="H272" s="233"/>
      <c r="I272" s="233"/>
      <c r="J272" s="68" cm="1">
        <f t="array" ref="J272">Lininterp($A$55:$A$71,$G$55:$G$71,N271)</f>
        <v>6132.69180111889</v>
      </c>
      <c r="K272" s="68">
        <f t="shared" si="293"/>
        <v>9.3757652126822954E-9</v>
      </c>
      <c r="L272" s="68">
        <f t="shared" ref="L272" si="416">L271+K272</f>
        <v>5.1133418091708878</v>
      </c>
      <c r="M272" s="68"/>
      <c r="N272" s="68">
        <f t="shared" si="300"/>
        <v>9.9481358155075643</v>
      </c>
      <c r="O272" s="68">
        <f t="shared" si="369"/>
        <v>877.16149193361275</v>
      </c>
      <c r="P272" s="164">
        <f t="shared" si="295"/>
        <v>593.21882128155619</v>
      </c>
      <c r="Q272" s="233" cm="1">
        <f t="array" ref="Q272">Lininterp($A$55:$A$71,$Z$55:$Z$71,V271)</f>
        <v>2117.6073833453265</v>
      </c>
      <c r="R272" s="68" cm="1">
        <f t="array" ref="R272">Lininterp($A$55:$A$71,$Y$55:$Y$71,V271)</f>
        <v>2117.6073714821832</v>
      </c>
      <c r="S272" s="69">
        <f t="shared" si="296"/>
        <v>7.4831737570803439E-10</v>
      </c>
      <c r="T272" s="68">
        <f t="shared" ref="T272" si="417">T271+S272</f>
        <v>4.3931583300919987</v>
      </c>
      <c r="U272" s="68"/>
      <c r="V272" s="68">
        <f t="shared" si="303"/>
        <v>8.5470006422023328</v>
      </c>
      <c r="W272" s="68">
        <f t="shared" si="371"/>
        <v>759.08348130856052</v>
      </c>
      <c r="X272" s="164">
        <f t="shared" si="298"/>
        <v>139.0736898281915</v>
      </c>
    </row>
    <row r="273" spans="1:24" x14ac:dyDescent="0.2">
      <c r="A273" s="227">
        <f t="shared" si="347"/>
        <v>185</v>
      </c>
      <c r="B273" s="227"/>
      <c r="C273" s="227"/>
      <c r="D273" s="227"/>
      <c r="E273" s="227"/>
      <c r="F273" s="227"/>
      <c r="G273" s="93" cm="1">
        <f t="array" ref="G273">Lininterp($A$55:$A$71,$N$55:$N$71,N272)</f>
        <v>6132.6922552137721</v>
      </c>
      <c r="H273" s="233"/>
      <c r="I273" s="233"/>
      <c r="J273" s="68" cm="1">
        <f t="array" ref="J273">Lininterp($A$55:$A$71,$G$55:$G$71,N272)</f>
        <v>6132.6918318254338</v>
      </c>
      <c r="K273" s="68">
        <f t="shared" si="293"/>
        <v>8.4822474697166619E-9</v>
      </c>
      <c r="L273" s="68">
        <f t="shared" ref="L273" si="418">L272+K273</f>
        <v>5.1133418176531356</v>
      </c>
      <c r="M273" s="68"/>
      <c r="N273" s="68">
        <f t="shared" si="300"/>
        <v>9.9481358320099904</v>
      </c>
      <c r="O273" s="68">
        <f t="shared" si="369"/>
        <v>882.27483375126587</v>
      </c>
      <c r="P273" s="164">
        <f t="shared" si="295"/>
        <v>593.21882324967385</v>
      </c>
      <c r="Q273" s="233" cm="1">
        <f t="array" ref="Q273">Lininterp($A$55:$A$71,$Z$55:$Z$71,V272)</f>
        <v>2117.6073830191908</v>
      </c>
      <c r="R273" s="68" cm="1">
        <f t="array" ref="R273">Lininterp($A$55:$A$71,$Y$55:$Y$71,V272)</f>
        <v>2117.6073724397056</v>
      </c>
      <c r="S273" s="69">
        <f t="shared" si="296"/>
        <v>6.6734527315140676E-10</v>
      </c>
      <c r="T273" s="68">
        <f t="shared" ref="T273" si="419">T272+S273</f>
        <v>4.393158330759344</v>
      </c>
      <c r="U273" s="68"/>
      <c r="V273" s="68">
        <f t="shared" si="303"/>
        <v>8.5470006435006685</v>
      </c>
      <c r="W273" s="68">
        <f t="shared" si="371"/>
        <v>763.47663963931984</v>
      </c>
      <c r="X273" s="164">
        <f t="shared" si="298"/>
        <v>139.07368987044364</v>
      </c>
    </row>
    <row r="274" spans="1:24" x14ac:dyDescent="0.2">
      <c r="A274" s="227">
        <f t="shared" si="347"/>
        <v>186</v>
      </c>
      <c r="B274" s="227"/>
      <c r="C274" s="227"/>
      <c r="D274" s="227"/>
      <c r="E274" s="227"/>
      <c r="F274" s="227"/>
      <c r="G274" s="93" cm="1">
        <f t="array" ref="G274">Lininterp($A$55:$A$71,$N$55:$N$71,N273)</f>
        <v>6132.69224264472</v>
      </c>
      <c r="H274" s="233"/>
      <c r="I274" s="233"/>
      <c r="J274" s="68" cm="1">
        <f t="array" ref="J274">Lininterp($A$55:$A$71,$G$55:$G$71,N273)</f>
        <v>6132.6918596056175</v>
      </c>
      <c r="K274" s="68">
        <f t="shared" si="293"/>
        <v>7.6738827302154573E-9</v>
      </c>
      <c r="L274" s="68">
        <f t="shared" ref="L274" si="420">L273+K274</f>
        <v>5.1133418253270184</v>
      </c>
      <c r="M274" s="68"/>
      <c r="N274" s="68">
        <f t="shared" si="300"/>
        <v>9.9481358469397243</v>
      </c>
      <c r="O274" s="68">
        <f t="shared" si="369"/>
        <v>887.38817557659286</v>
      </c>
      <c r="P274" s="164">
        <f t="shared" si="295"/>
        <v>593.21882503022823</v>
      </c>
      <c r="Q274" s="233" cm="1">
        <f t="array" ref="Q274">Lininterp($A$55:$A$71,$Z$55:$Z$71,V273)</f>
        <v>2117.6073827283449</v>
      </c>
      <c r="R274" s="68" cm="1">
        <f t="array" ref="R274">Lininterp($A$55:$A$71,$Y$55:$Y$71,V273)</f>
        <v>2117.6073732936179</v>
      </c>
      <c r="S274" s="69">
        <f t="shared" si="296"/>
        <v>5.9513485950771662E-10</v>
      </c>
      <c r="T274" s="68">
        <f t="shared" ref="T274" si="421">T273+S274</f>
        <v>4.3931583313544786</v>
      </c>
      <c r="U274" s="68"/>
      <c r="V274" s="68">
        <f t="shared" si="303"/>
        <v>8.5470006446585192</v>
      </c>
      <c r="W274" s="68">
        <f t="shared" si="371"/>
        <v>767.86979797067431</v>
      </c>
      <c r="X274" s="164">
        <f t="shared" si="298"/>
        <v>139.07368990812387</v>
      </c>
    </row>
    <row r="275" spans="1:24" x14ac:dyDescent="0.2">
      <c r="A275" s="227">
        <f t="shared" si="347"/>
        <v>187</v>
      </c>
      <c r="B275" s="227"/>
      <c r="C275" s="227"/>
      <c r="D275" s="227"/>
      <c r="E275" s="227"/>
      <c r="F275" s="227"/>
      <c r="G275" s="93" cm="1">
        <f t="array" ref="G275">Lininterp($A$55:$A$71,$N$55:$N$71,N274)</f>
        <v>6132.6922312735069</v>
      </c>
      <c r="H275" s="233"/>
      <c r="I275" s="233"/>
      <c r="J275" s="68" cm="1">
        <f t="array" ref="J275">Lininterp($A$55:$A$71,$G$55:$G$71,N274)</f>
        <v>6132.6918847383322</v>
      </c>
      <c r="K275" s="68">
        <f t="shared" si="293"/>
        <v>6.9425556703031021E-9</v>
      </c>
      <c r="L275" s="68">
        <f t="shared" ref="L275" si="422">L274+K275</f>
        <v>5.1133418322695743</v>
      </c>
      <c r="M275" s="68"/>
      <c r="N275" s="68">
        <f t="shared" si="300"/>
        <v>9.9481358604466426</v>
      </c>
      <c r="O275" s="68">
        <f t="shared" si="369"/>
        <v>892.50151740886247</v>
      </c>
      <c r="P275" s="164">
        <f t="shared" si="295"/>
        <v>593.21882664109455</v>
      </c>
      <c r="Q275" s="233" cm="1">
        <f t="array" ref="Q275">Lininterp($A$55:$A$71,$Z$55:$Z$71,V274)</f>
        <v>2117.6073824689697</v>
      </c>
      <c r="R275" s="68" cm="1">
        <f t="array" ref="R275">Lininterp($A$55:$A$71,$Y$55:$Y$71,V274)</f>
        <v>2117.6073740551337</v>
      </c>
      <c r="S275" s="69">
        <f t="shared" si="296"/>
        <v>5.3073789172620835E-10</v>
      </c>
      <c r="T275" s="68">
        <f t="shared" ref="T275" si="423">T274+S275</f>
        <v>4.3931583318852168</v>
      </c>
      <c r="U275" s="68"/>
      <c r="V275" s="68">
        <f t="shared" si="303"/>
        <v>8.5470006456910834</v>
      </c>
      <c r="W275" s="68">
        <f t="shared" si="371"/>
        <v>772.26295630255947</v>
      </c>
      <c r="X275" s="164">
        <f t="shared" si="298"/>
        <v>139.07368994172688</v>
      </c>
    </row>
    <row r="276" spans="1:24" x14ac:dyDescent="0.2">
      <c r="A276" s="227">
        <f t="shared" si="347"/>
        <v>188</v>
      </c>
      <c r="B276" s="227"/>
      <c r="C276" s="227"/>
      <c r="D276" s="227"/>
      <c r="E276" s="227"/>
      <c r="F276" s="227"/>
      <c r="G276" s="93" cm="1">
        <f t="array" ref="G276">Lininterp($A$55:$A$71,$N$55:$N$71,N275)</f>
        <v>6132.6922209859795</v>
      </c>
      <c r="H276" s="233"/>
      <c r="I276" s="233"/>
      <c r="J276" s="68" cm="1">
        <f t="array" ref="J276">Lininterp($A$55:$A$71,$G$55:$G$71,N275)</f>
        <v>6132.691907475878</v>
      </c>
      <c r="K276" s="68">
        <f t="shared" si="293"/>
        <v>6.2809246844491915E-9</v>
      </c>
      <c r="L276" s="68">
        <f t="shared" ref="L276" si="424">L275+K276</f>
        <v>5.1133418385504994</v>
      </c>
      <c r="M276" s="68"/>
      <c r="N276" s="68">
        <f t="shared" si="300"/>
        <v>9.9481358726663416</v>
      </c>
      <c r="O276" s="68">
        <f t="shared" si="369"/>
        <v>897.61485924741294</v>
      </c>
      <c r="P276" s="164">
        <f t="shared" si="295"/>
        <v>593.21882809844396</v>
      </c>
      <c r="Q276" s="233" cm="1">
        <f t="array" ref="Q276">Lininterp($A$55:$A$71,$Z$55:$Z$71,V275)</f>
        <v>2117.6073822376607</v>
      </c>
      <c r="R276" s="68" cm="1">
        <f t="array" ref="R276">Lininterp($A$55:$A$71,$Y$55:$Y$71,V275)</f>
        <v>2117.6073747342489</v>
      </c>
      <c r="S276" s="69">
        <f t="shared" si="296"/>
        <v>4.7330907754746173E-10</v>
      </c>
      <c r="T276" s="68">
        <f t="shared" ref="T276" si="425">T275+S276</f>
        <v>4.3931583323585262</v>
      </c>
      <c r="U276" s="68"/>
      <c r="V276" s="68">
        <f t="shared" si="303"/>
        <v>8.5470006466119184</v>
      </c>
      <c r="W276" s="68">
        <f t="shared" si="371"/>
        <v>776.65611463491803</v>
      </c>
      <c r="X276" s="164">
        <f t="shared" si="298"/>
        <v>139.07368997169388</v>
      </c>
    </row>
    <row r="277" spans="1:24" x14ac:dyDescent="0.2">
      <c r="A277" s="227">
        <f t="shared" si="347"/>
        <v>189</v>
      </c>
      <c r="B277" s="227"/>
      <c r="C277" s="227"/>
      <c r="D277" s="227"/>
      <c r="E277" s="227"/>
      <c r="F277" s="227"/>
      <c r="G277" s="93" cm="1">
        <f t="array" ref="G277">Lininterp($A$55:$A$71,$N$55:$N$71,N276)</f>
        <v>6132.692211678861</v>
      </c>
      <c r="H277" s="233"/>
      <c r="I277" s="233"/>
      <c r="J277" s="68" cm="1">
        <f t="array" ref="J277">Lininterp($A$55:$A$71,$G$55:$G$71,N276)</f>
        <v>6132.691928046519</v>
      </c>
      <c r="K277" s="68">
        <f t="shared" si="293"/>
        <v>5.6823476166703644E-9</v>
      </c>
      <c r="L277" s="68">
        <f t="shared" ref="L277" si="426">L276+K277</f>
        <v>5.1133418442328473</v>
      </c>
      <c r="M277" s="68"/>
      <c r="N277" s="68">
        <f t="shared" si="300"/>
        <v>9.948135883721493</v>
      </c>
      <c r="O277" s="68">
        <f t="shared" si="369"/>
        <v>902.72820109164581</v>
      </c>
      <c r="P277" s="164">
        <f t="shared" si="295"/>
        <v>593.21882941690694</v>
      </c>
      <c r="Q277" s="233" cm="1">
        <f t="array" ref="Q277">Lininterp($A$55:$A$71,$Z$55:$Z$71,V276)</f>
        <v>2117.6073820313804</v>
      </c>
      <c r="R277" s="68" cm="1">
        <f t="array" ref="R277">Lininterp($A$55:$A$71,$Y$55:$Y$71,V276)</f>
        <v>2117.60737533988</v>
      </c>
      <c r="S277" s="69">
        <f t="shared" si="296"/>
        <v>4.2209437198629295E-10</v>
      </c>
      <c r="T277" s="68">
        <f t="shared" ref="T277" si="427">T276+S277</f>
        <v>4.3931583327806205</v>
      </c>
      <c r="U277" s="68"/>
      <c r="V277" s="68">
        <f t="shared" si="303"/>
        <v>8.5470006474331139</v>
      </c>
      <c r="W277" s="68">
        <f t="shared" si="371"/>
        <v>781.0492729676987</v>
      </c>
      <c r="X277" s="164">
        <f t="shared" si="298"/>
        <v>139.07368999841827</v>
      </c>
    </row>
    <row r="278" spans="1:24" x14ac:dyDescent="0.2">
      <c r="A278" s="227">
        <f t="shared" si="347"/>
        <v>190</v>
      </c>
      <c r="B278" s="227"/>
      <c r="C278" s="227"/>
      <c r="D278" s="227"/>
      <c r="E278" s="227"/>
      <c r="F278" s="227"/>
      <c r="G278" s="93" cm="1">
        <f t="array" ref="G278">Lininterp($A$55:$A$71,$N$55:$N$71,N277)</f>
        <v>6132.692203258719</v>
      </c>
      <c r="H278" s="233"/>
      <c r="I278" s="233"/>
      <c r="J278" s="68" cm="1">
        <f t="array" ref="J278">Lininterp($A$55:$A$71,$G$55:$G$71,N277)</f>
        <v>6132.6919466567615</v>
      </c>
      <c r="K278" s="68">
        <f t="shared" si="293"/>
        <v>5.1408154360884064E-9</v>
      </c>
      <c r="L278" s="68">
        <f t="shared" ref="L278" si="428">L277+K278</f>
        <v>5.1133418493736631</v>
      </c>
      <c r="M278" s="68"/>
      <c r="N278" s="68">
        <f t="shared" si="300"/>
        <v>9.9481358937230802</v>
      </c>
      <c r="O278" s="68">
        <f t="shared" si="369"/>
        <v>907.8415429410195</v>
      </c>
      <c r="P278" s="164">
        <f t="shared" si="295"/>
        <v>593.21883060971925</v>
      </c>
      <c r="Q278" s="233" cm="1">
        <f t="array" ref="Q278">Lininterp($A$55:$A$71,$Z$55:$Z$71,V277)</f>
        <v>2117.607381847421</v>
      </c>
      <c r="R278" s="68" cm="1">
        <f t="array" ref="R278">Lininterp($A$55:$A$71,$Y$55:$Y$71,V277)</f>
        <v>2117.6073758799785</v>
      </c>
      <c r="S278" s="69">
        <f t="shared" si="296"/>
        <v>3.7642139651138625E-10</v>
      </c>
      <c r="T278" s="68">
        <f t="shared" ref="T278" si="429">T277+S278</f>
        <v>4.3931583331570421</v>
      </c>
      <c r="U278" s="68"/>
      <c r="V278" s="68">
        <f t="shared" si="303"/>
        <v>8.5470006481654508</v>
      </c>
      <c r="W278" s="68">
        <f t="shared" si="371"/>
        <v>785.44243130085579</v>
      </c>
      <c r="X278" s="164">
        <f t="shared" si="298"/>
        <v>139.07369002225093</v>
      </c>
    </row>
    <row r="279" spans="1:24" x14ac:dyDescent="0.2">
      <c r="A279" s="227">
        <f t="shared" si="347"/>
        <v>191</v>
      </c>
      <c r="B279" s="227"/>
      <c r="C279" s="227"/>
      <c r="D279" s="227"/>
      <c r="E279" s="227"/>
      <c r="F279" s="227"/>
      <c r="G279" s="93" cm="1">
        <f t="array" ref="G279">Lininterp($A$55:$A$71,$N$55:$N$71,N278)</f>
        <v>6132.6921956410224</v>
      </c>
      <c r="H279" s="233"/>
      <c r="I279" s="233"/>
      <c r="J279" s="68" cm="1">
        <f t="array" ref="J279">Lininterp($A$55:$A$71,$G$55:$G$71,N278)</f>
        <v>6132.6919634934329</v>
      </c>
      <c r="K279" s="68">
        <f t="shared" si="293"/>
        <v>4.6508916885455122E-9</v>
      </c>
      <c r="L279" s="68">
        <f t="shared" ref="L279" si="430">L278+K279</f>
        <v>5.1133418540245552</v>
      </c>
      <c r="M279" s="68"/>
      <c r="N279" s="68">
        <f t="shared" si="300"/>
        <v>9.9481359027715079</v>
      </c>
      <c r="O279" s="68">
        <f t="shared" si="369"/>
        <v>912.95488479504411</v>
      </c>
      <c r="P279" s="164">
        <f t="shared" si="295"/>
        <v>593.21883168885574</v>
      </c>
      <c r="Q279" s="233" cm="1">
        <f t="array" ref="Q279">Lininterp($A$55:$A$71,$Z$55:$Z$71,V278)</f>
        <v>2117.6073816833668</v>
      </c>
      <c r="R279" s="68" cm="1">
        <f t="array" ref="R279">Lininterp($A$55:$A$71,$Y$55:$Y$71,V278)</f>
        <v>2117.6073763616346</v>
      </c>
      <c r="S279" s="69">
        <f t="shared" si="296"/>
        <v>3.3569051798201519E-10</v>
      </c>
      <c r="T279" s="68">
        <f t="shared" ref="T279" si="431">T278+S279</f>
        <v>4.3931583334927327</v>
      </c>
      <c r="U279" s="68"/>
      <c r="V279" s="68">
        <f t="shared" si="303"/>
        <v>8.5470006488185462</v>
      </c>
      <c r="W279" s="68">
        <f t="shared" si="371"/>
        <v>789.83558963434848</v>
      </c>
      <c r="X279" s="164">
        <f t="shared" si="298"/>
        <v>139.07369004350477</v>
      </c>
    </row>
    <row r="280" spans="1:24" x14ac:dyDescent="0.2">
      <c r="A280" s="227">
        <f t="shared" si="347"/>
        <v>192</v>
      </c>
      <c r="B280" s="227"/>
      <c r="C280" s="227"/>
      <c r="D280" s="227"/>
      <c r="E280" s="227"/>
      <c r="F280" s="227"/>
      <c r="G280" s="93" cm="1">
        <f t="array" ref="G280">Lininterp($A$55:$A$71,$N$55:$N$71,N279)</f>
        <v>6132.692188749299</v>
      </c>
      <c r="H280" s="233"/>
      <c r="I280" s="233"/>
      <c r="J280" s="68" cm="1">
        <f t="array" ref="J280">Lininterp($A$55:$A$71,$G$55:$G$71,N279)</f>
        <v>6132.6919787255565</v>
      </c>
      <c r="K280" s="68">
        <f t="shared" ref="K280:K288" si="432">(G280-J280)/($B$8*1100)</f>
        <v>4.2076580704757267E-9</v>
      </c>
      <c r="L280" s="68">
        <f t="shared" ref="L280" si="433">L279+K280</f>
        <v>5.1133418582322134</v>
      </c>
      <c r="M280" s="68"/>
      <c r="N280" s="68">
        <f t="shared" si="300"/>
        <v>9.948135910957614</v>
      </c>
      <c r="O280" s="68">
        <f t="shared" si="369"/>
        <v>918.06822665327627</v>
      </c>
      <c r="P280" s="164">
        <f t="shared" ref="P280:P288" si="434">0.5*$B$8*(L280)^2</f>
        <v>593.21883266514953</v>
      </c>
      <c r="Q280" s="233" cm="1">
        <f t="array" ref="Q280">Lininterp($A$55:$A$71,$Z$55:$Z$71,V279)</f>
        <v>2117.6073815370642</v>
      </c>
      <c r="R280" s="68" cm="1">
        <f t="array" ref="R280">Lininterp($A$55:$A$71,$Y$55:$Y$71,V279)</f>
        <v>2117.6073767911739</v>
      </c>
      <c r="S280" s="69">
        <f t="shared" ref="S280:S288" si="435">(Q280-R280)/($C$8*1100)</f>
        <v>2.993668741927652E-10</v>
      </c>
      <c r="T280" s="68">
        <f t="shared" ref="T280" si="436">T279+S280</f>
        <v>4.3931583337920994</v>
      </c>
      <c r="U280" s="68"/>
      <c r="V280" s="68">
        <f t="shared" si="303"/>
        <v>8.5470006494009709</v>
      </c>
      <c r="W280" s="68">
        <f t="shared" si="371"/>
        <v>794.22874796814062</v>
      </c>
      <c r="X280" s="164">
        <f t="shared" ref="X280:X288" si="437">0.5*$C$8*(T280)^2</f>
        <v>139.07369006245881</v>
      </c>
    </row>
    <row r="281" spans="1:24" x14ac:dyDescent="0.2">
      <c r="A281" s="227">
        <f t="shared" si="347"/>
        <v>193</v>
      </c>
      <c r="B281" s="227"/>
      <c r="C281" s="227"/>
      <c r="D281" s="227"/>
      <c r="E281" s="227"/>
      <c r="F281" s="227"/>
      <c r="G281" s="93" cm="1">
        <f t="array" ref="G281">Lininterp($A$55:$A$71,$N$55:$N$71,N280)</f>
        <v>6132.6921825143618</v>
      </c>
      <c r="H281" s="233"/>
      <c r="I281" s="233"/>
      <c r="J281" s="68" cm="1">
        <f t="array" ref="J281">Lininterp($A$55:$A$71,$G$55:$G$71,N280)</f>
        <v>6132.6919925060474</v>
      </c>
      <c r="K281" s="68">
        <f t="shared" si="432"/>
        <v>3.8066649406675263E-9</v>
      </c>
      <c r="L281" s="68">
        <f t="shared" ref="L281" si="438">L280+K281</f>
        <v>5.1133418620388786</v>
      </c>
      <c r="M281" s="68"/>
      <c r="N281" s="68">
        <f t="shared" ref="N281:N288" si="439">L281/0.514</f>
        <v>9.948135918363576</v>
      </c>
      <c r="O281" s="68">
        <f t="shared" ref="O281:O288" si="440">O280+L281</f>
        <v>923.18156851531512</v>
      </c>
      <c r="P281" s="164">
        <f t="shared" si="434"/>
        <v>593.2188335484019</v>
      </c>
      <c r="Q281" s="233" cm="1">
        <f t="array" ref="Q281">Lininterp($A$55:$A$71,$Z$55:$Z$71,V280)</f>
        <v>2117.6073814065926</v>
      </c>
      <c r="R281" s="68" cm="1">
        <f t="array" ref="R281">Lininterp($A$55:$A$71,$Y$55:$Y$71,V280)</f>
        <v>2117.6073771742331</v>
      </c>
      <c r="S281" s="69">
        <f t="shared" si="435"/>
        <v>2.6697377630262063E-10</v>
      </c>
      <c r="T281" s="68">
        <f t="shared" ref="T281" si="441">T280+S281</f>
        <v>4.3931583340590734</v>
      </c>
      <c r="U281" s="68"/>
      <c r="V281" s="68">
        <f t="shared" ref="V281:V288" si="442">T281/0.514</f>
        <v>8.5470006499203759</v>
      </c>
      <c r="W281" s="68">
        <f t="shared" ref="W281:W288" si="443">W280+T281</f>
        <v>798.6219063021997</v>
      </c>
      <c r="X281" s="164">
        <f t="shared" si="437"/>
        <v>139.07369007936194</v>
      </c>
    </row>
    <row r="282" spans="1:24" x14ac:dyDescent="0.2">
      <c r="A282" s="227">
        <f t="shared" si="347"/>
        <v>194</v>
      </c>
      <c r="B282" s="227"/>
      <c r="C282" s="227"/>
      <c r="D282" s="227"/>
      <c r="E282" s="227"/>
      <c r="F282" s="227"/>
      <c r="G282" s="93" cm="1">
        <f t="array" ref="G282">Lininterp($A$55:$A$71,$N$55:$N$71,N281)</f>
        <v>6132.6921768736202</v>
      </c>
      <c r="H282" s="233"/>
      <c r="I282" s="233"/>
      <c r="J282" s="68" cm="1">
        <f t="array" ref="J282">Lininterp($A$55:$A$71,$G$55:$G$71,N281)</f>
        <v>6132.6920049732435</v>
      </c>
      <c r="K282" s="68">
        <f t="shared" si="432"/>
        <v>3.443886861022544E-9</v>
      </c>
      <c r="L282" s="68">
        <f t="shared" ref="L282" si="444">L281+K282</f>
        <v>5.1133418654827656</v>
      </c>
      <c r="M282" s="68"/>
      <c r="N282" s="68">
        <f t="shared" si="439"/>
        <v>9.9481359250637453</v>
      </c>
      <c r="O282" s="68">
        <f t="shared" si="440"/>
        <v>928.29491038079789</v>
      </c>
      <c r="P282" s="164">
        <f t="shared" si="434"/>
        <v>593.21883434747951</v>
      </c>
      <c r="Q282" s="233" cm="1">
        <f t="array" ref="Q282">Lininterp($A$55:$A$71,$Z$55:$Z$71,V281)</f>
        <v>2117.6073812902387</v>
      </c>
      <c r="R282" s="68" cm="1">
        <f t="array" ref="R282">Lininterp($A$55:$A$71,$Y$55:$Y$71,V281)</f>
        <v>2117.6073775158447</v>
      </c>
      <c r="S282" s="69">
        <f t="shared" si="435"/>
        <v>2.3808568098768766E-10</v>
      </c>
      <c r="T282" s="68">
        <f t="shared" ref="T282" si="445">T281+S282</f>
        <v>4.3931583342971594</v>
      </c>
      <c r="U282" s="68"/>
      <c r="V282" s="68">
        <f t="shared" si="442"/>
        <v>8.5470006503835787</v>
      </c>
      <c r="W282" s="68">
        <f t="shared" si="443"/>
        <v>803.01506463649685</v>
      </c>
      <c r="X282" s="164">
        <f t="shared" si="437"/>
        <v>139.07369009443605</v>
      </c>
    </row>
    <row r="283" spans="1:24" x14ac:dyDescent="0.2">
      <c r="A283" s="227">
        <f t="shared" si="347"/>
        <v>195</v>
      </c>
      <c r="B283" s="227"/>
      <c r="C283" s="227"/>
      <c r="D283" s="227"/>
      <c r="E283" s="227"/>
      <c r="F283" s="227"/>
      <c r="G283" s="93" cm="1">
        <f t="array" ref="G283">Lininterp($A$55:$A$71,$N$55:$N$71,N282)</f>
        <v>6132.6921717704445</v>
      </c>
      <c r="H283" s="233"/>
      <c r="I283" s="233"/>
      <c r="J283" s="68" cm="1">
        <f t="array" ref="J283">Lininterp($A$55:$A$71,$G$55:$G$71,N282)</f>
        <v>6132.6920162523093</v>
      </c>
      <c r="K283" s="68">
        <f t="shared" si="432"/>
        <v>3.1156817268513996E-9</v>
      </c>
      <c r="L283" s="68">
        <f t="shared" ref="L283" si="446">L282+K283</f>
        <v>5.1133418685984475</v>
      </c>
      <c r="M283" s="68"/>
      <c r="N283" s="68">
        <f t="shared" si="439"/>
        <v>9.9481359311253836</v>
      </c>
      <c r="O283" s="68">
        <f t="shared" si="440"/>
        <v>933.40825224939636</v>
      </c>
      <c r="P283" s="164">
        <f t="shared" si="434"/>
        <v>593.21883507040445</v>
      </c>
      <c r="Q283" s="233" cm="1">
        <f t="array" ref="Q283">Lininterp($A$55:$A$71,$Z$55:$Z$71,V282)</f>
        <v>2117.6073811864744</v>
      </c>
      <c r="R283" s="68" cm="1">
        <f t="array" ref="R283">Lininterp($A$55:$A$71,$Y$55:$Y$71,V282)</f>
        <v>2117.6073778204918</v>
      </c>
      <c r="S283" s="69">
        <f t="shared" si="435"/>
        <v>2.1232342871610045E-10</v>
      </c>
      <c r="T283" s="68">
        <f t="shared" ref="T283" si="447">T282+S283</f>
        <v>4.3931583345094829</v>
      </c>
      <c r="U283" s="68"/>
      <c r="V283" s="68">
        <f t="shared" si="442"/>
        <v>8.5470006507966598</v>
      </c>
      <c r="W283" s="68">
        <f t="shared" si="443"/>
        <v>807.40822297100635</v>
      </c>
      <c r="X283" s="164">
        <f t="shared" si="437"/>
        <v>139.07369010787903</v>
      </c>
    </row>
    <row r="284" spans="1:24" x14ac:dyDescent="0.2">
      <c r="A284" s="227">
        <f t="shared" si="347"/>
        <v>196</v>
      </c>
      <c r="B284" s="227"/>
      <c r="C284" s="227"/>
      <c r="D284" s="227"/>
      <c r="E284" s="227"/>
      <c r="F284" s="227"/>
      <c r="G284" s="93" cm="1">
        <f t="array" ref="G284">Lininterp($A$55:$A$71,$N$55:$N$71,N283)</f>
        <v>6132.6921671536056</v>
      </c>
      <c r="H284" s="233"/>
      <c r="I284" s="233"/>
      <c r="J284" s="68" cm="1">
        <f t="array" ref="J284">Lininterp($A$55:$A$71,$G$55:$G$71,N283)</f>
        <v>6132.6920264564706</v>
      </c>
      <c r="K284" s="68">
        <f t="shared" si="432"/>
        <v>2.8187548168396684E-9</v>
      </c>
      <c r="L284" s="68">
        <f t="shared" ref="L284" si="448">L283+K284</f>
        <v>5.1133418714172025</v>
      </c>
      <c r="M284" s="68"/>
      <c r="N284" s="68">
        <f t="shared" si="439"/>
        <v>9.9481359366093436</v>
      </c>
      <c r="O284" s="68">
        <f t="shared" si="440"/>
        <v>938.52159412081357</v>
      </c>
      <c r="P284" s="164">
        <f t="shared" si="434"/>
        <v>593.21883572443414</v>
      </c>
      <c r="Q284" s="233" cm="1">
        <f t="array" ref="Q284">Lininterp($A$55:$A$71,$Z$55:$Z$71,V283)</f>
        <v>2117.6073810939383</v>
      </c>
      <c r="R284" s="68" cm="1">
        <f t="array" ref="R284">Lininterp($A$55:$A$71,$Y$55:$Y$71,V283)</f>
        <v>2117.6073780921743</v>
      </c>
      <c r="S284" s="69">
        <f t="shared" si="435"/>
        <v>1.8934882226583628E-10</v>
      </c>
      <c r="T284" s="68">
        <f t="shared" ref="T284" si="449">T283+S284</f>
        <v>4.3931583346988319</v>
      </c>
      <c r="U284" s="68"/>
      <c r="V284" s="68">
        <f t="shared" si="442"/>
        <v>8.5470006511650425</v>
      </c>
      <c r="W284" s="68">
        <f t="shared" si="443"/>
        <v>811.80138130570515</v>
      </c>
      <c r="X284" s="164">
        <f t="shared" si="437"/>
        <v>139.07369011986745</v>
      </c>
    </row>
    <row r="285" spans="1:24" x14ac:dyDescent="0.2">
      <c r="A285" s="227">
        <f t="shared" si="347"/>
        <v>197</v>
      </c>
      <c r="B285" s="227"/>
      <c r="C285" s="227"/>
      <c r="D285" s="227"/>
      <c r="E285" s="227"/>
      <c r="F285" s="227"/>
      <c r="G285" s="93" cm="1">
        <f t="array" ref="G285">Lininterp($A$55:$A$71,$N$55:$N$71,N284)</f>
        <v>6132.6921629767539</v>
      </c>
      <c r="H285" s="233"/>
      <c r="I285" s="233"/>
      <c r="J285" s="68" cm="1">
        <f t="array" ref="J285">Lininterp($A$55:$A$71,$G$55:$G$71,N284)</f>
        <v>6132.6920356881692</v>
      </c>
      <c r="K285" s="68">
        <f t="shared" si="432"/>
        <v>2.5501252117439198E-9</v>
      </c>
      <c r="L285" s="68">
        <f t="shared" ref="L285" si="450">L284+K285</f>
        <v>5.113341873967328</v>
      </c>
      <c r="M285" s="68"/>
      <c r="N285" s="68">
        <f t="shared" si="439"/>
        <v>9.9481359415706763</v>
      </c>
      <c r="O285" s="68">
        <f t="shared" si="440"/>
        <v>943.6349359947809</v>
      </c>
      <c r="P285" s="164">
        <f t="shared" si="434"/>
        <v>593.21883631613423</v>
      </c>
      <c r="Q285" s="233" cm="1">
        <f t="array" ref="Q285">Lininterp($A$55:$A$71,$Z$55:$Z$71,V284)</f>
        <v>2117.6073810114153</v>
      </c>
      <c r="R285" s="68" cm="1">
        <f t="array" ref="R285">Lininterp($A$55:$A$71,$Y$55:$Y$71,V284)</f>
        <v>2117.6073783344591</v>
      </c>
      <c r="S285" s="69">
        <f t="shared" si="435"/>
        <v>1.6886020922071258E-10</v>
      </c>
      <c r="T285" s="68">
        <f t="shared" ref="T285" si="451">T284+S285</f>
        <v>4.3931583348676924</v>
      </c>
      <c r="U285" s="68"/>
      <c r="V285" s="68">
        <f t="shared" si="442"/>
        <v>8.5470006514935655</v>
      </c>
      <c r="W285" s="68">
        <f t="shared" si="443"/>
        <v>816.19453964057288</v>
      </c>
      <c r="X285" s="164">
        <f t="shared" si="437"/>
        <v>139.07369013055862</v>
      </c>
    </row>
    <row r="286" spans="1:24" x14ac:dyDescent="0.2">
      <c r="A286" s="227">
        <f t="shared" si="347"/>
        <v>198</v>
      </c>
      <c r="B286" s="227"/>
      <c r="C286" s="227"/>
      <c r="D286" s="227"/>
      <c r="E286" s="227"/>
      <c r="F286" s="227"/>
      <c r="G286" s="93" cm="1">
        <f t="array" ref="G286">Lininterp($A$55:$A$71,$N$55:$N$71,N285)</f>
        <v>6132.6921591979608</v>
      </c>
      <c r="H286" s="233"/>
      <c r="I286" s="233"/>
      <c r="J286" s="68" cm="1">
        <f t="array" ref="J286">Lininterp($A$55:$A$71,$G$55:$G$71,N285)</f>
        <v>6132.6920440400763</v>
      </c>
      <c r="K286" s="68">
        <f t="shared" si="432"/>
        <v>2.3070963128128706E-9</v>
      </c>
      <c r="L286" s="68">
        <f t="shared" ref="L286" si="452">L285+K286</f>
        <v>5.1133418762744247</v>
      </c>
      <c r="M286" s="68"/>
      <c r="N286" s="68">
        <f t="shared" si="439"/>
        <v>9.9481359460591925</v>
      </c>
      <c r="O286" s="68">
        <f t="shared" si="440"/>
        <v>948.74827787105528</v>
      </c>
      <c r="P286" s="164">
        <f t="shared" si="434"/>
        <v>593.21883685144496</v>
      </c>
      <c r="Q286" s="233" cm="1">
        <f t="array" ref="Q286">Lininterp($A$55:$A$71,$Z$55:$Z$71,V285)</f>
        <v>2117.6073809378213</v>
      </c>
      <c r="R286" s="68" cm="1">
        <f t="array" ref="R286">Lininterp($A$55:$A$71,$Y$55:$Y$71,V285)</f>
        <v>2117.6073785505278</v>
      </c>
      <c r="S286" s="69">
        <f t="shared" si="435"/>
        <v>1.5058852342783929E-10</v>
      </c>
      <c r="T286" s="68">
        <f t="shared" ref="T286" si="453">T285+S286</f>
        <v>4.3931583350182812</v>
      </c>
      <c r="U286" s="68"/>
      <c r="V286" s="68">
        <f t="shared" si="442"/>
        <v>8.54700065178654</v>
      </c>
      <c r="W286" s="68">
        <f t="shared" si="443"/>
        <v>820.58769797559114</v>
      </c>
      <c r="X286" s="164">
        <f t="shared" si="437"/>
        <v>139.07369014009299</v>
      </c>
    </row>
    <row r="287" spans="1:24" x14ac:dyDescent="0.2">
      <c r="A287" s="227">
        <f t="shared" si="347"/>
        <v>199</v>
      </c>
      <c r="B287" s="227"/>
      <c r="C287" s="227"/>
      <c r="D287" s="227"/>
      <c r="E287" s="227"/>
      <c r="F287" s="227"/>
      <c r="G287" s="93" cm="1">
        <f t="array" ref="G287">Lininterp($A$55:$A$71,$N$55:$N$71,N286)</f>
        <v>6132.6921557792884</v>
      </c>
      <c r="H287" s="233"/>
      <c r="I287" s="233"/>
      <c r="J287" s="68" cm="1">
        <f t="array" ref="J287">Lininterp($A$55:$A$71,$G$55:$G$71,N286)</f>
        <v>6132.6920515960446</v>
      </c>
      <c r="K287" s="68">
        <f t="shared" si="432"/>
        <v>2.0872281458665928E-9</v>
      </c>
      <c r="L287" s="68">
        <f t="shared" ref="L287" si="454">L286+K287</f>
        <v>5.1133418783616529</v>
      </c>
      <c r="M287" s="68"/>
      <c r="N287" s="68">
        <f t="shared" si="439"/>
        <v>9.9481359501199478</v>
      </c>
      <c r="O287" s="68">
        <f t="shared" si="440"/>
        <v>953.86161974941695</v>
      </c>
      <c r="P287" s="164">
        <f t="shared" si="434"/>
        <v>593.21883733573998</v>
      </c>
      <c r="Q287" s="233" cm="1">
        <f t="array" ref="Q287">Lininterp($A$55:$A$71,$Z$55:$Z$71,V286)</f>
        <v>2117.6073808721908</v>
      </c>
      <c r="R287" s="68" cm="1">
        <f t="array" ref="R287">Lininterp($A$55:$A$71,$Y$55:$Y$71,V286)</f>
        <v>2117.6073787432165</v>
      </c>
      <c r="S287" s="69">
        <f t="shared" si="435"/>
        <v>1.3429395752707136E-10</v>
      </c>
      <c r="T287" s="68">
        <f t="shared" ref="T287" si="455">T286+S287</f>
        <v>4.3931583351525756</v>
      </c>
      <c r="U287" s="68"/>
      <c r="V287" s="68">
        <f t="shared" si="442"/>
        <v>8.5470006520478119</v>
      </c>
      <c r="W287" s="68">
        <f t="shared" si="443"/>
        <v>824.98085631074366</v>
      </c>
      <c r="X287" s="164">
        <f t="shared" si="437"/>
        <v>139.07369014859566</v>
      </c>
    </row>
    <row r="288" spans="1:24" ht="13.5" thickBot="1" x14ac:dyDescent="0.25">
      <c r="A288" s="228">
        <f t="shared" si="347"/>
        <v>200</v>
      </c>
      <c r="B288" s="228"/>
      <c r="C288" s="228"/>
      <c r="D288" s="228"/>
      <c r="E288" s="228"/>
      <c r="F288" s="228"/>
      <c r="G288" s="95" cm="1">
        <f t="array" ref="G288">Lininterp($A$55:$A$71,$N$55:$N$71,N287)</f>
        <v>6132.6921526864189</v>
      </c>
      <c r="H288" s="234"/>
      <c r="I288" s="234"/>
      <c r="J288" s="96" cm="1">
        <f t="array" ref="J288">Lininterp($A$55:$A$71,$G$55:$G$71,N287)</f>
        <v>6132.6920584319196</v>
      </c>
      <c r="K288" s="96">
        <f t="shared" si="432"/>
        <v>1.8883136739958342E-9</v>
      </c>
      <c r="L288" s="96">
        <f t="shared" ref="L288" si="456">L287+K288</f>
        <v>5.1133418802499664</v>
      </c>
      <c r="M288" s="96"/>
      <c r="N288" s="96">
        <f t="shared" si="439"/>
        <v>9.9481359537937095</v>
      </c>
      <c r="O288" s="96">
        <f t="shared" si="440"/>
        <v>958.97496162966695</v>
      </c>
      <c r="P288" s="222">
        <f t="shared" si="434"/>
        <v>593.21883777388121</v>
      </c>
      <c r="Q288" s="234" cm="1">
        <f t="array" ref="Q288">Lininterp($A$55:$A$71,$Z$55:$Z$71,V287)</f>
        <v>2117.6073808136625</v>
      </c>
      <c r="R288" s="96" cm="1">
        <f t="array" ref="R288">Lininterp($A$55:$A$71,$Y$55:$Y$71,V287)</f>
        <v>2117.6073789150541</v>
      </c>
      <c r="S288" s="90">
        <f t="shared" si="435"/>
        <v>1.1976266416555208E-10</v>
      </c>
      <c r="T288" s="96">
        <f t="shared" ref="T288" si="457">T287+S288</f>
        <v>4.3931583352723385</v>
      </c>
      <c r="U288" s="96"/>
      <c r="V288" s="96">
        <f t="shared" si="442"/>
        <v>8.5470006522808131</v>
      </c>
      <c r="W288" s="96">
        <f t="shared" si="443"/>
        <v>829.37401464601601</v>
      </c>
      <c r="X288" s="222">
        <f t="shared" si="437"/>
        <v>139.07369015617829</v>
      </c>
    </row>
  </sheetData>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AEF38-FC2E-48F4-9D0A-1B772C9F9A7C}">
  <sheetPr codeName="Sheet31"/>
  <dimension ref="A2:AQ270"/>
  <sheetViews>
    <sheetView zoomScaleNormal="100" workbookViewId="0">
      <pane xSplit="1" ySplit="12" topLeftCell="B232" activePane="bottomRight" state="frozen"/>
      <selection pane="topRight" activeCell="B1" sqref="B1"/>
      <selection pane="bottomLeft" activeCell="A12" sqref="A12"/>
      <selection pane="bottomRight" activeCell="AM261" sqref="AM261"/>
    </sheetView>
  </sheetViews>
  <sheetFormatPr defaultColWidth="9.140625" defaultRowHeight="12.75" x14ac:dyDescent="0.2"/>
  <cols>
    <col min="1" max="2" width="9.140625" style="4"/>
    <col min="3" max="3" width="10.5703125" style="4" bestFit="1" customWidth="1"/>
    <col min="4" max="16384" width="9.140625" style="4"/>
  </cols>
  <sheetData>
    <row r="2" spans="1:43" ht="15.75" x14ac:dyDescent="0.25">
      <c r="B2" s="5" t="s">
        <v>96</v>
      </c>
      <c r="R2" s="21"/>
    </row>
    <row r="3" spans="1:43" ht="15.75" x14ac:dyDescent="0.25">
      <c r="B3" s="5" t="s">
        <v>76</v>
      </c>
      <c r="E3" s="22" t="s">
        <v>212</v>
      </c>
    </row>
    <row r="4" spans="1:43" x14ac:dyDescent="0.2">
      <c r="B4" s="65" t="s">
        <v>240</v>
      </c>
      <c r="E4" s="22">
        <v>37</v>
      </c>
      <c r="F4" s="65" t="s">
        <v>61</v>
      </c>
    </row>
    <row r="5" spans="1:43" x14ac:dyDescent="0.2">
      <c r="B5" s="4" t="s">
        <v>86</v>
      </c>
      <c r="E5" s="22">
        <v>32.35</v>
      </c>
      <c r="F5" s="4" t="s">
        <v>61</v>
      </c>
      <c r="G5" s="4" t="s">
        <v>106</v>
      </c>
      <c r="I5" s="22">
        <v>1.1499999999999999</v>
      </c>
      <c r="J5" s="4" t="s">
        <v>61</v>
      </c>
      <c r="L5" s="63"/>
      <c r="N5" s="4" t="s">
        <v>90</v>
      </c>
      <c r="Q5" s="66">
        <v>0</v>
      </c>
      <c r="R5" s="4" t="s">
        <v>61</v>
      </c>
      <c r="AA5" s="21"/>
    </row>
    <row r="6" spans="1:43" x14ac:dyDescent="0.2">
      <c r="B6" s="4" t="s">
        <v>10</v>
      </c>
      <c r="E6" s="22">
        <v>3.7</v>
      </c>
      <c r="F6" s="4" t="s">
        <v>61</v>
      </c>
      <c r="G6" s="65" t="s">
        <v>241</v>
      </c>
      <c r="I6" s="22">
        <f>E4/E7</f>
        <v>15.416666666666668</v>
      </c>
      <c r="L6" s="65"/>
      <c r="N6" s="4" t="s">
        <v>95</v>
      </c>
      <c r="Q6" s="32">
        <v>1</v>
      </c>
    </row>
    <row r="7" spans="1:43" x14ac:dyDescent="0.2">
      <c r="B7" s="4" t="s">
        <v>51</v>
      </c>
      <c r="E7" s="22">
        <v>2.4</v>
      </c>
      <c r="F7" s="4" t="s">
        <v>61</v>
      </c>
      <c r="G7" s="4" t="s">
        <v>70</v>
      </c>
      <c r="I7" s="23">
        <v>1.0249999999999999</v>
      </c>
      <c r="J7" s="4" t="s">
        <v>94</v>
      </c>
      <c r="L7" s="63"/>
      <c r="AB7" s="21"/>
    </row>
    <row r="8" spans="1:43" ht="13.5" thickBot="1" x14ac:dyDescent="0.25">
      <c r="B8" s="4" t="s">
        <v>43</v>
      </c>
      <c r="E8" s="4">
        <f>21-COUNTBLANK(B11:AQ11)</f>
        <v>21</v>
      </c>
      <c r="L8" s="63"/>
      <c r="M8" s="21"/>
    </row>
    <row r="9" spans="1:43" s="38" customFormat="1" ht="13.5" thickBot="1" x14ac:dyDescent="0.25">
      <c r="A9" s="35"/>
      <c r="B9" s="7" t="s">
        <v>38</v>
      </c>
      <c r="C9" s="8"/>
      <c r="D9" s="8"/>
      <c r="E9" s="8"/>
      <c r="F9" s="8" t="s">
        <v>44</v>
      </c>
      <c r="G9" s="8"/>
      <c r="H9" s="8"/>
      <c r="I9" s="8"/>
      <c r="J9" s="8"/>
      <c r="K9" s="8"/>
      <c r="L9" s="8"/>
      <c r="M9" s="8"/>
      <c r="N9" s="8"/>
      <c r="O9" s="8"/>
      <c r="P9" s="8"/>
      <c r="Q9" s="8"/>
      <c r="R9" s="8"/>
      <c r="S9" s="8"/>
      <c r="T9" s="8"/>
      <c r="U9" s="8"/>
      <c r="V9" s="7" t="s">
        <v>101</v>
      </c>
      <c r="W9" s="9"/>
      <c r="X9" s="8"/>
      <c r="Y9" s="8"/>
      <c r="Z9" s="8"/>
      <c r="AA9" s="8"/>
      <c r="AB9" s="8"/>
      <c r="AC9" s="8"/>
      <c r="AD9" s="8"/>
      <c r="AE9" s="8"/>
      <c r="AF9" s="8"/>
      <c r="AG9" s="8"/>
      <c r="AH9" s="8"/>
      <c r="AI9" s="8"/>
      <c r="AJ9" s="8"/>
      <c r="AK9" s="8"/>
      <c r="AL9" s="8"/>
      <c r="AM9" s="8"/>
      <c r="AN9" s="8"/>
      <c r="AO9" s="9"/>
      <c r="AP9" s="8"/>
      <c r="AQ9" s="9"/>
    </row>
    <row r="10" spans="1:43" s="38" customFormat="1" ht="13.5" thickBot="1" x14ac:dyDescent="0.25">
      <c r="A10" s="39" t="s">
        <v>45</v>
      </c>
      <c r="B10" s="11" t="s">
        <v>46</v>
      </c>
      <c r="C10" s="12">
        <v>21</v>
      </c>
      <c r="D10" s="11" t="s">
        <v>46</v>
      </c>
      <c r="E10" s="12">
        <v>20</v>
      </c>
      <c r="F10" s="11" t="s">
        <v>46</v>
      </c>
      <c r="G10" s="12">
        <v>19</v>
      </c>
      <c r="H10" s="11" t="s">
        <v>46</v>
      </c>
      <c r="I10" s="12">
        <v>18</v>
      </c>
      <c r="J10" s="11" t="s">
        <v>46</v>
      </c>
      <c r="K10" s="12">
        <v>17</v>
      </c>
      <c r="L10" s="11" t="s">
        <v>46</v>
      </c>
      <c r="M10" s="12">
        <v>16</v>
      </c>
      <c r="N10" s="11" t="s">
        <v>46</v>
      </c>
      <c r="O10" s="12">
        <v>15</v>
      </c>
      <c r="P10" s="11" t="s">
        <v>46</v>
      </c>
      <c r="Q10" s="12">
        <v>14</v>
      </c>
      <c r="R10" s="11" t="s">
        <v>46</v>
      </c>
      <c r="S10" s="12">
        <v>13</v>
      </c>
      <c r="T10" s="11" t="s">
        <v>46</v>
      </c>
      <c r="U10" s="12">
        <v>12</v>
      </c>
      <c r="V10" s="11" t="s">
        <v>46</v>
      </c>
      <c r="W10" s="12">
        <v>11</v>
      </c>
      <c r="X10" s="11" t="s">
        <v>46</v>
      </c>
      <c r="Y10" s="12">
        <v>10</v>
      </c>
      <c r="Z10" s="11" t="s">
        <v>46</v>
      </c>
      <c r="AA10" s="12">
        <v>9</v>
      </c>
      <c r="AB10" s="11" t="s">
        <v>46</v>
      </c>
      <c r="AC10" s="12">
        <v>8</v>
      </c>
      <c r="AD10" s="11" t="s">
        <v>46</v>
      </c>
      <c r="AE10" s="12">
        <v>7</v>
      </c>
      <c r="AF10" s="11" t="s">
        <v>46</v>
      </c>
      <c r="AG10" s="12">
        <v>6</v>
      </c>
      <c r="AH10" s="11" t="s">
        <v>46</v>
      </c>
      <c r="AI10" s="12">
        <v>5</v>
      </c>
      <c r="AJ10" s="11" t="s">
        <v>46</v>
      </c>
      <c r="AK10" s="12">
        <v>4</v>
      </c>
      <c r="AL10" s="11" t="s">
        <v>46</v>
      </c>
      <c r="AM10" s="12">
        <v>3</v>
      </c>
      <c r="AN10" s="11" t="s">
        <v>46</v>
      </c>
      <c r="AO10" s="13">
        <v>2</v>
      </c>
      <c r="AP10" s="11" t="s">
        <v>46</v>
      </c>
      <c r="AQ10" s="13">
        <v>1</v>
      </c>
    </row>
    <row r="11" spans="1:43" s="38" customFormat="1" ht="13.5" thickBot="1" x14ac:dyDescent="0.25">
      <c r="A11" s="39" t="s">
        <v>47</v>
      </c>
      <c r="B11" s="14" t="s">
        <v>48</v>
      </c>
      <c r="C11" s="30">
        <v>0</v>
      </c>
      <c r="D11" s="14" t="s">
        <v>48</v>
      </c>
      <c r="E11" s="30">
        <f>E5/20</f>
        <v>1.6175000000000002</v>
      </c>
      <c r="F11" s="14" t="s">
        <v>48</v>
      </c>
      <c r="G11" s="30">
        <f>E11+$E$5/20</f>
        <v>3.2350000000000003</v>
      </c>
      <c r="H11" s="14" t="s">
        <v>48</v>
      </c>
      <c r="I11" s="30">
        <f>G11+$E$5/20</f>
        <v>4.8525000000000009</v>
      </c>
      <c r="J11" s="14" t="s">
        <v>48</v>
      </c>
      <c r="K11" s="30">
        <f>I11+$E$5/20</f>
        <v>6.4700000000000006</v>
      </c>
      <c r="L11" s="14" t="s">
        <v>48</v>
      </c>
      <c r="M11" s="30">
        <f>K11+$E$5/20</f>
        <v>8.0875000000000004</v>
      </c>
      <c r="N11" s="14" t="s">
        <v>48</v>
      </c>
      <c r="O11" s="30">
        <f>M11+$E$5/20</f>
        <v>9.7050000000000001</v>
      </c>
      <c r="P11" s="14" t="s">
        <v>48</v>
      </c>
      <c r="Q11" s="30">
        <f>O11+$E$5/20</f>
        <v>11.3225</v>
      </c>
      <c r="R11" s="14" t="s">
        <v>48</v>
      </c>
      <c r="S11" s="30">
        <f>Q11+$E$5/20</f>
        <v>12.94</v>
      </c>
      <c r="T11" s="14" t="s">
        <v>48</v>
      </c>
      <c r="U11" s="30">
        <f>S11+$E$5/20</f>
        <v>14.557499999999999</v>
      </c>
      <c r="V11" s="14" t="s">
        <v>48</v>
      </c>
      <c r="W11" s="30">
        <f>U11+$E$5/20</f>
        <v>16.175000000000001</v>
      </c>
      <c r="X11" s="14" t="s">
        <v>48</v>
      </c>
      <c r="Y11" s="30">
        <f>W11+$E$5/20</f>
        <v>17.7925</v>
      </c>
      <c r="Z11" s="14" t="s">
        <v>48</v>
      </c>
      <c r="AA11" s="30">
        <f>Y11+$E$5/20</f>
        <v>19.41</v>
      </c>
      <c r="AB11" s="14" t="s">
        <v>48</v>
      </c>
      <c r="AC11" s="30">
        <f>AA11+$E$5/20</f>
        <v>21.0275</v>
      </c>
      <c r="AD11" s="14" t="s">
        <v>48</v>
      </c>
      <c r="AE11" s="30">
        <f>AC11+$E$5/20</f>
        <v>22.645</v>
      </c>
      <c r="AF11" s="14" t="s">
        <v>48</v>
      </c>
      <c r="AG11" s="30">
        <f>AE11+$E$5/20</f>
        <v>24.262499999999999</v>
      </c>
      <c r="AH11" s="14" t="s">
        <v>48</v>
      </c>
      <c r="AI11" s="30">
        <f>AG11+$E$5/20</f>
        <v>25.88</v>
      </c>
      <c r="AJ11" s="14" t="s">
        <v>48</v>
      </c>
      <c r="AK11" s="30">
        <f>AI11+$E$5/20</f>
        <v>27.497499999999999</v>
      </c>
      <c r="AL11" s="14" t="s">
        <v>48</v>
      </c>
      <c r="AM11" s="30">
        <f>AK11+$E$5/20</f>
        <v>29.114999999999998</v>
      </c>
      <c r="AN11" s="14" t="s">
        <v>48</v>
      </c>
      <c r="AO11" s="30">
        <f>AM11+$E$5/20</f>
        <v>30.732499999999998</v>
      </c>
      <c r="AP11" s="14" t="s">
        <v>48</v>
      </c>
      <c r="AQ11" s="30">
        <f>AO11+$E$5/20</f>
        <v>32.35</v>
      </c>
    </row>
    <row r="12" spans="1:43" s="38" customFormat="1" ht="13.5" thickBot="1" x14ac:dyDescent="0.25">
      <c r="A12" s="43"/>
      <c r="B12" s="16" t="s">
        <v>49</v>
      </c>
      <c r="C12" s="17" t="s">
        <v>50</v>
      </c>
      <c r="D12" s="16" t="s">
        <v>49</v>
      </c>
      <c r="E12" s="17" t="s">
        <v>50</v>
      </c>
      <c r="F12" s="16" t="s">
        <v>49</v>
      </c>
      <c r="G12" s="17" t="s">
        <v>50</v>
      </c>
      <c r="H12" s="16" t="s">
        <v>49</v>
      </c>
      <c r="I12" s="17" t="s">
        <v>50</v>
      </c>
      <c r="J12" s="16" t="s">
        <v>49</v>
      </c>
      <c r="K12" s="17" t="s">
        <v>50</v>
      </c>
      <c r="L12" s="16" t="s">
        <v>49</v>
      </c>
      <c r="M12" s="17" t="s">
        <v>50</v>
      </c>
      <c r="N12" s="16" t="s">
        <v>49</v>
      </c>
      <c r="O12" s="17" t="s">
        <v>50</v>
      </c>
      <c r="P12" s="16" t="s">
        <v>49</v>
      </c>
      <c r="Q12" s="17" t="s">
        <v>50</v>
      </c>
      <c r="R12" s="16" t="s">
        <v>49</v>
      </c>
      <c r="S12" s="17" t="s">
        <v>50</v>
      </c>
      <c r="T12" s="16" t="s">
        <v>49</v>
      </c>
      <c r="U12" s="17" t="s">
        <v>50</v>
      </c>
      <c r="V12" s="16" t="s">
        <v>49</v>
      </c>
      <c r="W12" s="17" t="s">
        <v>50</v>
      </c>
      <c r="X12" s="16" t="s">
        <v>49</v>
      </c>
      <c r="Y12" s="17" t="s">
        <v>50</v>
      </c>
      <c r="Z12" s="16" t="s">
        <v>49</v>
      </c>
      <c r="AA12" s="17" t="s">
        <v>50</v>
      </c>
      <c r="AB12" s="16" t="s">
        <v>49</v>
      </c>
      <c r="AC12" s="17" t="s">
        <v>50</v>
      </c>
      <c r="AD12" s="16" t="s">
        <v>49</v>
      </c>
      <c r="AE12" s="17" t="s">
        <v>50</v>
      </c>
      <c r="AF12" s="16" t="s">
        <v>49</v>
      </c>
      <c r="AG12" s="17" t="s">
        <v>50</v>
      </c>
      <c r="AH12" s="16" t="s">
        <v>49</v>
      </c>
      <c r="AI12" s="17" t="s">
        <v>50</v>
      </c>
      <c r="AJ12" s="16" t="s">
        <v>49</v>
      </c>
      <c r="AK12" s="17" t="s">
        <v>50</v>
      </c>
      <c r="AL12" s="16" t="s">
        <v>49</v>
      </c>
      <c r="AM12" s="17" t="s">
        <v>50</v>
      </c>
      <c r="AN12" s="16" t="s">
        <v>49</v>
      </c>
      <c r="AO12" s="18" t="s">
        <v>50</v>
      </c>
      <c r="AP12" s="16" t="s">
        <v>49</v>
      </c>
      <c r="AQ12" s="18" t="s">
        <v>50</v>
      </c>
    </row>
    <row r="13" spans="1:43" s="38" customFormat="1" x14ac:dyDescent="0.2">
      <c r="A13" s="39">
        <v>1</v>
      </c>
      <c r="B13" s="146">
        <v>0</v>
      </c>
      <c r="C13" s="147">
        <v>0</v>
      </c>
      <c r="D13" s="144">
        <v>0</v>
      </c>
      <c r="E13" s="142">
        <v>0</v>
      </c>
      <c r="F13" s="144">
        <v>0</v>
      </c>
      <c r="G13" s="147">
        <v>0</v>
      </c>
      <c r="H13" s="144">
        <v>0</v>
      </c>
      <c r="I13" s="147">
        <v>0</v>
      </c>
      <c r="J13" s="144">
        <v>0</v>
      </c>
      <c r="K13" s="142">
        <v>0</v>
      </c>
      <c r="L13" s="144">
        <v>0</v>
      </c>
      <c r="M13" s="147">
        <v>0.08</v>
      </c>
      <c r="N13" s="144">
        <v>0</v>
      </c>
      <c r="O13" s="142">
        <v>0.08</v>
      </c>
      <c r="P13" s="144">
        <v>0</v>
      </c>
      <c r="Q13" s="147">
        <v>0.08</v>
      </c>
      <c r="R13" s="144">
        <v>0</v>
      </c>
      <c r="S13" s="147">
        <v>0.08</v>
      </c>
      <c r="T13" s="144">
        <v>0</v>
      </c>
      <c r="U13" s="151">
        <v>0.08</v>
      </c>
      <c r="V13" s="144">
        <v>0</v>
      </c>
      <c r="W13" s="147">
        <v>0.08</v>
      </c>
      <c r="X13" s="144">
        <v>0</v>
      </c>
      <c r="Y13" s="147">
        <v>0.08</v>
      </c>
      <c r="Z13" s="144">
        <v>0</v>
      </c>
      <c r="AA13" s="25">
        <v>0.08</v>
      </c>
      <c r="AB13" s="144">
        <v>0</v>
      </c>
      <c r="AC13" s="25">
        <v>0.08</v>
      </c>
      <c r="AD13" s="144">
        <v>0</v>
      </c>
      <c r="AE13" s="25">
        <v>0.08</v>
      </c>
      <c r="AF13" s="144">
        <v>0</v>
      </c>
      <c r="AG13" s="25">
        <v>0</v>
      </c>
      <c r="AH13" s="144">
        <v>0</v>
      </c>
      <c r="AI13" s="25">
        <v>0</v>
      </c>
      <c r="AJ13" s="144">
        <v>0</v>
      </c>
      <c r="AK13" s="25">
        <v>0</v>
      </c>
      <c r="AL13" s="144">
        <v>0</v>
      </c>
      <c r="AM13" s="144">
        <v>0</v>
      </c>
      <c r="AN13" s="144">
        <v>0</v>
      </c>
      <c r="AO13" s="26">
        <v>0</v>
      </c>
      <c r="AP13" s="144">
        <v>0</v>
      </c>
      <c r="AQ13" s="26">
        <v>0</v>
      </c>
    </row>
    <row r="14" spans="1:43" s="38" customFormat="1" x14ac:dyDescent="0.2">
      <c r="A14" s="176">
        <v>2</v>
      </c>
      <c r="B14" s="24">
        <v>0.19999999999999998</v>
      </c>
      <c r="C14" s="26">
        <v>0</v>
      </c>
      <c r="D14" s="144">
        <v>0.19999999999999998</v>
      </c>
      <c r="E14" s="142">
        <v>0</v>
      </c>
      <c r="F14" s="144">
        <v>0.19999999999999998</v>
      </c>
      <c r="G14" s="26">
        <v>0</v>
      </c>
      <c r="H14" s="144">
        <v>0.19999999999999998</v>
      </c>
      <c r="I14" s="26">
        <v>0</v>
      </c>
      <c r="J14" s="144">
        <v>0.19999999999999998</v>
      </c>
      <c r="K14" s="142">
        <v>7.4999999999999997E-2</v>
      </c>
      <c r="L14" s="144">
        <v>0.19999999999999998</v>
      </c>
      <c r="M14" s="26">
        <v>0.09</v>
      </c>
      <c r="N14" s="144">
        <v>0.19999999999999998</v>
      </c>
      <c r="O14" s="142">
        <v>0.09</v>
      </c>
      <c r="P14" s="144">
        <v>0.19999999999999998</v>
      </c>
      <c r="Q14" s="26">
        <v>0.09</v>
      </c>
      <c r="R14" s="144">
        <v>0.19999999999999998</v>
      </c>
      <c r="S14" s="26">
        <v>0.09</v>
      </c>
      <c r="T14" s="144">
        <v>0.19999999999999998</v>
      </c>
      <c r="U14" s="152">
        <v>0.09</v>
      </c>
      <c r="V14" s="144">
        <v>0.19999999999999998</v>
      </c>
      <c r="W14" s="26">
        <v>0.09</v>
      </c>
      <c r="X14" s="144">
        <v>0.19999999999999998</v>
      </c>
      <c r="Y14" s="26">
        <v>0.09</v>
      </c>
      <c r="Z14" s="144">
        <v>0.19999999999999998</v>
      </c>
      <c r="AA14" s="25">
        <v>0.09</v>
      </c>
      <c r="AB14" s="144">
        <v>0.19999999999999998</v>
      </c>
      <c r="AC14" s="25">
        <v>0.09</v>
      </c>
      <c r="AD14" s="144">
        <v>0.19999999999999998</v>
      </c>
      <c r="AE14" s="25">
        <v>0.09</v>
      </c>
      <c r="AF14" s="144">
        <v>0.19999999999999998</v>
      </c>
      <c r="AG14" s="25">
        <v>0.06</v>
      </c>
      <c r="AH14" s="144">
        <v>0.19999999999999998</v>
      </c>
      <c r="AI14" s="25">
        <v>0</v>
      </c>
      <c r="AJ14" s="144">
        <v>0.19999999999999998</v>
      </c>
      <c r="AK14" s="25">
        <v>0</v>
      </c>
      <c r="AL14" s="144">
        <v>0.19999999999999998</v>
      </c>
      <c r="AM14" s="144">
        <v>0</v>
      </c>
      <c r="AN14" s="144">
        <v>0.19999999999999998</v>
      </c>
      <c r="AO14" s="26">
        <v>0</v>
      </c>
      <c r="AP14" s="144">
        <v>0.19999999999999998</v>
      </c>
      <c r="AQ14" s="26">
        <v>0</v>
      </c>
    </row>
    <row r="15" spans="1:43" s="38" customFormat="1" x14ac:dyDescent="0.2">
      <c r="A15" s="39">
        <v>3</v>
      </c>
      <c r="B15" s="24">
        <v>0.39999999999999997</v>
      </c>
      <c r="C15" s="26">
        <v>0</v>
      </c>
      <c r="D15" s="144">
        <v>0.39999999999999997</v>
      </c>
      <c r="E15" s="142">
        <v>0</v>
      </c>
      <c r="F15" s="144">
        <v>0.39999999999999997</v>
      </c>
      <c r="G15" s="26">
        <v>0</v>
      </c>
      <c r="H15" s="144">
        <v>0.39999999999999997</v>
      </c>
      <c r="I15" s="26">
        <v>0.1</v>
      </c>
      <c r="J15" s="144">
        <v>0.39999999999999997</v>
      </c>
      <c r="K15" s="142">
        <v>0.18</v>
      </c>
      <c r="L15" s="144">
        <v>0.39999999999999997</v>
      </c>
      <c r="M15" s="26">
        <v>0.22</v>
      </c>
      <c r="N15" s="144">
        <v>0.39999999999999997</v>
      </c>
      <c r="O15" s="142">
        <v>0.22</v>
      </c>
      <c r="P15" s="144">
        <v>0.39999999999999997</v>
      </c>
      <c r="Q15" s="26">
        <v>0.22</v>
      </c>
      <c r="R15" s="144">
        <v>0.39999999999999997</v>
      </c>
      <c r="S15" s="26">
        <v>0.22</v>
      </c>
      <c r="T15" s="144">
        <v>0.39999999999999997</v>
      </c>
      <c r="U15" s="152">
        <v>0.22</v>
      </c>
      <c r="V15" s="144">
        <v>0.39999999999999997</v>
      </c>
      <c r="W15" s="26">
        <v>0.22</v>
      </c>
      <c r="X15" s="144">
        <v>0.39999999999999997</v>
      </c>
      <c r="Y15" s="26">
        <v>0.22</v>
      </c>
      <c r="Z15" s="144">
        <v>0.39999999999999997</v>
      </c>
      <c r="AA15" s="25">
        <v>0.22</v>
      </c>
      <c r="AB15" s="144">
        <v>0.39999999999999997</v>
      </c>
      <c r="AC15" s="25">
        <v>0.22</v>
      </c>
      <c r="AD15" s="144">
        <v>0.39999999999999997</v>
      </c>
      <c r="AE15" s="25">
        <v>0.22</v>
      </c>
      <c r="AF15" s="144">
        <v>0.39999999999999997</v>
      </c>
      <c r="AG15" s="25">
        <v>0.17</v>
      </c>
      <c r="AH15" s="144">
        <v>0.39999999999999997</v>
      </c>
      <c r="AI15" s="25">
        <v>0.13</v>
      </c>
      <c r="AJ15" s="144">
        <v>0.39999999999999997</v>
      </c>
      <c r="AK15" s="25">
        <v>0.03</v>
      </c>
      <c r="AL15" s="144">
        <v>0.39999999999999997</v>
      </c>
      <c r="AM15" s="144">
        <v>0</v>
      </c>
      <c r="AN15" s="144">
        <v>0.39999999999999997</v>
      </c>
      <c r="AO15" s="26">
        <v>0</v>
      </c>
      <c r="AP15" s="144">
        <v>0.39999999999999997</v>
      </c>
      <c r="AQ15" s="26">
        <v>0</v>
      </c>
    </row>
    <row r="16" spans="1:43" s="38" customFormat="1" x14ac:dyDescent="0.2">
      <c r="A16" s="39">
        <v>4</v>
      </c>
      <c r="B16" s="24">
        <v>0.6</v>
      </c>
      <c r="C16" s="26">
        <v>0</v>
      </c>
      <c r="D16" s="144">
        <v>0.6</v>
      </c>
      <c r="E16" s="142">
        <v>0</v>
      </c>
      <c r="F16" s="144">
        <v>0.6</v>
      </c>
      <c r="G16" s="26">
        <v>7.0000000000000007E-2</v>
      </c>
      <c r="H16" s="144">
        <v>0.6</v>
      </c>
      <c r="I16" s="26">
        <v>0.35</v>
      </c>
      <c r="J16" s="144">
        <v>0.6</v>
      </c>
      <c r="K16" s="142">
        <v>0.62</v>
      </c>
      <c r="L16" s="144">
        <v>0.6</v>
      </c>
      <c r="M16" s="26">
        <v>0.78</v>
      </c>
      <c r="N16" s="144">
        <v>0.6</v>
      </c>
      <c r="O16" s="142">
        <v>0.98</v>
      </c>
      <c r="P16" s="144">
        <v>0.6</v>
      </c>
      <c r="Q16" s="26">
        <v>0.98</v>
      </c>
      <c r="R16" s="144">
        <v>0.6</v>
      </c>
      <c r="S16" s="26">
        <v>0.98</v>
      </c>
      <c r="T16" s="144">
        <v>0.6</v>
      </c>
      <c r="U16" s="152">
        <v>0.98</v>
      </c>
      <c r="V16" s="144">
        <v>0.6</v>
      </c>
      <c r="W16" s="26">
        <v>0.98</v>
      </c>
      <c r="X16" s="144">
        <v>0.6</v>
      </c>
      <c r="Y16" s="26">
        <v>0.98</v>
      </c>
      <c r="Z16" s="144">
        <v>0.6</v>
      </c>
      <c r="AA16" s="25">
        <v>0.98</v>
      </c>
      <c r="AB16" s="144">
        <v>0.6</v>
      </c>
      <c r="AC16" s="25">
        <v>0.98</v>
      </c>
      <c r="AD16" s="144">
        <v>0.6</v>
      </c>
      <c r="AE16" s="25">
        <v>0.92</v>
      </c>
      <c r="AF16" s="144">
        <v>0.6</v>
      </c>
      <c r="AG16" s="25">
        <v>0.72</v>
      </c>
      <c r="AH16" s="144">
        <v>0.6</v>
      </c>
      <c r="AI16" s="25">
        <v>0.45</v>
      </c>
      <c r="AJ16" s="144">
        <v>0.6</v>
      </c>
      <c r="AK16" s="25">
        <v>0.23</v>
      </c>
      <c r="AL16" s="144">
        <v>0.6</v>
      </c>
      <c r="AM16" s="144">
        <v>0.08</v>
      </c>
      <c r="AN16" s="144">
        <v>0.6</v>
      </c>
      <c r="AO16" s="26">
        <v>0</v>
      </c>
      <c r="AP16" s="144">
        <v>0.6</v>
      </c>
      <c r="AQ16" s="26">
        <v>0</v>
      </c>
    </row>
    <row r="17" spans="1:43" s="38" customFormat="1" x14ac:dyDescent="0.2">
      <c r="A17" s="39">
        <v>5</v>
      </c>
      <c r="B17" s="24">
        <v>0.79999999999999993</v>
      </c>
      <c r="C17" s="26">
        <v>0</v>
      </c>
      <c r="D17" s="144">
        <v>0.79999999999999993</v>
      </c>
      <c r="E17" s="142">
        <v>0</v>
      </c>
      <c r="F17" s="144">
        <v>0.79999999999999993</v>
      </c>
      <c r="G17" s="26">
        <v>0.38</v>
      </c>
      <c r="H17" s="144">
        <v>0.79999999999999993</v>
      </c>
      <c r="I17" s="26">
        <v>0.83</v>
      </c>
      <c r="J17" s="144">
        <v>0.79999999999999993</v>
      </c>
      <c r="K17" s="142">
        <v>1.1499999999999999</v>
      </c>
      <c r="L17" s="144">
        <v>0.79999999999999993</v>
      </c>
      <c r="M17" s="26">
        <v>1.36</v>
      </c>
      <c r="N17" s="144">
        <v>0.79999999999999993</v>
      </c>
      <c r="O17" s="142">
        <v>1.44</v>
      </c>
      <c r="P17" s="144">
        <v>0.79999999999999993</v>
      </c>
      <c r="Q17" s="26">
        <v>1.44</v>
      </c>
      <c r="R17" s="144">
        <v>0.79999999999999993</v>
      </c>
      <c r="S17" s="26">
        <v>1.44</v>
      </c>
      <c r="T17" s="144">
        <v>0.79999999999999993</v>
      </c>
      <c r="U17" s="152">
        <v>1.44</v>
      </c>
      <c r="V17" s="144">
        <v>0.79999999999999993</v>
      </c>
      <c r="W17" s="26">
        <v>1.44</v>
      </c>
      <c r="X17" s="144">
        <v>0.79999999999999993</v>
      </c>
      <c r="Y17" s="26">
        <v>1.44</v>
      </c>
      <c r="Z17" s="144">
        <v>0.79999999999999993</v>
      </c>
      <c r="AA17" s="25">
        <v>1.44</v>
      </c>
      <c r="AB17" s="144">
        <v>0.79999999999999993</v>
      </c>
      <c r="AC17" s="25">
        <v>1.44</v>
      </c>
      <c r="AD17" s="144">
        <v>0.79999999999999993</v>
      </c>
      <c r="AE17" s="25">
        <v>1.37</v>
      </c>
      <c r="AF17" s="144">
        <v>0.79999999999999993</v>
      </c>
      <c r="AG17" s="25">
        <v>1.21</v>
      </c>
      <c r="AH17" s="144">
        <v>0.79999999999999993</v>
      </c>
      <c r="AI17" s="25">
        <v>0.92</v>
      </c>
      <c r="AJ17" s="144">
        <v>0.79999999999999993</v>
      </c>
      <c r="AK17" s="25">
        <v>0.56000000000000005</v>
      </c>
      <c r="AL17" s="144">
        <v>0.79999999999999993</v>
      </c>
      <c r="AM17" s="144">
        <v>0.3</v>
      </c>
      <c r="AN17" s="144">
        <v>0.79999999999999993</v>
      </c>
      <c r="AO17" s="26">
        <v>0.11</v>
      </c>
      <c r="AP17" s="144">
        <v>0.79999999999999993</v>
      </c>
      <c r="AQ17" s="26">
        <v>0</v>
      </c>
    </row>
    <row r="18" spans="1:43" s="38" customFormat="1" x14ac:dyDescent="0.2">
      <c r="A18" s="39">
        <v>6</v>
      </c>
      <c r="B18" s="24">
        <v>0.99999999999999989</v>
      </c>
      <c r="C18" s="26">
        <v>0</v>
      </c>
      <c r="D18" s="144">
        <v>0.99999999999999989</v>
      </c>
      <c r="E18" s="142">
        <v>0.3</v>
      </c>
      <c r="F18" s="144">
        <v>0.99999999999999989</v>
      </c>
      <c r="G18" s="26">
        <v>0.88</v>
      </c>
      <c r="H18" s="144">
        <v>0.99999999999999989</v>
      </c>
      <c r="I18" s="26">
        <v>1.29</v>
      </c>
      <c r="J18" s="144">
        <v>0.99999999999999989</v>
      </c>
      <c r="K18" s="142">
        <v>1.53</v>
      </c>
      <c r="L18" s="144">
        <v>0.99999999999999989</v>
      </c>
      <c r="M18" s="26">
        <v>1.65</v>
      </c>
      <c r="N18" s="144">
        <v>0.99999999999999989</v>
      </c>
      <c r="O18" s="142">
        <v>1.71</v>
      </c>
      <c r="P18" s="144">
        <v>0.99999999999999989</v>
      </c>
      <c r="Q18" s="26">
        <v>1.71</v>
      </c>
      <c r="R18" s="144">
        <v>0.99999999999999989</v>
      </c>
      <c r="S18" s="26">
        <v>1.71</v>
      </c>
      <c r="T18" s="144">
        <v>0.99999999999999989</v>
      </c>
      <c r="U18" s="152">
        <v>1.71</v>
      </c>
      <c r="V18" s="144">
        <v>0.99999999999999989</v>
      </c>
      <c r="W18" s="26">
        <v>1.71</v>
      </c>
      <c r="X18" s="144">
        <v>0.99999999999999989</v>
      </c>
      <c r="Y18" s="26">
        <v>1.71</v>
      </c>
      <c r="Z18" s="144">
        <v>0.99999999999999989</v>
      </c>
      <c r="AA18" s="25">
        <v>1.71</v>
      </c>
      <c r="AB18" s="144">
        <v>0.99999999999999989</v>
      </c>
      <c r="AC18" s="25">
        <v>1.71</v>
      </c>
      <c r="AD18" s="144">
        <v>0.99999999999999989</v>
      </c>
      <c r="AE18" s="25">
        <v>1.65</v>
      </c>
      <c r="AF18" s="144">
        <v>0.99999999999999989</v>
      </c>
      <c r="AG18" s="25">
        <v>1.48</v>
      </c>
      <c r="AH18" s="144">
        <v>0.99999999999999989</v>
      </c>
      <c r="AI18" s="25">
        <v>1.18</v>
      </c>
      <c r="AJ18" s="144">
        <v>0.99999999999999989</v>
      </c>
      <c r="AK18" s="25">
        <v>0.79</v>
      </c>
      <c r="AL18" s="144">
        <v>0.99999999999999989</v>
      </c>
      <c r="AM18" s="144">
        <v>0.53</v>
      </c>
      <c r="AN18" s="144">
        <v>0.99999999999999989</v>
      </c>
      <c r="AO18" s="26">
        <v>0.3</v>
      </c>
      <c r="AP18" s="144">
        <v>0.99999999999999989</v>
      </c>
      <c r="AQ18" s="26">
        <v>0</v>
      </c>
    </row>
    <row r="19" spans="1:43" s="38" customFormat="1" x14ac:dyDescent="0.2">
      <c r="A19" s="39">
        <v>7</v>
      </c>
      <c r="B19" s="24">
        <v>1.2</v>
      </c>
      <c r="C19" s="26">
        <v>0.03</v>
      </c>
      <c r="D19" s="22">
        <v>1.2</v>
      </c>
      <c r="E19" s="142">
        <v>0.8</v>
      </c>
      <c r="F19" s="22">
        <v>1.2</v>
      </c>
      <c r="G19" s="26">
        <v>1.32</v>
      </c>
      <c r="H19" s="22">
        <v>1.2</v>
      </c>
      <c r="I19" s="26">
        <v>1.6</v>
      </c>
      <c r="J19" s="22">
        <v>1.2</v>
      </c>
      <c r="K19" s="142">
        <v>1.76</v>
      </c>
      <c r="L19" s="22">
        <v>1.2</v>
      </c>
      <c r="M19" s="26">
        <v>1.85</v>
      </c>
      <c r="N19" s="22">
        <v>1.2</v>
      </c>
      <c r="O19" s="142">
        <v>1.89</v>
      </c>
      <c r="P19" s="22">
        <v>1.2</v>
      </c>
      <c r="Q19" s="26">
        <v>1.89</v>
      </c>
      <c r="R19" s="22">
        <v>1.2</v>
      </c>
      <c r="S19" s="26">
        <v>1.89</v>
      </c>
      <c r="T19" s="22">
        <v>1.2</v>
      </c>
      <c r="U19" s="152">
        <v>1.89</v>
      </c>
      <c r="V19" s="22">
        <v>1.2</v>
      </c>
      <c r="W19" s="26">
        <v>1.89</v>
      </c>
      <c r="X19" s="22">
        <v>1.2</v>
      </c>
      <c r="Y19" s="26">
        <v>1.89</v>
      </c>
      <c r="Z19" s="22">
        <v>1.2</v>
      </c>
      <c r="AA19" s="25">
        <v>1.89</v>
      </c>
      <c r="AB19" s="22">
        <v>1.2</v>
      </c>
      <c r="AC19" s="25">
        <v>1.89</v>
      </c>
      <c r="AD19" s="22">
        <v>1.2</v>
      </c>
      <c r="AE19" s="25">
        <v>1.83</v>
      </c>
      <c r="AF19" s="22">
        <v>1.2</v>
      </c>
      <c r="AG19" s="25">
        <v>1.66</v>
      </c>
      <c r="AH19" s="22">
        <v>1.2</v>
      </c>
      <c r="AI19" s="25">
        <v>1.37</v>
      </c>
      <c r="AJ19" s="22">
        <v>1.2</v>
      </c>
      <c r="AK19" s="25">
        <v>0.95</v>
      </c>
      <c r="AL19" s="22">
        <v>1.2</v>
      </c>
      <c r="AM19" s="22">
        <v>0.66</v>
      </c>
      <c r="AN19" s="22">
        <v>1.2</v>
      </c>
      <c r="AO19" s="26">
        <v>0.28000000000000003</v>
      </c>
      <c r="AP19" s="22">
        <v>1.2</v>
      </c>
      <c r="AQ19" s="26">
        <v>0</v>
      </c>
    </row>
    <row r="20" spans="1:43" s="38" customFormat="1" x14ac:dyDescent="0.2">
      <c r="A20" s="39">
        <v>8</v>
      </c>
      <c r="B20" s="24">
        <v>1.4</v>
      </c>
      <c r="C20" s="26">
        <v>0.56999999999999995</v>
      </c>
      <c r="D20" s="22">
        <v>1.4</v>
      </c>
      <c r="E20" s="142">
        <v>1.22</v>
      </c>
      <c r="F20" s="22">
        <v>1.4</v>
      </c>
      <c r="G20" s="26">
        <v>1.58</v>
      </c>
      <c r="H20" s="22">
        <v>1.4</v>
      </c>
      <c r="I20" s="26">
        <v>1.8</v>
      </c>
      <c r="J20" s="22">
        <v>1.4</v>
      </c>
      <c r="K20" s="142">
        <v>1.93</v>
      </c>
      <c r="L20" s="22">
        <v>1.4</v>
      </c>
      <c r="M20" s="26">
        <v>2</v>
      </c>
      <c r="N20" s="22">
        <v>1.4</v>
      </c>
      <c r="O20" s="142">
        <v>2.02</v>
      </c>
      <c r="P20" s="22">
        <v>1.4</v>
      </c>
      <c r="Q20" s="26">
        <v>2.02</v>
      </c>
      <c r="R20" s="22">
        <v>1.4</v>
      </c>
      <c r="S20" s="26">
        <v>2.02</v>
      </c>
      <c r="T20" s="22">
        <v>1.4</v>
      </c>
      <c r="U20" s="152">
        <v>2.02</v>
      </c>
      <c r="V20" s="22">
        <v>1.4</v>
      </c>
      <c r="W20" s="26">
        <v>2.02</v>
      </c>
      <c r="X20" s="22">
        <v>1.4</v>
      </c>
      <c r="Y20" s="26">
        <v>2.02</v>
      </c>
      <c r="Z20" s="22">
        <v>1.4</v>
      </c>
      <c r="AA20" s="25">
        <v>2.02</v>
      </c>
      <c r="AB20" s="22">
        <v>1.4</v>
      </c>
      <c r="AC20" s="25">
        <v>2.02</v>
      </c>
      <c r="AD20" s="22">
        <v>1.4</v>
      </c>
      <c r="AE20" s="25">
        <v>1.96</v>
      </c>
      <c r="AF20" s="22">
        <v>1.4</v>
      </c>
      <c r="AG20" s="25">
        <v>1.8</v>
      </c>
      <c r="AH20" s="22">
        <v>1.4</v>
      </c>
      <c r="AI20" s="25">
        <v>1.5</v>
      </c>
      <c r="AJ20" s="22">
        <v>1.4</v>
      </c>
      <c r="AK20" s="25">
        <v>1.08</v>
      </c>
      <c r="AL20" s="22">
        <v>1.4</v>
      </c>
      <c r="AM20" s="22">
        <v>0.64</v>
      </c>
      <c r="AN20" s="22">
        <v>1.4</v>
      </c>
      <c r="AO20" s="26">
        <v>0.26</v>
      </c>
      <c r="AP20" s="22">
        <v>1.4</v>
      </c>
      <c r="AQ20" s="26">
        <v>0</v>
      </c>
    </row>
    <row r="21" spans="1:43" s="38" customFormat="1" x14ac:dyDescent="0.2">
      <c r="A21" s="39">
        <v>9</v>
      </c>
      <c r="B21" s="24">
        <v>1.5999999999999999</v>
      </c>
      <c r="C21" s="148">
        <v>1.0149999999999999</v>
      </c>
      <c r="D21" s="144">
        <v>1.5999999999999999</v>
      </c>
      <c r="E21" s="22">
        <v>1.48</v>
      </c>
      <c r="F21" s="144">
        <v>1.5999999999999999</v>
      </c>
      <c r="G21" s="148">
        <v>1.78</v>
      </c>
      <c r="H21" s="144">
        <v>1.5999999999999999</v>
      </c>
      <c r="I21" s="26">
        <v>1.95</v>
      </c>
      <c r="J21" s="144">
        <v>1.5999999999999999</v>
      </c>
      <c r="K21" s="142">
        <v>2.0499999999999998</v>
      </c>
      <c r="L21" s="144">
        <v>1.5999999999999999</v>
      </c>
      <c r="M21" s="26">
        <v>2.1</v>
      </c>
      <c r="N21" s="144">
        <v>1.5999999999999999</v>
      </c>
      <c r="O21" s="142">
        <v>2.13</v>
      </c>
      <c r="P21" s="144">
        <v>1.5999999999999999</v>
      </c>
      <c r="Q21" s="26">
        <v>2.13</v>
      </c>
      <c r="R21" s="144">
        <v>1.5999999999999999</v>
      </c>
      <c r="S21" s="26">
        <v>2.13</v>
      </c>
      <c r="T21" s="144">
        <v>1.5999999999999999</v>
      </c>
      <c r="U21" s="152">
        <v>2.13</v>
      </c>
      <c r="V21" s="144">
        <v>1.5999999999999999</v>
      </c>
      <c r="W21" s="26">
        <v>2.13</v>
      </c>
      <c r="X21" s="144">
        <v>1.5999999999999999</v>
      </c>
      <c r="Y21" s="26">
        <v>2.13</v>
      </c>
      <c r="Z21" s="144">
        <v>1.5999999999999999</v>
      </c>
      <c r="AA21" s="25">
        <v>2.13</v>
      </c>
      <c r="AB21" s="144">
        <v>1.5999999999999999</v>
      </c>
      <c r="AC21" s="25">
        <v>2.13</v>
      </c>
      <c r="AD21" s="144">
        <v>1.5999999999999999</v>
      </c>
      <c r="AE21" s="25">
        <v>2.06</v>
      </c>
      <c r="AF21" s="144">
        <v>1.5999999999999999</v>
      </c>
      <c r="AG21" s="25">
        <v>1.9</v>
      </c>
      <c r="AH21" s="144">
        <v>1.5999999999999999</v>
      </c>
      <c r="AI21" s="25">
        <v>1.6</v>
      </c>
      <c r="AJ21" s="144">
        <v>1.5999999999999999</v>
      </c>
      <c r="AK21" s="25">
        <v>1.1599999999999999</v>
      </c>
      <c r="AL21" s="144">
        <v>1.5999999999999999</v>
      </c>
      <c r="AM21" s="144">
        <v>0.63</v>
      </c>
      <c r="AN21" s="144">
        <v>1.5999999999999999</v>
      </c>
      <c r="AO21" s="26">
        <v>0.23</v>
      </c>
      <c r="AP21" s="144">
        <v>1.5999999999999999</v>
      </c>
      <c r="AQ21" s="26">
        <v>0</v>
      </c>
    </row>
    <row r="22" spans="1:43" s="38" customFormat="1" x14ac:dyDescent="0.2">
      <c r="A22" s="39">
        <v>10</v>
      </c>
      <c r="B22" s="24">
        <v>1.7999999999999998</v>
      </c>
      <c r="C22" s="148">
        <v>1.23</v>
      </c>
      <c r="D22" s="144">
        <v>1.7999999999999998</v>
      </c>
      <c r="E22" s="142">
        <v>1.67</v>
      </c>
      <c r="F22" s="144">
        <v>1.7999999999999998</v>
      </c>
      <c r="G22" s="26">
        <v>1.92</v>
      </c>
      <c r="H22" s="144">
        <v>1.7999999999999998</v>
      </c>
      <c r="I22" s="148">
        <v>2.06</v>
      </c>
      <c r="J22" s="144">
        <v>1.7999999999999998</v>
      </c>
      <c r="K22" s="142">
        <v>2.14</v>
      </c>
      <c r="L22" s="144">
        <v>1.7999999999999998</v>
      </c>
      <c r="M22" s="26">
        <v>2.1800000000000002</v>
      </c>
      <c r="N22" s="144">
        <v>1.7999999999999998</v>
      </c>
      <c r="O22" s="142">
        <v>2.1949999999999998</v>
      </c>
      <c r="P22" s="144">
        <v>1.7999999999999998</v>
      </c>
      <c r="Q22" s="26">
        <v>2.1949999999999998</v>
      </c>
      <c r="R22" s="144">
        <v>1.7999999999999998</v>
      </c>
      <c r="S22" s="26">
        <v>2.1949999999999998</v>
      </c>
      <c r="T22" s="144">
        <v>1.7999999999999998</v>
      </c>
      <c r="U22" s="152">
        <v>2.1949999999999998</v>
      </c>
      <c r="V22" s="144">
        <v>1.7999999999999998</v>
      </c>
      <c r="W22" s="26">
        <v>2.1949999999999998</v>
      </c>
      <c r="X22" s="144">
        <v>1.7999999999999998</v>
      </c>
      <c r="Y22" s="26">
        <v>2.1949999999999998</v>
      </c>
      <c r="Z22" s="144">
        <v>1.7999999999999998</v>
      </c>
      <c r="AA22" s="25">
        <v>2.1949999999999998</v>
      </c>
      <c r="AB22" s="144">
        <v>1.7999999999999998</v>
      </c>
      <c r="AC22" s="25">
        <v>2.1949999999999998</v>
      </c>
      <c r="AD22" s="144">
        <v>1.7999999999999998</v>
      </c>
      <c r="AE22" s="25">
        <v>2.13</v>
      </c>
      <c r="AF22" s="144">
        <v>1.7999999999999998</v>
      </c>
      <c r="AG22" s="25">
        <v>1.98</v>
      </c>
      <c r="AH22" s="144">
        <v>1.7999999999999998</v>
      </c>
      <c r="AI22" s="25">
        <v>1.66</v>
      </c>
      <c r="AJ22" s="144">
        <v>1.7999999999999998</v>
      </c>
      <c r="AK22" s="25">
        <v>1.21</v>
      </c>
      <c r="AL22" s="144">
        <v>1.7999999999999998</v>
      </c>
      <c r="AM22" s="144">
        <v>0.65</v>
      </c>
      <c r="AN22" s="144">
        <v>1.7999999999999998</v>
      </c>
      <c r="AO22" s="26">
        <v>0.21</v>
      </c>
      <c r="AP22" s="144">
        <v>1.7999999999999998</v>
      </c>
      <c r="AQ22" s="26">
        <v>0</v>
      </c>
    </row>
    <row r="23" spans="1:43" s="38" customFormat="1" x14ac:dyDescent="0.2">
      <c r="A23" s="39">
        <v>11</v>
      </c>
      <c r="B23" s="24">
        <v>1.9999999999999998</v>
      </c>
      <c r="C23" s="26">
        <v>1.37</v>
      </c>
      <c r="D23" s="144">
        <v>1.9999999999999998</v>
      </c>
      <c r="E23" s="142">
        <v>1.78</v>
      </c>
      <c r="F23" s="144">
        <v>1.9999999999999998</v>
      </c>
      <c r="G23" s="26">
        <v>2.02</v>
      </c>
      <c r="H23" s="144">
        <v>1.9999999999999998</v>
      </c>
      <c r="I23" s="26">
        <v>2.14</v>
      </c>
      <c r="J23" s="144">
        <v>1.9999999999999998</v>
      </c>
      <c r="K23" s="142">
        <v>2.2000000000000002</v>
      </c>
      <c r="L23" s="144">
        <v>1.9999999999999998</v>
      </c>
      <c r="M23" s="26">
        <v>2.23</v>
      </c>
      <c r="N23" s="144">
        <v>1.9999999999999998</v>
      </c>
      <c r="O23" s="142">
        <v>2.2400000000000002</v>
      </c>
      <c r="P23" s="144">
        <v>1.9999999999999998</v>
      </c>
      <c r="Q23" s="26">
        <v>2.2400000000000002</v>
      </c>
      <c r="R23" s="144">
        <v>1.9999999999999998</v>
      </c>
      <c r="S23" s="26">
        <v>2.2400000000000002</v>
      </c>
      <c r="T23" s="144">
        <v>1.9999999999999998</v>
      </c>
      <c r="U23" s="152">
        <v>2.2400000000000002</v>
      </c>
      <c r="V23" s="144">
        <v>1.9999999999999998</v>
      </c>
      <c r="W23" s="26">
        <v>2.2400000000000002</v>
      </c>
      <c r="X23" s="144">
        <v>1.9999999999999998</v>
      </c>
      <c r="Y23" s="26">
        <v>2.2400000000000002</v>
      </c>
      <c r="Z23" s="144">
        <v>1.9999999999999998</v>
      </c>
      <c r="AA23" s="25">
        <v>2.2400000000000002</v>
      </c>
      <c r="AB23" s="144">
        <v>1.9999999999999998</v>
      </c>
      <c r="AC23" s="25">
        <v>2.2400000000000002</v>
      </c>
      <c r="AD23" s="144">
        <v>1.9999999999999998</v>
      </c>
      <c r="AE23" s="25">
        <v>2.17</v>
      </c>
      <c r="AF23" s="144">
        <v>1.9999999999999998</v>
      </c>
      <c r="AG23" s="25">
        <v>2.02</v>
      </c>
      <c r="AH23" s="144">
        <v>1.9999999999999998</v>
      </c>
      <c r="AI23" s="25">
        <v>1.71</v>
      </c>
      <c r="AJ23" s="144">
        <v>1.9999999999999998</v>
      </c>
      <c r="AK23" s="25">
        <v>1.25</v>
      </c>
      <c r="AL23" s="144">
        <v>1.9999999999999998</v>
      </c>
      <c r="AM23" s="144">
        <v>0.66</v>
      </c>
      <c r="AN23" s="144">
        <v>1.9999999999999998</v>
      </c>
      <c r="AO23" s="26">
        <v>0.18</v>
      </c>
      <c r="AP23" s="144">
        <v>1.9999999999999998</v>
      </c>
      <c r="AQ23" s="26">
        <v>0</v>
      </c>
    </row>
    <row r="24" spans="1:43" s="38" customFormat="1" x14ac:dyDescent="0.2">
      <c r="A24" s="39">
        <v>12</v>
      </c>
      <c r="B24" s="24">
        <v>2.1999999999999997</v>
      </c>
      <c r="C24" s="26">
        <v>1.48</v>
      </c>
      <c r="D24" s="144">
        <v>2.1999999999999997</v>
      </c>
      <c r="E24" s="142">
        <v>1.87</v>
      </c>
      <c r="F24" s="144">
        <v>2.1999999999999997</v>
      </c>
      <c r="G24" s="26">
        <v>2.1</v>
      </c>
      <c r="H24" s="144">
        <v>2.1999999999999997</v>
      </c>
      <c r="I24" s="26">
        <v>2.19</v>
      </c>
      <c r="J24" s="144">
        <v>2.1999999999999997</v>
      </c>
      <c r="K24" s="142">
        <v>2.2400000000000002</v>
      </c>
      <c r="L24" s="144">
        <v>2.1999999999999997</v>
      </c>
      <c r="M24" s="26">
        <v>2.2450000000000001</v>
      </c>
      <c r="N24" s="144">
        <v>2.1999999999999997</v>
      </c>
      <c r="O24" s="142">
        <v>2.25</v>
      </c>
      <c r="P24" s="144">
        <v>2.1999999999999997</v>
      </c>
      <c r="Q24" s="26">
        <v>2.25</v>
      </c>
      <c r="R24" s="144">
        <v>2.1999999999999997</v>
      </c>
      <c r="S24" s="26">
        <v>2.25</v>
      </c>
      <c r="T24" s="144">
        <v>2.1999999999999997</v>
      </c>
      <c r="U24" s="152">
        <v>2.25</v>
      </c>
      <c r="V24" s="144">
        <v>2.1999999999999997</v>
      </c>
      <c r="W24" s="26">
        <v>2.25</v>
      </c>
      <c r="X24" s="144">
        <v>2.1999999999999997</v>
      </c>
      <c r="Y24" s="26">
        <v>2.25</v>
      </c>
      <c r="Z24" s="144">
        <v>2.1999999999999997</v>
      </c>
      <c r="AA24" s="25">
        <v>2.25</v>
      </c>
      <c r="AB24" s="144">
        <v>2.1999999999999997</v>
      </c>
      <c r="AC24" s="25">
        <v>2.25</v>
      </c>
      <c r="AD24" s="144">
        <v>2.1999999999999997</v>
      </c>
      <c r="AE24" s="25">
        <v>2.19</v>
      </c>
      <c r="AF24" s="144">
        <v>2.1999999999999997</v>
      </c>
      <c r="AG24" s="25">
        <v>2.04</v>
      </c>
      <c r="AH24" s="144">
        <v>2.1999999999999997</v>
      </c>
      <c r="AI24" s="25">
        <v>1.73</v>
      </c>
      <c r="AJ24" s="144">
        <v>2.1999999999999997</v>
      </c>
      <c r="AK24" s="25">
        <v>1.2649999999999999</v>
      </c>
      <c r="AL24" s="144">
        <v>2.1999999999999997</v>
      </c>
      <c r="AM24" s="144">
        <v>0.66</v>
      </c>
      <c r="AN24" s="144">
        <v>2.1999999999999997</v>
      </c>
      <c r="AO24" s="26">
        <v>0.16</v>
      </c>
      <c r="AP24" s="144">
        <v>2.1999999999999997</v>
      </c>
      <c r="AQ24" s="26">
        <v>0</v>
      </c>
    </row>
    <row r="25" spans="1:43" s="38" customFormat="1" x14ac:dyDescent="0.2">
      <c r="A25" s="39">
        <v>13</v>
      </c>
      <c r="B25" s="24">
        <v>2.4</v>
      </c>
      <c r="C25" s="26">
        <v>1.54</v>
      </c>
      <c r="D25" s="144">
        <v>2.4</v>
      </c>
      <c r="E25" s="142">
        <v>1.92</v>
      </c>
      <c r="F25" s="144">
        <v>2.4</v>
      </c>
      <c r="G25" s="26">
        <v>2.145</v>
      </c>
      <c r="H25" s="144">
        <v>2.4</v>
      </c>
      <c r="I25" s="26">
        <v>2.2200000000000002</v>
      </c>
      <c r="J25" s="144">
        <v>2.4</v>
      </c>
      <c r="K25" s="142">
        <v>2.25</v>
      </c>
      <c r="L25" s="144">
        <v>2.4</v>
      </c>
      <c r="M25" s="26">
        <v>2.25</v>
      </c>
      <c r="N25" s="144">
        <v>2.4</v>
      </c>
      <c r="O25" s="142">
        <v>2.25</v>
      </c>
      <c r="P25" s="144">
        <v>2.4</v>
      </c>
      <c r="Q25" s="26">
        <v>2.25</v>
      </c>
      <c r="R25" s="144">
        <v>2.4</v>
      </c>
      <c r="S25" s="26">
        <v>2.25</v>
      </c>
      <c r="T25" s="144">
        <v>2.4</v>
      </c>
      <c r="U25" s="152">
        <v>2.25</v>
      </c>
      <c r="V25" s="144">
        <v>2.4</v>
      </c>
      <c r="W25" s="26">
        <v>2.25</v>
      </c>
      <c r="X25" s="144">
        <v>2.4</v>
      </c>
      <c r="Y25" s="26">
        <v>2.25</v>
      </c>
      <c r="Z25" s="144">
        <v>2.4</v>
      </c>
      <c r="AA25" s="25">
        <v>2.25</v>
      </c>
      <c r="AB25" s="144">
        <v>2.4</v>
      </c>
      <c r="AC25" s="25">
        <v>2.25</v>
      </c>
      <c r="AD25" s="144">
        <v>2.4</v>
      </c>
      <c r="AE25" s="25">
        <v>2.2000000000000002</v>
      </c>
      <c r="AF25" s="144">
        <v>2.4</v>
      </c>
      <c r="AG25" s="25">
        <v>2.04</v>
      </c>
      <c r="AH25" s="144">
        <v>2.4</v>
      </c>
      <c r="AI25" s="25">
        <v>1.73</v>
      </c>
      <c r="AJ25" s="144">
        <v>2.4</v>
      </c>
      <c r="AK25" s="25">
        <v>1.2649999999999999</v>
      </c>
      <c r="AL25" s="144">
        <v>2.4</v>
      </c>
      <c r="AM25" s="144">
        <v>0.66</v>
      </c>
      <c r="AN25" s="144">
        <v>2.4</v>
      </c>
      <c r="AO25" s="26">
        <v>0.13</v>
      </c>
      <c r="AP25" s="144">
        <v>2.4</v>
      </c>
      <c r="AQ25" s="26">
        <v>0</v>
      </c>
    </row>
    <row r="26" spans="1:43" s="38" customFormat="1" x14ac:dyDescent="0.2">
      <c r="A26" s="39">
        <v>14</v>
      </c>
      <c r="B26" s="24"/>
      <c r="C26" s="26"/>
      <c r="D26" s="144"/>
      <c r="E26" s="142"/>
      <c r="F26" s="144"/>
      <c r="G26" s="26"/>
      <c r="H26" s="144"/>
      <c r="I26" s="26"/>
      <c r="J26" s="144"/>
      <c r="K26" s="142"/>
      <c r="L26" s="144"/>
      <c r="M26" s="26"/>
      <c r="N26" s="144"/>
      <c r="O26" s="142"/>
      <c r="P26" s="144"/>
      <c r="Q26" s="26"/>
      <c r="R26" s="144"/>
      <c r="S26" s="26"/>
      <c r="T26" s="144"/>
      <c r="U26" s="152"/>
      <c r="V26" s="144"/>
      <c r="W26" s="26"/>
      <c r="X26" s="144"/>
      <c r="Y26" s="26"/>
      <c r="Z26" s="144"/>
      <c r="AA26" s="25"/>
      <c r="AB26" s="144"/>
      <c r="AC26" s="25"/>
      <c r="AD26" s="144"/>
      <c r="AE26" s="25"/>
      <c r="AF26" s="144"/>
      <c r="AG26" s="25"/>
      <c r="AH26" s="144"/>
      <c r="AI26" s="25"/>
      <c r="AJ26" s="144"/>
      <c r="AK26" s="25"/>
      <c r="AL26" s="144"/>
      <c r="AM26" s="144"/>
      <c r="AN26" s="144"/>
      <c r="AO26" s="26"/>
      <c r="AP26" s="144"/>
      <c r="AQ26" s="26"/>
    </row>
    <row r="27" spans="1:43" s="38" customFormat="1" x14ac:dyDescent="0.2">
      <c r="A27" s="39">
        <v>15</v>
      </c>
      <c r="B27" s="24"/>
      <c r="C27" s="26"/>
      <c r="D27" s="144"/>
      <c r="E27" s="142"/>
      <c r="F27" s="24"/>
      <c r="G27" s="26"/>
      <c r="H27" s="24"/>
      <c r="I27" s="26"/>
      <c r="J27" s="144"/>
      <c r="K27" s="142"/>
      <c r="L27" s="24"/>
      <c r="M27" s="26"/>
      <c r="N27" s="144"/>
      <c r="O27" s="142"/>
      <c r="P27" s="24"/>
      <c r="Q27" s="26"/>
      <c r="R27" s="24"/>
      <c r="S27" s="26"/>
      <c r="T27" s="24"/>
      <c r="U27" s="152"/>
      <c r="V27" s="24"/>
      <c r="W27" s="26"/>
      <c r="X27" s="24"/>
      <c r="Y27" s="26"/>
      <c r="Z27" s="144"/>
      <c r="AA27" s="25"/>
      <c r="AB27" s="24"/>
      <c r="AC27" s="25"/>
      <c r="AD27" s="24"/>
      <c r="AE27" s="25"/>
      <c r="AF27" s="24"/>
      <c r="AG27" s="25"/>
      <c r="AH27" s="24"/>
      <c r="AI27" s="25"/>
      <c r="AJ27" s="24"/>
      <c r="AK27" s="25"/>
      <c r="AL27" s="24"/>
      <c r="AM27" s="25"/>
      <c r="AN27" s="24"/>
      <c r="AO27" s="26"/>
      <c r="AP27" s="24"/>
      <c r="AQ27" s="26"/>
    </row>
    <row r="28" spans="1:43" s="38" customFormat="1" x14ac:dyDescent="0.2">
      <c r="A28" s="39">
        <v>16</v>
      </c>
      <c r="B28" s="24"/>
      <c r="C28" s="26"/>
      <c r="D28" s="144"/>
      <c r="E28" s="142"/>
      <c r="F28" s="24"/>
      <c r="G28" s="26"/>
      <c r="H28" s="24"/>
      <c r="I28" s="26"/>
      <c r="J28" s="144"/>
      <c r="K28" s="142"/>
      <c r="L28" s="24"/>
      <c r="M28" s="26"/>
      <c r="N28" s="144"/>
      <c r="O28" s="142"/>
      <c r="P28" s="24"/>
      <c r="Q28" s="26"/>
      <c r="R28" s="24"/>
      <c r="S28" s="26"/>
      <c r="T28" s="24"/>
      <c r="U28" s="152"/>
      <c r="V28" s="24"/>
      <c r="W28" s="26"/>
      <c r="X28" s="24"/>
      <c r="Y28" s="26"/>
      <c r="Z28" s="144"/>
      <c r="AA28" s="25"/>
      <c r="AB28" s="24"/>
      <c r="AC28" s="25"/>
      <c r="AD28" s="24"/>
      <c r="AE28" s="25"/>
      <c r="AF28" s="24"/>
      <c r="AG28" s="25"/>
      <c r="AH28" s="24"/>
      <c r="AI28" s="25"/>
      <c r="AJ28" s="24"/>
      <c r="AK28" s="25"/>
      <c r="AL28" s="24"/>
      <c r="AM28" s="25"/>
      <c r="AN28" s="24"/>
      <c r="AO28" s="26"/>
      <c r="AP28" s="24"/>
      <c r="AQ28" s="26"/>
    </row>
    <row r="29" spans="1:43" s="38" customFormat="1" x14ac:dyDescent="0.2">
      <c r="A29" s="39">
        <v>17</v>
      </c>
      <c r="B29" s="24"/>
      <c r="C29" s="26"/>
      <c r="D29" s="144"/>
      <c r="E29" s="142"/>
      <c r="F29" s="24"/>
      <c r="G29" s="26"/>
      <c r="H29" s="24"/>
      <c r="I29" s="26"/>
      <c r="J29" s="144"/>
      <c r="K29" s="142"/>
      <c r="L29" s="24"/>
      <c r="M29" s="26"/>
      <c r="N29" s="144"/>
      <c r="O29" s="142"/>
      <c r="P29" s="24"/>
      <c r="Q29" s="26"/>
      <c r="R29" s="24"/>
      <c r="S29" s="26"/>
      <c r="T29" s="24"/>
      <c r="U29" s="152"/>
      <c r="V29" s="24"/>
      <c r="W29" s="26"/>
      <c r="X29" s="24"/>
      <c r="Y29" s="26"/>
      <c r="Z29" s="144"/>
      <c r="AA29" s="25"/>
      <c r="AB29" s="24"/>
      <c r="AC29" s="25"/>
      <c r="AD29" s="24"/>
      <c r="AE29" s="25"/>
      <c r="AF29" s="24"/>
      <c r="AG29" s="25"/>
      <c r="AH29" s="24"/>
      <c r="AI29" s="25"/>
      <c r="AJ29" s="24"/>
      <c r="AK29" s="25"/>
      <c r="AL29" s="24"/>
      <c r="AM29" s="25"/>
      <c r="AN29" s="24"/>
      <c r="AO29" s="26"/>
      <c r="AP29" s="24"/>
      <c r="AQ29" s="26"/>
    </row>
    <row r="30" spans="1:43" s="38" customFormat="1" x14ac:dyDescent="0.2">
      <c r="A30" s="39">
        <v>18</v>
      </c>
      <c r="B30" s="24"/>
      <c r="C30" s="26"/>
      <c r="D30" s="144"/>
      <c r="E30" s="142"/>
      <c r="F30" s="24"/>
      <c r="G30" s="26"/>
      <c r="H30" s="24"/>
      <c r="I30" s="26"/>
      <c r="J30" s="144"/>
      <c r="K30" s="142"/>
      <c r="L30" s="24"/>
      <c r="M30" s="26"/>
      <c r="N30" s="144"/>
      <c r="O30" s="142"/>
      <c r="P30" s="24"/>
      <c r="Q30" s="26"/>
      <c r="R30" s="24"/>
      <c r="S30" s="26"/>
      <c r="T30" s="24"/>
      <c r="U30" s="152"/>
      <c r="V30" s="24"/>
      <c r="W30" s="26"/>
      <c r="X30" s="24"/>
      <c r="Y30" s="26"/>
      <c r="Z30" s="144"/>
      <c r="AA30" s="25"/>
      <c r="AB30" s="24"/>
      <c r="AC30" s="25"/>
      <c r="AD30" s="24"/>
      <c r="AE30" s="25"/>
      <c r="AF30" s="24"/>
      <c r="AG30" s="25"/>
      <c r="AH30" s="24"/>
      <c r="AI30" s="25"/>
      <c r="AJ30" s="24"/>
      <c r="AK30" s="25"/>
      <c r="AL30" s="24"/>
      <c r="AM30" s="25"/>
      <c r="AN30" s="24"/>
      <c r="AO30" s="26"/>
      <c r="AP30" s="24"/>
      <c r="AQ30" s="26"/>
    </row>
    <row r="31" spans="1:43" s="38" customFormat="1" x14ac:dyDescent="0.2">
      <c r="A31" s="39">
        <v>19</v>
      </c>
      <c r="B31" s="24"/>
      <c r="C31" s="26"/>
      <c r="D31" s="144"/>
      <c r="E31" s="142"/>
      <c r="F31" s="24"/>
      <c r="G31" s="26"/>
      <c r="H31" s="24"/>
      <c r="I31" s="26"/>
      <c r="J31" s="144"/>
      <c r="K31" s="142"/>
      <c r="L31" s="24"/>
      <c r="M31" s="26"/>
      <c r="N31" s="144"/>
      <c r="O31" s="142"/>
      <c r="P31" s="24"/>
      <c r="Q31" s="26"/>
      <c r="R31" s="24"/>
      <c r="S31" s="26"/>
      <c r="T31" s="24"/>
      <c r="U31" s="152"/>
      <c r="V31" s="24"/>
      <c r="W31" s="26"/>
      <c r="X31" s="24"/>
      <c r="Y31" s="26"/>
      <c r="Z31" s="144"/>
      <c r="AA31" s="25"/>
      <c r="AB31" s="24"/>
      <c r="AC31" s="25"/>
      <c r="AD31" s="24"/>
      <c r="AE31" s="25"/>
      <c r="AF31" s="24"/>
      <c r="AG31" s="25"/>
      <c r="AH31" s="24"/>
      <c r="AI31" s="25"/>
      <c r="AJ31" s="24"/>
      <c r="AK31" s="25"/>
      <c r="AL31" s="24"/>
      <c r="AM31" s="25"/>
      <c r="AN31" s="24"/>
      <c r="AO31" s="26"/>
      <c r="AP31" s="24"/>
      <c r="AQ31" s="26"/>
    </row>
    <row r="32" spans="1:43" s="38" customFormat="1" x14ac:dyDescent="0.2">
      <c r="A32" s="39">
        <v>20</v>
      </c>
      <c r="B32" s="24"/>
      <c r="C32" s="26"/>
      <c r="D32" s="144"/>
      <c r="E32" s="142"/>
      <c r="F32" s="24"/>
      <c r="G32" s="26"/>
      <c r="H32" s="24"/>
      <c r="I32" s="26"/>
      <c r="J32" s="144"/>
      <c r="K32" s="142"/>
      <c r="L32" s="24"/>
      <c r="M32" s="26"/>
      <c r="N32" s="144"/>
      <c r="O32" s="142"/>
      <c r="P32" s="24"/>
      <c r="Q32" s="26"/>
      <c r="R32" s="24"/>
      <c r="S32" s="26"/>
      <c r="T32" s="24"/>
      <c r="U32" s="152"/>
      <c r="V32" s="24"/>
      <c r="W32" s="26"/>
      <c r="X32" s="24"/>
      <c r="Y32" s="26"/>
      <c r="Z32" s="144"/>
      <c r="AA32" s="25"/>
      <c r="AB32" s="24"/>
      <c r="AC32" s="25"/>
      <c r="AD32" s="24"/>
      <c r="AE32" s="25"/>
      <c r="AF32" s="24"/>
      <c r="AG32" s="25"/>
      <c r="AH32" s="24"/>
      <c r="AI32" s="25"/>
      <c r="AJ32" s="24"/>
      <c r="AK32" s="25"/>
      <c r="AL32" s="24"/>
      <c r="AM32" s="25"/>
      <c r="AN32" s="24"/>
      <c r="AO32" s="26"/>
      <c r="AP32" s="24"/>
      <c r="AQ32" s="26"/>
    </row>
    <row r="33" spans="1:43" s="38" customFormat="1" x14ac:dyDescent="0.2">
      <c r="A33" s="39">
        <v>21</v>
      </c>
      <c r="B33" s="24"/>
      <c r="C33" s="26"/>
      <c r="D33" s="144"/>
      <c r="E33" s="142"/>
      <c r="F33" s="24"/>
      <c r="G33" s="26"/>
      <c r="H33" s="24"/>
      <c r="I33" s="26"/>
      <c r="J33" s="144"/>
      <c r="K33" s="142"/>
      <c r="L33" s="24"/>
      <c r="M33" s="26"/>
      <c r="N33" s="144"/>
      <c r="O33" s="142"/>
      <c r="P33" s="24"/>
      <c r="Q33" s="26"/>
      <c r="R33" s="24"/>
      <c r="S33" s="26"/>
      <c r="T33" s="24"/>
      <c r="U33" s="152"/>
      <c r="V33" s="24"/>
      <c r="W33" s="26"/>
      <c r="X33" s="24"/>
      <c r="Y33" s="26"/>
      <c r="Z33" s="144"/>
      <c r="AA33" s="25"/>
      <c r="AB33" s="24"/>
      <c r="AC33" s="25"/>
      <c r="AD33" s="24"/>
      <c r="AE33" s="25"/>
      <c r="AF33" s="24"/>
      <c r="AG33" s="25"/>
      <c r="AH33" s="24"/>
      <c r="AI33" s="25"/>
      <c r="AJ33" s="24"/>
      <c r="AK33" s="25"/>
      <c r="AL33" s="24"/>
      <c r="AM33" s="25"/>
      <c r="AN33" s="24"/>
      <c r="AO33" s="26"/>
      <c r="AP33" s="24"/>
      <c r="AQ33" s="26"/>
    </row>
    <row r="34" spans="1:43" s="38" customFormat="1" x14ac:dyDescent="0.2">
      <c r="A34" s="39">
        <v>22</v>
      </c>
      <c r="B34" s="24"/>
      <c r="C34" s="26"/>
      <c r="D34" s="144"/>
      <c r="E34" s="142"/>
      <c r="F34" s="24"/>
      <c r="G34" s="26"/>
      <c r="H34" s="24"/>
      <c r="I34" s="26"/>
      <c r="J34" s="144"/>
      <c r="K34" s="142"/>
      <c r="L34" s="24"/>
      <c r="M34" s="26"/>
      <c r="N34" s="144"/>
      <c r="O34" s="142"/>
      <c r="P34" s="24"/>
      <c r="Q34" s="26"/>
      <c r="R34" s="24"/>
      <c r="S34" s="26"/>
      <c r="T34" s="24"/>
      <c r="U34" s="152"/>
      <c r="V34" s="24"/>
      <c r="W34" s="26"/>
      <c r="X34" s="24"/>
      <c r="Y34" s="26"/>
      <c r="Z34" s="144"/>
      <c r="AA34" s="25"/>
      <c r="AB34" s="24"/>
      <c r="AC34" s="25"/>
      <c r="AD34" s="24"/>
      <c r="AE34" s="25"/>
      <c r="AF34" s="24"/>
      <c r="AG34" s="25"/>
      <c r="AH34" s="24"/>
      <c r="AI34" s="25"/>
      <c r="AJ34" s="24"/>
      <c r="AK34" s="25"/>
      <c r="AL34" s="24"/>
      <c r="AM34" s="25"/>
      <c r="AN34" s="24"/>
      <c r="AO34" s="26"/>
      <c r="AP34" s="24"/>
      <c r="AQ34" s="26"/>
    </row>
    <row r="35" spans="1:43" s="38" customFormat="1" x14ac:dyDescent="0.2">
      <c r="A35" s="39">
        <v>23</v>
      </c>
      <c r="B35" s="24"/>
      <c r="C35" s="26"/>
      <c r="D35" s="144"/>
      <c r="E35" s="142"/>
      <c r="F35" s="24"/>
      <c r="G35" s="26"/>
      <c r="H35" s="24"/>
      <c r="I35" s="26"/>
      <c r="J35" s="144"/>
      <c r="K35" s="142"/>
      <c r="L35" s="24"/>
      <c r="M35" s="26"/>
      <c r="N35" s="144"/>
      <c r="O35" s="142"/>
      <c r="P35" s="24"/>
      <c r="Q35" s="26"/>
      <c r="R35" s="24"/>
      <c r="S35" s="26"/>
      <c r="T35" s="24"/>
      <c r="U35" s="152"/>
      <c r="V35" s="24"/>
      <c r="W35" s="26"/>
      <c r="X35" s="24"/>
      <c r="Y35" s="26"/>
      <c r="Z35" s="144"/>
      <c r="AA35" s="25"/>
      <c r="AB35" s="24"/>
      <c r="AC35" s="25"/>
      <c r="AD35" s="24"/>
      <c r="AE35" s="25"/>
      <c r="AF35" s="24"/>
      <c r="AG35" s="25"/>
      <c r="AH35" s="24"/>
      <c r="AI35" s="25"/>
      <c r="AJ35" s="24"/>
      <c r="AK35" s="25"/>
      <c r="AL35" s="24"/>
      <c r="AM35" s="25"/>
      <c r="AN35" s="24"/>
      <c r="AO35" s="26"/>
      <c r="AP35" s="24"/>
      <c r="AQ35" s="26"/>
    </row>
    <row r="36" spans="1:43" s="38" customFormat="1" x14ac:dyDescent="0.2">
      <c r="A36" s="39">
        <v>24</v>
      </c>
      <c r="B36" s="24"/>
      <c r="C36" s="26"/>
      <c r="D36" s="144"/>
      <c r="E36" s="142"/>
      <c r="F36" s="24"/>
      <c r="G36" s="26"/>
      <c r="H36" s="24"/>
      <c r="I36" s="26"/>
      <c r="J36" s="144"/>
      <c r="K36" s="142"/>
      <c r="L36" s="24"/>
      <c r="M36" s="26"/>
      <c r="N36" s="144"/>
      <c r="O36" s="142"/>
      <c r="P36" s="24"/>
      <c r="Q36" s="26"/>
      <c r="R36" s="24"/>
      <c r="S36" s="26"/>
      <c r="T36" s="24"/>
      <c r="U36" s="152"/>
      <c r="V36" s="24"/>
      <c r="W36" s="26"/>
      <c r="X36" s="24"/>
      <c r="Y36" s="26"/>
      <c r="Z36" s="144"/>
      <c r="AA36" s="25"/>
      <c r="AB36" s="24"/>
      <c r="AC36" s="25"/>
      <c r="AD36" s="24"/>
      <c r="AE36" s="25"/>
      <c r="AF36" s="24"/>
      <c r="AG36" s="25"/>
      <c r="AH36" s="24"/>
      <c r="AI36" s="25"/>
      <c r="AJ36" s="24"/>
      <c r="AK36" s="25"/>
      <c r="AL36" s="24"/>
      <c r="AM36" s="25"/>
      <c r="AN36" s="24"/>
      <c r="AO36" s="26"/>
      <c r="AP36" s="24"/>
      <c r="AQ36" s="26"/>
    </row>
    <row r="37" spans="1:43" s="38" customFormat="1" x14ac:dyDescent="0.2">
      <c r="A37" s="39">
        <v>25</v>
      </c>
      <c r="B37" s="24"/>
      <c r="C37" s="26"/>
      <c r="D37" s="144"/>
      <c r="E37" s="142"/>
      <c r="F37" s="24"/>
      <c r="G37" s="26"/>
      <c r="H37" s="24"/>
      <c r="I37" s="26"/>
      <c r="J37" s="144"/>
      <c r="K37" s="142"/>
      <c r="L37" s="24"/>
      <c r="M37" s="26"/>
      <c r="N37" s="144"/>
      <c r="O37" s="142"/>
      <c r="P37" s="24"/>
      <c r="Q37" s="26"/>
      <c r="R37" s="24"/>
      <c r="S37" s="26"/>
      <c r="T37" s="24"/>
      <c r="U37" s="152"/>
      <c r="V37" s="24"/>
      <c r="W37" s="26"/>
      <c r="X37" s="24"/>
      <c r="Y37" s="26"/>
      <c r="Z37" s="144"/>
      <c r="AA37" s="25"/>
      <c r="AB37" s="24"/>
      <c r="AC37" s="25"/>
      <c r="AD37" s="24"/>
      <c r="AE37" s="25"/>
      <c r="AF37" s="24"/>
      <c r="AG37" s="25"/>
      <c r="AH37" s="24"/>
      <c r="AI37" s="25"/>
      <c r="AJ37" s="24"/>
      <c r="AK37" s="25"/>
      <c r="AL37" s="24"/>
      <c r="AM37" s="25"/>
      <c r="AN37" s="24"/>
      <c r="AO37" s="26"/>
      <c r="AP37" s="24"/>
      <c r="AQ37" s="26"/>
    </row>
    <row r="38" spans="1:43" s="38" customFormat="1" x14ac:dyDescent="0.2">
      <c r="A38" s="39">
        <v>26</v>
      </c>
      <c r="B38" s="24"/>
      <c r="C38" s="26"/>
      <c r="D38" s="144"/>
      <c r="E38" s="142"/>
      <c r="F38" s="24"/>
      <c r="G38" s="26"/>
      <c r="H38" s="24"/>
      <c r="I38" s="26"/>
      <c r="J38" s="144"/>
      <c r="K38" s="142"/>
      <c r="L38" s="24"/>
      <c r="M38" s="26"/>
      <c r="N38" s="144"/>
      <c r="O38" s="142"/>
      <c r="P38" s="24"/>
      <c r="Q38" s="26"/>
      <c r="R38" s="24"/>
      <c r="S38" s="26"/>
      <c r="T38" s="24"/>
      <c r="U38" s="152"/>
      <c r="V38" s="24"/>
      <c r="W38" s="26"/>
      <c r="X38" s="24"/>
      <c r="Y38" s="26"/>
      <c r="Z38" s="144"/>
      <c r="AA38" s="25"/>
      <c r="AB38" s="24"/>
      <c r="AC38" s="25"/>
      <c r="AD38" s="24"/>
      <c r="AE38" s="25"/>
      <c r="AF38" s="24"/>
      <c r="AG38" s="25"/>
      <c r="AH38" s="24"/>
      <c r="AI38" s="25"/>
      <c r="AJ38" s="24"/>
      <c r="AK38" s="25"/>
      <c r="AL38" s="24"/>
      <c r="AM38" s="25"/>
      <c r="AN38" s="24"/>
      <c r="AO38" s="26"/>
      <c r="AP38" s="24"/>
      <c r="AQ38" s="26"/>
    </row>
    <row r="39" spans="1:43" s="38" customFormat="1" ht="13.5" thickBot="1" x14ac:dyDescent="0.25">
      <c r="A39" s="43">
        <v>27</v>
      </c>
      <c r="B39" s="27"/>
      <c r="C39" s="29"/>
      <c r="D39" s="145"/>
      <c r="E39" s="143"/>
      <c r="F39" s="27"/>
      <c r="G39" s="29"/>
      <c r="H39" s="27"/>
      <c r="I39" s="29"/>
      <c r="J39" s="145"/>
      <c r="K39" s="149"/>
      <c r="L39" s="27"/>
      <c r="M39" s="150"/>
      <c r="N39" s="145"/>
      <c r="O39" s="149"/>
      <c r="P39" s="27"/>
      <c r="Q39" s="29"/>
      <c r="R39" s="27"/>
      <c r="S39" s="29"/>
      <c r="T39" s="27"/>
      <c r="U39" s="153"/>
      <c r="V39" s="27"/>
      <c r="W39" s="29"/>
      <c r="X39" s="27"/>
      <c r="Y39" s="29"/>
      <c r="Z39" s="145"/>
      <c r="AA39" s="28"/>
      <c r="AB39" s="27"/>
      <c r="AC39" s="28"/>
      <c r="AD39" s="27"/>
      <c r="AE39" s="28"/>
      <c r="AF39" s="27"/>
      <c r="AG39" s="28"/>
      <c r="AH39" s="27"/>
      <c r="AI39" s="28"/>
      <c r="AJ39" s="27"/>
      <c r="AK39" s="28"/>
      <c r="AL39" s="27"/>
      <c r="AM39" s="28"/>
      <c r="AN39" s="27"/>
      <c r="AO39" s="29"/>
      <c r="AP39" s="27"/>
      <c r="AQ39" s="29"/>
    </row>
    <row r="40" spans="1:43" x14ac:dyDescent="0.2">
      <c r="B40" s="4">
        <f t="shared" ref="B40:AQ40" si="0">COUNTA(B13:B39)</f>
        <v>13</v>
      </c>
      <c r="C40" s="4">
        <f t="shared" si="0"/>
        <v>13</v>
      </c>
      <c r="D40" s="4">
        <f t="shared" si="0"/>
        <v>13</v>
      </c>
      <c r="E40" s="4">
        <f t="shared" si="0"/>
        <v>13</v>
      </c>
      <c r="F40" s="4">
        <f t="shared" si="0"/>
        <v>13</v>
      </c>
      <c r="G40" s="4">
        <f t="shared" si="0"/>
        <v>13</v>
      </c>
      <c r="H40" s="4">
        <f t="shared" si="0"/>
        <v>13</v>
      </c>
      <c r="I40" s="4">
        <f t="shared" si="0"/>
        <v>13</v>
      </c>
      <c r="J40" s="4">
        <f t="shared" si="0"/>
        <v>13</v>
      </c>
      <c r="K40" s="4">
        <f t="shared" si="0"/>
        <v>13</v>
      </c>
      <c r="L40" s="4">
        <f t="shared" si="0"/>
        <v>13</v>
      </c>
      <c r="M40" s="4">
        <f t="shared" si="0"/>
        <v>13</v>
      </c>
      <c r="N40" s="4">
        <f t="shared" si="0"/>
        <v>13</v>
      </c>
      <c r="O40" s="4">
        <f t="shared" si="0"/>
        <v>13</v>
      </c>
      <c r="P40" s="4">
        <f t="shared" si="0"/>
        <v>13</v>
      </c>
      <c r="Q40" s="4">
        <f t="shared" si="0"/>
        <v>13</v>
      </c>
      <c r="R40" s="4">
        <f t="shared" si="0"/>
        <v>13</v>
      </c>
      <c r="S40" s="4">
        <f t="shared" si="0"/>
        <v>13</v>
      </c>
      <c r="T40" s="4">
        <f t="shared" si="0"/>
        <v>13</v>
      </c>
      <c r="U40" s="4">
        <f t="shared" si="0"/>
        <v>13</v>
      </c>
      <c r="V40" s="4">
        <f t="shared" si="0"/>
        <v>13</v>
      </c>
      <c r="W40" s="4">
        <f t="shared" si="0"/>
        <v>13</v>
      </c>
      <c r="X40" s="4">
        <f t="shared" si="0"/>
        <v>13</v>
      </c>
      <c r="Y40" s="4">
        <f t="shared" si="0"/>
        <v>13</v>
      </c>
      <c r="Z40" s="4">
        <f t="shared" si="0"/>
        <v>13</v>
      </c>
      <c r="AA40" s="4">
        <f t="shared" si="0"/>
        <v>13</v>
      </c>
      <c r="AB40" s="4">
        <f t="shared" si="0"/>
        <v>13</v>
      </c>
      <c r="AC40" s="4">
        <f t="shared" si="0"/>
        <v>13</v>
      </c>
      <c r="AD40" s="4">
        <f t="shared" si="0"/>
        <v>13</v>
      </c>
      <c r="AE40" s="4">
        <f t="shared" si="0"/>
        <v>13</v>
      </c>
      <c r="AF40" s="4">
        <f t="shared" si="0"/>
        <v>13</v>
      </c>
      <c r="AG40" s="4">
        <f t="shared" si="0"/>
        <v>13</v>
      </c>
      <c r="AH40" s="4">
        <f t="shared" si="0"/>
        <v>13</v>
      </c>
      <c r="AI40" s="4">
        <f t="shared" si="0"/>
        <v>13</v>
      </c>
      <c r="AJ40" s="4">
        <f t="shared" si="0"/>
        <v>13</v>
      </c>
      <c r="AK40" s="4">
        <f t="shared" si="0"/>
        <v>13</v>
      </c>
      <c r="AL40" s="4">
        <f t="shared" si="0"/>
        <v>13</v>
      </c>
      <c r="AM40" s="4">
        <f t="shared" si="0"/>
        <v>13</v>
      </c>
      <c r="AN40" s="4">
        <f t="shared" si="0"/>
        <v>13</v>
      </c>
      <c r="AO40" s="4">
        <f t="shared" si="0"/>
        <v>13</v>
      </c>
      <c r="AP40" s="4">
        <f t="shared" si="0"/>
        <v>13</v>
      </c>
      <c r="AQ40" s="4">
        <f t="shared" si="0"/>
        <v>13</v>
      </c>
    </row>
    <row r="41" spans="1:43" x14ac:dyDescent="0.2">
      <c r="A41" s="4" t="s">
        <v>17</v>
      </c>
      <c r="C41" s="4">
        <f>Interpolate($C$223:$W$223,$C$225:$W$225,C11)</f>
        <v>-1.1978357081174501E-3</v>
      </c>
      <c r="E41" s="4">
        <f>Interpolate($C$223:$W$223,$C$225:$W$225,E11)</f>
        <v>9.4913517764618816E-2</v>
      </c>
      <c r="G41" s="4">
        <f>Interpolate($C$223:$W$223,$C$225:$W$225,G11)</f>
        <v>0.32827627972335316</v>
      </c>
      <c r="I41" s="4">
        <f>Interpolate($C$223:$W$223,$C$225:$W$225,I11)</f>
        <v>0.59091374907475958</v>
      </c>
      <c r="K41" s="4">
        <f>Interpolate($C$223:$W$223,$C$225:$W$225,K11)</f>
        <v>0.79842527294596599</v>
      </c>
      <c r="M41" s="4">
        <f>Interpolate($C$223:$W$223,$C$225:$W$225,M11)</f>
        <v>0.91870770185664963</v>
      </c>
      <c r="O41" s="4">
        <f>Interpolate($C$223:$W$223,$C$225:$W$225,O11)</f>
        <v>0.98941719251171989</v>
      </c>
      <c r="Q41" s="4">
        <f>Interpolate($C$223:$W$223,$C$225:$W$225,Q11)</f>
        <v>0.98941719251171989</v>
      </c>
      <c r="S41" s="4">
        <f>Interpolate($C$223:$W$223,$C$225:$W$225,S11)</f>
        <v>0.98941719251171989</v>
      </c>
      <c r="U41" s="4">
        <f>Interpolate($C$223:$W$223,$C$225:$W$225,U11)</f>
        <v>0.98941719251172</v>
      </c>
      <c r="W41" s="4">
        <f>Interpolate($C$223:$W$223,$C$225:$W$225,W11)</f>
        <v>0.98941719251171989</v>
      </c>
      <c r="Y41" s="4">
        <f>Interpolate($C$223:$W$223,$C$225:$W$225,Y11)</f>
        <v>0.98941719251171989</v>
      </c>
      <c r="AA41" s="4">
        <f>Interpolate($C$223:$W$223,$C$225:$W$225,AA11)</f>
        <v>0.98941719251171989</v>
      </c>
      <c r="AC41" s="4">
        <f>Interpolate($C$223:$W$223,$C$225:$W$225,AC11)</f>
        <v>0.98941719251171989</v>
      </c>
      <c r="AE41" s="4">
        <f>Interpolate($C$223:$W$223,$C$225:$W$225,AE11)</f>
        <v>0.94830474031581546</v>
      </c>
      <c r="AG41" s="4">
        <f>Interpolate($C$223:$W$223,$C$225:$W$225,AG11)</f>
        <v>0.81065627775721705</v>
      </c>
      <c r="AI41" s="4">
        <f>Interpolate($C$223:$W$223,$C$225:$W$225,AI11)</f>
        <v>0.60227786786022697</v>
      </c>
      <c r="AK41" s="4">
        <f>Interpolate($C$223:$W$223,$C$225:$W$225,AK11)</f>
        <v>0.36796999695441657</v>
      </c>
      <c r="AM41" s="4">
        <f>Interpolate($C$223:$W$223,$C$225:$W$225,AM11)</f>
        <v>0.21446202581421175</v>
      </c>
      <c r="AO41" s="4">
        <f>Interpolate($C$223:$W$223,$C$225:$W$225,AO11)</f>
        <v>9.6328104567604281E-2</v>
      </c>
      <c r="AQ41" s="4">
        <f>Interpolate($C$223:$W$223,$C$225:$W$225,AQ11)</f>
        <v>0</v>
      </c>
    </row>
    <row r="42" spans="1:43" x14ac:dyDescent="0.2">
      <c r="A42" s="4" t="s">
        <v>3</v>
      </c>
    </row>
    <row r="43" spans="1:43" ht="13.5" thickBot="1" x14ac:dyDescent="0.25"/>
    <row r="44" spans="1:43" x14ac:dyDescent="0.2">
      <c r="A44" s="71" t="s">
        <v>52</v>
      </c>
      <c r="B44" s="57"/>
      <c r="C44" s="75">
        <v>21</v>
      </c>
      <c r="D44" s="72">
        <f t="shared" ref="D44:W44" si="1">C44-1</f>
        <v>20</v>
      </c>
      <c r="E44" s="72">
        <f t="shared" si="1"/>
        <v>19</v>
      </c>
      <c r="F44" s="72">
        <f t="shared" si="1"/>
        <v>18</v>
      </c>
      <c r="G44" s="72">
        <f t="shared" si="1"/>
        <v>17</v>
      </c>
      <c r="H44" s="72">
        <f t="shared" si="1"/>
        <v>16</v>
      </c>
      <c r="I44" s="72">
        <f t="shared" si="1"/>
        <v>15</v>
      </c>
      <c r="J44" s="72">
        <f t="shared" si="1"/>
        <v>14</v>
      </c>
      <c r="K44" s="72">
        <f t="shared" si="1"/>
        <v>13</v>
      </c>
      <c r="L44" s="72">
        <f t="shared" si="1"/>
        <v>12</v>
      </c>
      <c r="M44" s="72">
        <f t="shared" si="1"/>
        <v>11</v>
      </c>
      <c r="N44" s="72">
        <f t="shared" si="1"/>
        <v>10</v>
      </c>
      <c r="O44" s="72">
        <f t="shared" si="1"/>
        <v>9</v>
      </c>
      <c r="P44" s="72">
        <f t="shared" si="1"/>
        <v>8</v>
      </c>
      <c r="Q44" s="72">
        <f t="shared" si="1"/>
        <v>7</v>
      </c>
      <c r="R44" s="72">
        <f t="shared" si="1"/>
        <v>6</v>
      </c>
      <c r="S44" s="72">
        <f t="shared" si="1"/>
        <v>5</v>
      </c>
      <c r="T44" s="72">
        <f t="shared" si="1"/>
        <v>4</v>
      </c>
      <c r="U44" s="72">
        <f t="shared" si="1"/>
        <v>3</v>
      </c>
      <c r="V44" s="72">
        <f t="shared" si="1"/>
        <v>2</v>
      </c>
      <c r="W44" s="73">
        <f t="shared" si="1"/>
        <v>1</v>
      </c>
    </row>
    <row r="45" spans="1:43" ht="13.5" thickBot="1" x14ac:dyDescent="0.25">
      <c r="A45" s="74" t="s">
        <v>53</v>
      </c>
      <c r="B45" s="60" t="s">
        <v>54</v>
      </c>
      <c r="C45" s="61">
        <f>C11</f>
        <v>0</v>
      </c>
      <c r="D45" s="59">
        <f>E11</f>
        <v>1.6175000000000002</v>
      </c>
      <c r="E45" s="59">
        <f>G11</f>
        <v>3.2350000000000003</v>
      </c>
      <c r="F45" s="59">
        <f>I11</f>
        <v>4.8525000000000009</v>
      </c>
      <c r="G45" s="59">
        <f>K11</f>
        <v>6.4700000000000006</v>
      </c>
      <c r="H45" s="59">
        <f>M11</f>
        <v>8.0875000000000004</v>
      </c>
      <c r="I45" s="59">
        <f>O11</f>
        <v>9.7050000000000001</v>
      </c>
      <c r="J45" s="59">
        <f>Q11</f>
        <v>11.3225</v>
      </c>
      <c r="K45" s="59">
        <f>S11</f>
        <v>12.94</v>
      </c>
      <c r="L45" s="59">
        <f>U11</f>
        <v>14.557499999999999</v>
      </c>
      <c r="M45" s="59">
        <f>W11</f>
        <v>16.175000000000001</v>
      </c>
      <c r="N45" s="59">
        <f>Y11</f>
        <v>17.7925</v>
      </c>
      <c r="O45" s="59">
        <f>AA11</f>
        <v>19.41</v>
      </c>
      <c r="P45" s="59">
        <f>AC11</f>
        <v>21.0275</v>
      </c>
      <c r="Q45" s="59">
        <f>AE11</f>
        <v>22.645</v>
      </c>
      <c r="R45" s="59">
        <f>AG11</f>
        <v>24.262499999999999</v>
      </c>
      <c r="S45" s="59">
        <f>AI11</f>
        <v>25.88</v>
      </c>
      <c r="T45" s="59">
        <f>AK11</f>
        <v>27.497499999999999</v>
      </c>
      <c r="U45" s="59">
        <f>AM11</f>
        <v>29.114999999999998</v>
      </c>
      <c r="V45" s="59">
        <f>AO11</f>
        <v>30.732499999999998</v>
      </c>
      <c r="W45" s="60">
        <f>AQ11</f>
        <v>32.35</v>
      </c>
    </row>
    <row r="46" spans="1:43" x14ac:dyDescent="0.2">
      <c r="A46" s="78">
        <v>0</v>
      </c>
      <c r="B46" s="79">
        <f>'Basis Hull'!$E$7*'Basis Hull'!A46/'Basis Hull'!$A$70</f>
        <v>0</v>
      </c>
      <c r="C46" s="76">
        <f>IF('Basis Hull'!C$11="",0,CUBIC('Basis Hull'!B$13:B$39,'Basis Hull'!C$13:C$39,B46))</f>
        <v>0</v>
      </c>
      <c r="D46" s="70">
        <f>IF('Basis Hull'!E$11="",0,CUBIC('Basis Hull'!$D$13:$D$39,'Basis Hull'!$E$13:$E$39,$B46))</f>
        <v>0</v>
      </c>
      <c r="E46" s="70">
        <f>IF('Basis Hull'!G$11="",0,CUBIC('Basis Hull'!$F$13:$F$39,'Basis Hull'!$G$13:$G$39,$B46))</f>
        <v>0</v>
      </c>
      <c r="F46" s="70">
        <f>IF('Basis Hull'!I$11="",0,CUBIC('Basis Hull'!$H$13:$H$39,'Basis Hull'!$I$13:$I$39,$B46))</f>
        <v>0</v>
      </c>
      <c r="G46" s="70">
        <f>IF('Basis Hull'!K$11="",0,CUBIC('Basis Hull'!$J$13:$J$39,'Basis Hull'!$K$13:$K$39,$B46))</f>
        <v>0</v>
      </c>
      <c r="H46" s="70">
        <f>IF('Basis Hull'!M$11="",0,CUBIC('Basis Hull'!$L$13:$L$39,'Basis Hull'!$M$13:$M$39,$B46))</f>
        <v>0.08</v>
      </c>
      <c r="I46" s="70">
        <f>IF('Basis Hull'!O$11="",0,CUBIC('Basis Hull'!$N$13:$N$39,'Basis Hull'!$O$13:$O$39,$B46))</f>
        <v>0.08</v>
      </c>
      <c r="J46" s="70">
        <f>IF('Basis Hull'!Q$11="",0,CUBIC('Basis Hull'!$P$13:$P$39,'Basis Hull'!$Q$13:$Q$39,$B46))</f>
        <v>0.08</v>
      </c>
      <c r="K46" s="70">
        <f>IF('Basis Hull'!S$11="",0,CUBIC('Basis Hull'!$R$13:$R$39,'Basis Hull'!$S$13:$S$39,$B46))</f>
        <v>0.08</v>
      </c>
      <c r="L46" s="70">
        <f>IF('Basis Hull'!U$11="",0,CUBIC('Basis Hull'!$T$13:$T$39,'Basis Hull'!$U$13:$U$39,$B46))</f>
        <v>0.08</v>
      </c>
      <c r="M46" s="70">
        <f>IF('Basis Hull'!W$11="",0,CUBIC('Basis Hull'!$V$13:$V$39,'Basis Hull'!$W$13:$W$39,$B46))</f>
        <v>0.08</v>
      </c>
      <c r="N46" s="70">
        <f>IF('Basis Hull'!Y$11="",0,CUBIC('Basis Hull'!$X$13:$X$39,'Basis Hull'!$Y$13:$Y$39,$B46))</f>
        <v>0.08</v>
      </c>
      <c r="O46" s="70">
        <f>IF('Basis Hull'!AA$11="",0,CUBIC('Basis Hull'!$Z$13:$Z$39,'Basis Hull'!$AA$13:$AA$39,$B46))</f>
        <v>0.08</v>
      </c>
      <c r="P46" s="70">
        <f>IF('Basis Hull'!AC$11="",0,CUBIC('Basis Hull'!$AB$13:$AB$39,'Basis Hull'!$AC$13:$AC$39,$B46))</f>
        <v>0.08</v>
      </c>
      <c r="Q46" s="70">
        <f>IF('Basis Hull'!AE$11="",0,CUBIC('Basis Hull'!$AD$13:$AD$39,'Basis Hull'!$AE$13:$AE$39,$B46))</f>
        <v>0.08</v>
      </c>
      <c r="R46" s="70">
        <f>IF('Basis Hull'!AG$11="",0,CUBIC('Basis Hull'!$AF$13:$AF$39,'Basis Hull'!$AG$13:$AG$39,$B46))</f>
        <v>0</v>
      </c>
      <c r="S46" s="70">
        <f>IF('Basis Hull'!AI$11="",0,CUBIC('Basis Hull'!$AH$13:$AH$39,'Basis Hull'!$AI$13:$AI$39,$B46))</f>
        <v>0</v>
      </c>
      <c r="T46" s="70">
        <f>IF('Basis Hull'!AK$11="",0,CUBIC('Basis Hull'!$AJ$13:$AJ$39,'Basis Hull'!$AK$13:$AK$39,$B46))</f>
        <v>0</v>
      </c>
      <c r="U46" s="70">
        <f>IF('Basis Hull'!AM$11="",0,CUBIC('Basis Hull'!$AL$13:$AL$39,'Basis Hull'!$AM$13:$AM$39,$B46))</f>
        <v>0</v>
      </c>
      <c r="V46" s="70">
        <f>IF('Basis Hull'!AO$11="",0,CUBIC('Basis Hull'!$AN$13:$AN$39,'Basis Hull'!$AO$13:$AO$39,$B46))</f>
        <v>0</v>
      </c>
      <c r="W46" s="70">
        <f>IF('Basis Hull'!AQ$11="",0,CUBIC('Basis Hull'!$AP$13:$AP$39,'Basis Hull'!$AQ$13:$AQ$39,$B46))</f>
        <v>0</v>
      </c>
    </row>
    <row r="47" spans="1:43" x14ac:dyDescent="0.2">
      <c r="A47" s="80">
        <f t="shared" ref="A47:A70" si="2">A46+1</f>
        <v>1</v>
      </c>
      <c r="B47" s="81">
        <f>'Basis Hull'!$E$7*'Basis Hull'!A47/'Basis Hull'!$A$70</f>
        <v>9.9999999999999992E-2</v>
      </c>
      <c r="C47" s="77">
        <f>IF('Basis Hull'!C$11="",0,CUBIC('Basis Hull'!B$13:B$39,'Basis Hull'!C$13:C$39,B47))</f>
        <v>5.6670984455958523E-5</v>
      </c>
      <c r="D47" s="69">
        <f>IF('Basis Hull'!E$11="",0,CUBIC('Basis Hull'!$D$13:$D$39,'Basis Hull'!$E$13:$E$39,$B47))</f>
        <v>4.7067699140238023E-4</v>
      </c>
      <c r="E47" s="69">
        <f>IF('Basis Hull'!G$11="",0,CUBIC('Basis Hull'!$F$13:$F$39,'Basis Hull'!$G$13:$G$39,$B47))</f>
        <v>5.2836129220520348E-4</v>
      </c>
      <c r="F47" s="69">
        <f>IF('Basis Hull'!I$11="",0,CUBIC('Basis Hull'!$H$13:$H$39,'Basis Hull'!$I$13:$I$39,$B47))</f>
        <v>-7.6435048112509299E-3</v>
      </c>
      <c r="G47" s="69">
        <f>IF('Basis Hull'!K$11="",0,CUBIC('Basis Hull'!$J$13:$J$39,'Basis Hull'!$K$13:$K$39,$B47))</f>
        <v>4.2636803934407559E-2</v>
      </c>
      <c r="H47" s="69">
        <f>IF('Basis Hull'!M$11="",0,CUBIC('Basis Hull'!$L$13:$L$39,'Basis Hull'!$M$13:$M$39,$B47))</f>
        <v>8.385604324432043E-2</v>
      </c>
      <c r="I47" s="69">
        <f>IF('Basis Hull'!O$11="",0,CUBIC('Basis Hull'!$N$13:$N$39,'Basis Hull'!$O$13:$O$39,$B47))</f>
        <v>9.1741260035301475E-2</v>
      </c>
      <c r="J47" s="69">
        <f>IF('Basis Hull'!Q$11="",0,CUBIC('Basis Hull'!$P$13:$P$39,'Basis Hull'!$Q$13:$Q$39,$B47))</f>
        <v>9.1741260035301475E-2</v>
      </c>
      <c r="K47" s="69">
        <f>IF('Basis Hull'!S$11="",0,CUBIC('Basis Hull'!$R$13:$R$39,'Basis Hull'!$S$13:$S$39,$B47))</f>
        <v>9.1741260035301475E-2</v>
      </c>
      <c r="L47" s="69">
        <f>IF('Basis Hull'!U$11="",0,CUBIC('Basis Hull'!$T$13:$T$39,'Basis Hull'!$U$13:$U$39,$B47))</f>
        <v>9.1741260035301475E-2</v>
      </c>
      <c r="M47" s="69">
        <f>IF('Basis Hull'!W$11="",0,CUBIC('Basis Hull'!$V$13:$V$39,'Basis Hull'!$W$13:$W$39,$B47))</f>
        <v>9.1741260035301475E-2</v>
      </c>
      <c r="N47" s="69">
        <f>IF('Basis Hull'!Y$11="",0,CUBIC('Basis Hull'!$X$13:$X$39,'Basis Hull'!$Y$13:$Y$39,$B47))</f>
        <v>9.1741260035301475E-2</v>
      </c>
      <c r="O47" s="69">
        <f>IF('Basis Hull'!AA$11="",0,CUBIC('Basis Hull'!$Z$13:$Z$39,'Basis Hull'!$AA$13:$AA$39,$B47))</f>
        <v>9.1741260035301475E-2</v>
      </c>
      <c r="P47" s="69">
        <f>IF('Basis Hull'!AC$11="",0,CUBIC('Basis Hull'!$AB$13:$AB$39,'Basis Hull'!$AC$13:$AC$39,$B47))</f>
        <v>9.1741260035301475E-2</v>
      </c>
      <c r="Q47" s="69">
        <f>IF('Basis Hull'!AE$11="",0,CUBIC('Basis Hull'!$AD$13:$AD$39,'Basis Hull'!$AE$13:$AE$39,$B47))</f>
        <v>8.98095214371121E-2</v>
      </c>
      <c r="R47" s="69">
        <f>IF('Basis Hull'!AG$11="",0,CUBIC('Basis Hull'!$AF$13:$AF$39,'Basis Hull'!$AG$13:$AG$39,$B47))</f>
        <v>3.687245202983544E-2</v>
      </c>
      <c r="S47" s="69">
        <f>IF('Basis Hull'!AI$11="",0,CUBIC('Basis Hull'!$AH$13:$AH$39,'Basis Hull'!$AI$13:$AI$39,$B47))</f>
        <v>-9.4064172550247724E-3</v>
      </c>
      <c r="T47" s="69">
        <f>IF('Basis Hull'!AK$11="",0,CUBIC('Basis Hull'!$AJ$13:$AJ$39,'Basis Hull'!$AK$13:$AK$39,$B47))</f>
        <v>4.6512999629903562E-4</v>
      </c>
      <c r="U47" s="69">
        <f>IF('Basis Hull'!AM$11="",0,CUBIC('Basis Hull'!$AL$13:$AL$39,'Basis Hull'!$AM$13:$AM$39,$B47))</f>
        <v>1.1941688492854291E-3</v>
      </c>
      <c r="V47" s="69">
        <f>IF('Basis Hull'!AO$11="",0,CUBIC('Basis Hull'!$AN$13:$AN$39,'Basis Hull'!$AO$13:$AO$39,$B47))</f>
        <v>-5.2964150486818878E-4</v>
      </c>
      <c r="W47" s="69">
        <f>IF('Basis Hull'!AQ$11="",0,CUBIC('Basis Hull'!$AP$13:$AP$39,'Basis Hull'!$AQ$13:$AQ$39,$B47))</f>
        <v>0</v>
      </c>
    </row>
    <row r="48" spans="1:43" x14ac:dyDescent="0.2">
      <c r="A48" s="80">
        <f t="shared" si="2"/>
        <v>2</v>
      </c>
      <c r="B48" s="81">
        <f>'Basis Hull'!$E$7*'Basis Hull'!A48/'Basis Hull'!$A$70</f>
        <v>0.19999999999999998</v>
      </c>
      <c r="C48" s="77">
        <f>IF('Basis Hull'!C$11="",0,CUBIC('Basis Hull'!B$13:B$39,'Basis Hull'!C$13:C$39,B48))</f>
        <v>0</v>
      </c>
      <c r="D48" s="69">
        <f>IF('Basis Hull'!E$11="",0,CUBIC('Basis Hull'!$D$13:$D$39,'Basis Hull'!$E$13:$E$39,$B48))</f>
        <v>0</v>
      </c>
      <c r="E48" s="69">
        <f>IF('Basis Hull'!G$11="",0,CUBIC('Basis Hull'!$F$13:$F$39,'Basis Hull'!$G$13:$G$39,$B48))</f>
        <v>0</v>
      </c>
      <c r="F48" s="69">
        <f>IF('Basis Hull'!I$11="",0,CUBIC('Basis Hull'!$H$13:$H$39,'Basis Hull'!$I$13:$I$39,$B48))</f>
        <v>0</v>
      </c>
      <c r="G48" s="69">
        <f>IF('Basis Hull'!K$11="",0,CUBIC('Basis Hull'!$J$13:$J$39,'Basis Hull'!$K$13:$K$39,$B48))</f>
        <v>7.4999999999999997E-2</v>
      </c>
      <c r="H48" s="69">
        <f>IF('Basis Hull'!M$11="",0,CUBIC('Basis Hull'!$L$13:$L$39,'Basis Hull'!$M$13:$M$39,$B48))</f>
        <v>0.09</v>
      </c>
      <c r="I48" s="69">
        <f>IF('Basis Hull'!O$11="",0,CUBIC('Basis Hull'!$N$13:$N$39,'Basis Hull'!$O$13:$O$39,$B48))</f>
        <v>0.09</v>
      </c>
      <c r="J48" s="69">
        <f>IF('Basis Hull'!Q$11="",0,CUBIC('Basis Hull'!$P$13:$P$39,'Basis Hull'!$Q$13:$Q$39,$B48))</f>
        <v>0.09</v>
      </c>
      <c r="K48" s="69">
        <f>IF('Basis Hull'!S$11="",0,CUBIC('Basis Hull'!$R$13:$R$39,'Basis Hull'!$S$13:$S$39,$B48))</f>
        <v>0.09</v>
      </c>
      <c r="L48" s="69">
        <f>IF('Basis Hull'!U$11="",0,CUBIC('Basis Hull'!$T$13:$T$39,'Basis Hull'!$U$13:$U$39,$B48))</f>
        <v>0.09</v>
      </c>
      <c r="M48" s="69">
        <f>IF('Basis Hull'!W$11="",0,CUBIC('Basis Hull'!$V$13:$V$39,'Basis Hull'!$W$13:$W$39,$B48))</f>
        <v>0.09</v>
      </c>
      <c r="N48" s="69">
        <f>IF('Basis Hull'!Y$11="",0,CUBIC('Basis Hull'!$X$13:$X$39,'Basis Hull'!$Y$13:$Y$39,$B48))</f>
        <v>0.09</v>
      </c>
      <c r="O48" s="69">
        <f>IF('Basis Hull'!AA$11="",0,CUBIC('Basis Hull'!$Z$13:$Z$39,'Basis Hull'!$AA$13:$AA$39,$B48))</f>
        <v>0.09</v>
      </c>
      <c r="P48" s="69">
        <f>IF('Basis Hull'!AC$11="",0,CUBIC('Basis Hull'!$AB$13:$AB$39,'Basis Hull'!$AC$13:$AC$39,$B48))</f>
        <v>0.09</v>
      </c>
      <c r="Q48" s="69">
        <f>IF('Basis Hull'!AE$11="",0,CUBIC('Basis Hull'!$AD$13:$AD$39,'Basis Hull'!$AE$13:$AE$39,$B48))</f>
        <v>0.09</v>
      </c>
      <c r="R48" s="69">
        <f>IF('Basis Hull'!AG$11="",0,CUBIC('Basis Hull'!$AF$13:$AF$39,'Basis Hull'!$AG$13:$AG$39,$B48))</f>
        <v>0.06</v>
      </c>
      <c r="S48" s="69">
        <f>IF('Basis Hull'!AI$11="",0,CUBIC('Basis Hull'!$AH$13:$AH$39,'Basis Hull'!$AI$13:$AI$39,$B48))</f>
        <v>0</v>
      </c>
      <c r="T48" s="69">
        <f>IF('Basis Hull'!AK$11="",0,CUBIC('Basis Hull'!$AJ$13:$AJ$39,'Basis Hull'!$AK$13:$AK$39,$B48))</f>
        <v>0</v>
      </c>
      <c r="U48" s="69">
        <f>IF('Basis Hull'!AM$11="",0,CUBIC('Basis Hull'!$AL$13:$AL$39,'Basis Hull'!$AM$13:$AM$39,$B48))</f>
        <v>0</v>
      </c>
      <c r="V48" s="69">
        <f>IF('Basis Hull'!AO$11="",0,CUBIC('Basis Hull'!$AN$13:$AN$39,'Basis Hull'!$AO$13:$AO$39,$B48))</f>
        <v>0</v>
      </c>
      <c r="W48" s="69">
        <f>IF('Basis Hull'!AQ$11="",0,CUBIC('Basis Hull'!$AP$13:$AP$39,'Basis Hull'!$AQ$13:$AQ$39,$B48))</f>
        <v>0</v>
      </c>
    </row>
    <row r="49" spans="1:25" x14ac:dyDescent="0.2">
      <c r="A49" s="80">
        <f t="shared" si="2"/>
        <v>3</v>
      </c>
      <c r="B49" s="81">
        <f>'Basis Hull'!$E$7*'Basis Hull'!A49/'Basis Hull'!$A$70</f>
        <v>0.3</v>
      </c>
      <c r="C49" s="77">
        <f>IF('Basis Hull'!C$11="",0,CUBIC('Basis Hull'!B$13:B$39,'Basis Hull'!C$13:C$39,B49))</f>
        <v>-1.700129533678756E-4</v>
      </c>
      <c r="D49" s="69">
        <f>IF('Basis Hull'!E$11="",0,CUBIC('Basis Hull'!$D$13:$D$39,'Basis Hull'!$E$13:$E$39,$B49))</f>
        <v>-1.4120309742071404E-3</v>
      </c>
      <c r="E49" s="69">
        <f>IF('Basis Hull'!G$11="",0,CUBIC('Basis Hull'!$F$13:$F$39,'Basis Hull'!$G$13:$G$39,$B49))</f>
        <v>-1.5850838766156108E-3</v>
      </c>
      <c r="F49" s="69">
        <f>IF('Basis Hull'!I$11="",0,CUBIC('Basis Hull'!$H$13:$H$39,'Basis Hull'!$I$13:$I$39,$B49))</f>
        <v>3.5430514433752801E-2</v>
      </c>
      <c r="G49" s="69">
        <f>IF('Basis Hull'!K$11="",0,CUBIC('Basis Hull'!$J$13:$J$39,'Basis Hull'!$K$13:$K$39,$B49))</f>
        <v>0.10083958819677732</v>
      </c>
      <c r="H49" s="69">
        <f>IF('Basis Hull'!M$11="",0,CUBIC('Basis Hull'!$L$13:$L$39,'Basis Hull'!$M$13:$M$39,$B49))</f>
        <v>0.1134318702670387</v>
      </c>
      <c r="I49" s="69">
        <f>IF('Basis Hull'!O$11="",0,CUBIC('Basis Hull'!$N$13:$N$39,'Basis Hull'!$O$13:$O$39,$B49))</f>
        <v>8.977621989409558E-2</v>
      </c>
      <c r="J49" s="69">
        <f>IF('Basis Hull'!Q$11="",0,CUBIC('Basis Hull'!$P$13:$P$39,'Basis Hull'!$Q$13:$Q$39,$B49))</f>
        <v>8.977621989409558E-2</v>
      </c>
      <c r="K49" s="69">
        <f>IF('Basis Hull'!S$11="",0,CUBIC('Basis Hull'!$R$13:$R$39,'Basis Hull'!$S$13:$S$39,$B49))</f>
        <v>8.977621989409558E-2</v>
      </c>
      <c r="L49" s="69">
        <f>IF('Basis Hull'!U$11="",0,CUBIC('Basis Hull'!$T$13:$T$39,'Basis Hull'!$U$13:$U$39,$B49))</f>
        <v>8.977621989409558E-2</v>
      </c>
      <c r="M49" s="69">
        <f>IF('Basis Hull'!W$11="",0,CUBIC('Basis Hull'!$V$13:$V$39,'Basis Hull'!$W$13:$W$39,$B49))</f>
        <v>8.977621989409558E-2</v>
      </c>
      <c r="N49" s="69">
        <f>IF('Basis Hull'!Y$11="",0,CUBIC('Basis Hull'!$X$13:$X$39,'Basis Hull'!$Y$13:$Y$39,$B49))</f>
        <v>8.977621989409558E-2</v>
      </c>
      <c r="O49" s="69">
        <f>IF('Basis Hull'!AA$11="",0,CUBIC('Basis Hull'!$Z$13:$Z$39,'Basis Hull'!$AA$13:$AA$39,$B49))</f>
        <v>8.977621989409558E-2</v>
      </c>
      <c r="P49" s="69">
        <f>IF('Basis Hull'!AC$11="",0,CUBIC('Basis Hull'!$AB$13:$AB$39,'Basis Hull'!$AC$13:$AC$39,$B49))</f>
        <v>8.977621989409558E-2</v>
      </c>
      <c r="Q49" s="69">
        <f>IF('Basis Hull'!AE$11="",0,CUBIC('Basis Hull'!$AD$13:$AD$39,'Basis Hull'!$AE$13:$AE$39,$B49))</f>
        <v>9.5571435688663692E-2</v>
      </c>
      <c r="R49" s="69">
        <f>IF('Basis Hull'!AG$11="",0,CUBIC('Basis Hull'!$AF$13:$AF$39,'Basis Hull'!$AG$13:$AG$39,$B49))</f>
        <v>7.5632643910493708E-2</v>
      </c>
      <c r="S49" s="69">
        <f>IF('Basis Hull'!AI$11="",0,CUBIC('Basis Hull'!$AH$13:$AH$39,'Basis Hull'!$AI$13:$AI$39,$B49))</f>
        <v>4.4469251765074325E-2</v>
      </c>
      <c r="T49" s="69">
        <f>IF('Basis Hull'!AK$11="",0,CUBIC('Basis Hull'!$AJ$13:$AJ$39,'Basis Hull'!$AK$13:$AK$39,$B49))</f>
        <v>2.3546100111028999E-3</v>
      </c>
      <c r="U49" s="69">
        <f>IF('Basis Hull'!AM$11="",0,CUBIC('Basis Hull'!$AL$13:$AL$39,'Basis Hull'!$AM$13:$AM$39,$B49))</f>
        <v>-3.5825065478562873E-3</v>
      </c>
      <c r="V49" s="69">
        <f>IF('Basis Hull'!AO$11="",0,CUBIC('Basis Hull'!$AN$13:$AN$39,'Basis Hull'!$AO$13:$AO$39,$B49))</f>
        <v>1.5889245146045664E-3</v>
      </c>
      <c r="W49" s="69">
        <f>IF('Basis Hull'!AQ$11="",0,CUBIC('Basis Hull'!$AP$13:$AP$39,'Basis Hull'!$AQ$13:$AQ$39,$B49))</f>
        <v>0</v>
      </c>
      <c r="Y49" s="4" cm="1">
        <f t="array" ref="Y49">CUBIC(C45:W45,C49:W49,74)</f>
        <v>31.700628908107223</v>
      </c>
    </row>
    <row r="50" spans="1:25" x14ac:dyDescent="0.2">
      <c r="A50" s="80">
        <f t="shared" si="2"/>
        <v>4</v>
      </c>
      <c r="B50" s="81">
        <f>'Basis Hull'!$E$7*'Basis Hull'!A50/'Basis Hull'!$A$70</f>
        <v>0.39999999999999997</v>
      </c>
      <c r="C50" s="77">
        <f>IF('Basis Hull'!C$11="",0,CUBIC('Basis Hull'!B$13:B$39,'Basis Hull'!C$13:C$39,B50))</f>
        <v>0</v>
      </c>
      <c r="D50" s="69">
        <f>IF('Basis Hull'!E$11="",0,CUBIC('Basis Hull'!$D$13:$D$39,'Basis Hull'!$E$13:$E$39,$B50))</f>
        <v>0</v>
      </c>
      <c r="E50" s="69">
        <f>IF('Basis Hull'!G$11="",0,CUBIC('Basis Hull'!$F$13:$F$39,'Basis Hull'!$G$13:$G$39,$B50))</f>
        <v>0</v>
      </c>
      <c r="F50" s="69">
        <f>IF('Basis Hull'!I$11="",0,CUBIC('Basis Hull'!$H$13:$H$39,'Basis Hull'!$I$13:$I$39,$B50))</f>
        <v>0.1</v>
      </c>
      <c r="G50" s="69">
        <f>IF('Basis Hull'!K$11="",0,CUBIC('Basis Hull'!$J$13:$J$39,'Basis Hull'!$K$13:$K$39,$B50))</f>
        <v>0.18</v>
      </c>
      <c r="H50" s="69">
        <f>IF('Basis Hull'!M$11="",0,CUBIC('Basis Hull'!$L$13:$L$39,'Basis Hull'!$M$13:$M$39,$B50))</f>
        <v>0.22</v>
      </c>
      <c r="I50" s="69">
        <f>IF('Basis Hull'!O$11="",0,CUBIC('Basis Hull'!$N$13:$N$39,'Basis Hull'!$O$13:$O$39,$B50))</f>
        <v>0.22</v>
      </c>
      <c r="J50" s="69">
        <f>IF('Basis Hull'!Q$11="",0,CUBIC('Basis Hull'!$P$13:$P$39,'Basis Hull'!$Q$13:$Q$39,$B50))</f>
        <v>0.22</v>
      </c>
      <c r="K50" s="69">
        <f>IF('Basis Hull'!S$11="",0,CUBIC('Basis Hull'!$R$13:$R$39,'Basis Hull'!$S$13:$S$39,$B50))</f>
        <v>0.22</v>
      </c>
      <c r="L50" s="69">
        <f>IF('Basis Hull'!U$11="",0,CUBIC('Basis Hull'!$T$13:$T$39,'Basis Hull'!$U$13:$U$39,$B50))</f>
        <v>0.22</v>
      </c>
      <c r="M50" s="69">
        <f>IF('Basis Hull'!W$11="",0,CUBIC('Basis Hull'!$V$13:$V$39,'Basis Hull'!$W$13:$W$39,$B50))</f>
        <v>0.22</v>
      </c>
      <c r="N50" s="69">
        <f>IF('Basis Hull'!Y$11="",0,CUBIC('Basis Hull'!$X$13:$X$39,'Basis Hull'!$Y$13:$Y$39,$B50))</f>
        <v>0.22</v>
      </c>
      <c r="O50" s="69">
        <f>IF('Basis Hull'!AA$11="",0,CUBIC('Basis Hull'!$Z$13:$Z$39,'Basis Hull'!$AA$13:$AA$39,$B50))</f>
        <v>0.22</v>
      </c>
      <c r="P50" s="69">
        <f>IF('Basis Hull'!AC$11="",0,CUBIC('Basis Hull'!$AB$13:$AB$39,'Basis Hull'!$AC$13:$AC$39,$B50))</f>
        <v>0.22</v>
      </c>
      <c r="Q50" s="69">
        <f>IF('Basis Hull'!AE$11="",0,CUBIC('Basis Hull'!$AD$13:$AD$39,'Basis Hull'!$AE$13:$AE$39,$B50))</f>
        <v>0.22</v>
      </c>
      <c r="R50" s="69">
        <f>IF('Basis Hull'!AG$11="",0,CUBIC('Basis Hull'!$AF$13:$AF$39,'Basis Hull'!$AG$13:$AG$39,$B50))</f>
        <v>0.17</v>
      </c>
      <c r="S50" s="69">
        <f>IF('Basis Hull'!AI$11="",0,CUBIC('Basis Hull'!$AH$13:$AH$39,'Basis Hull'!$AI$13:$AI$39,$B50))</f>
        <v>0.13</v>
      </c>
      <c r="T50" s="69">
        <f>IF('Basis Hull'!AK$11="",0,CUBIC('Basis Hull'!$AJ$13:$AJ$39,'Basis Hull'!$AK$13:$AK$39,$B50))</f>
        <v>0.03</v>
      </c>
      <c r="U50" s="69">
        <f>IF('Basis Hull'!AM$11="",0,CUBIC('Basis Hull'!$AL$13:$AL$39,'Basis Hull'!$AM$13:$AM$39,$B50))</f>
        <v>0</v>
      </c>
      <c r="V50" s="69">
        <f>IF('Basis Hull'!AO$11="",0,CUBIC('Basis Hull'!$AN$13:$AN$39,'Basis Hull'!$AO$13:$AO$39,$B50))</f>
        <v>0</v>
      </c>
      <c r="W50" s="69">
        <f>IF('Basis Hull'!AQ$11="",0,CUBIC('Basis Hull'!$AP$13:$AP$39,'Basis Hull'!$AQ$13:$AQ$39,$B50))</f>
        <v>0</v>
      </c>
    </row>
    <row r="51" spans="1:25" x14ac:dyDescent="0.2">
      <c r="A51" s="80">
        <f t="shared" si="2"/>
        <v>5</v>
      </c>
      <c r="B51" s="81">
        <f>'Basis Hull'!$E$7*'Basis Hull'!A51/'Basis Hull'!$A$70</f>
        <v>0.5</v>
      </c>
      <c r="C51" s="77">
        <f>IF('Basis Hull'!C$11="",0,CUBIC('Basis Hull'!B$13:B$39,'Basis Hull'!C$13:C$39,B51))</f>
        <v>6.2338082901554413E-4</v>
      </c>
      <c r="D51" s="69">
        <f>IF('Basis Hull'!E$11="",0,CUBIC('Basis Hull'!$D$13:$D$39,'Basis Hull'!$E$13:$E$39,$B51))</f>
        <v>5.1774469054261833E-3</v>
      </c>
      <c r="E51" s="69">
        <f>IF('Basis Hull'!G$11="",0,CUBIC('Basis Hull'!$F$13:$F$39,'Basis Hull'!$G$13:$G$39,$B51))</f>
        <v>1.4561974214257246E-2</v>
      </c>
      <c r="F51" s="69">
        <f>IF('Basis Hull'!I$11="",0,CUBIC('Basis Hull'!$H$13:$H$39,'Basis Hull'!$I$13:$I$39,$B51))</f>
        <v>0.19717144707623982</v>
      </c>
      <c r="G51" s="69">
        <f>IF('Basis Hull'!K$11="",0,CUBIC('Basis Hull'!$J$13:$J$39,'Basis Hull'!$K$13:$K$39,$B51))</f>
        <v>0.36462984327848319</v>
      </c>
      <c r="H51" s="69">
        <f>IF('Basis Hull'!M$11="",0,CUBIC('Basis Hull'!$L$13:$L$39,'Basis Hull'!$M$13:$M$39,$B51))</f>
        <v>0.461166475687525</v>
      </c>
      <c r="I51" s="69">
        <f>IF('Basis Hull'!O$11="",0,CUBIC('Basis Hull'!$N$13:$N$39,'Basis Hull'!$O$13:$O$39,$B51))</f>
        <v>0.57290386038831642</v>
      </c>
      <c r="J51" s="69">
        <f>IF('Basis Hull'!Q$11="",0,CUBIC('Basis Hull'!$P$13:$P$39,'Basis Hull'!$Q$13:$Q$39,$B51))</f>
        <v>0.57290386038831642</v>
      </c>
      <c r="K51" s="69">
        <f>IF('Basis Hull'!S$11="",0,CUBIC('Basis Hull'!$R$13:$R$39,'Basis Hull'!$S$13:$S$39,$B51))</f>
        <v>0.57290386038831642</v>
      </c>
      <c r="L51" s="69">
        <f>IF('Basis Hull'!U$11="",0,CUBIC('Basis Hull'!$T$13:$T$39,'Basis Hull'!$U$13:$U$39,$B51))</f>
        <v>0.57290386038831642</v>
      </c>
      <c r="M51" s="69">
        <f>IF('Basis Hull'!W$11="",0,CUBIC('Basis Hull'!$V$13:$V$39,'Basis Hull'!$W$13:$W$39,$B51))</f>
        <v>0.57290386038831642</v>
      </c>
      <c r="N51" s="69">
        <f>IF('Basis Hull'!Y$11="",0,CUBIC('Basis Hull'!$X$13:$X$39,'Basis Hull'!$Y$13:$Y$39,$B51))</f>
        <v>0.57290386038831642</v>
      </c>
      <c r="O51" s="69">
        <f>IF('Basis Hull'!AA$11="",0,CUBIC('Basis Hull'!$Z$13:$Z$39,'Basis Hull'!$AA$13:$AA$39,$B51))</f>
        <v>0.57290386038831642</v>
      </c>
      <c r="P51" s="69">
        <f>IF('Basis Hull'!AC$11="",0,CUBIC('Basis Hull'!$AB$13:$AB$39,'Basis Hull'!$AC$13:$AC$39,$B51))</f>
        <v>0.57290386038831642</v>
      </c>
      <c r="Q51" s="69">
        <f>IF('Basis Hull'!AE$11="",0,CUBIC('Basis Hull'!$AD$13:$AD$39,'Basis Hull'!$AE$13:$AE$39,$B51))</f>
        <v>0.54415473580823326</v>
      </c>
      <c r="R51" s="69">
        <f>IF('Basis Hull'!AG$11="",0,CUBIC('Basis Hull'!$AF$13:$AF$39,'Basis Hull'!$AG$13:$AG$39,$B51))</f>
        <v>0.41184697232819001</v>
      </c>
      <c r="S51" s="69">
        <f>IF('Basis Hull'!AI$11="",0,CUBIC('Basis Hull'!$AH$13:$AH$39,'Basis Hull'!$AI$13:$AI$39,$B51))</f>
        <v>0.26152941019472759</v>
      </c>
      <c r="T51" s="69">
        <f>IF('Basis Hull'!AK$11="",0,CUBIC('Basis Hull'!$AJ$13:$AJ$39,'Basis Hull'!$AK$13:$AK$39,$B51))</f>
        <v>0.10511642995928944</v>
      </c>
      <c r="U51" s="69">
        <f>IF('Basis Hull'!AM$11="",0,CUBIC('Basis Hull'!$AL$13:$AL$39,'Basis Hull'!$AM$13:$AM$39,$B51))</f>
        <v>2.3135857342139729E-2</v>
      </c>
      <c r="V51" s="69">
        <f>IF('Basis Hull'!AO$11="",0,CUBIC('Basis Hull'!$AN$13:$AN$39,'Basis Hull'!$AO$13:$AO$39,$B51))</f>
        <v>-5.8260565535500778E-3</v>
      </c>
      <c r="W51" s="69">
        <f>IF('Basis Hull'!AQ$11="",0,CUBIC('Basis Hull'!$AP$13:$AP$39,'Basis Hull'!$AQ$13:$AQ$39,$B51))</f>
        <v>0</v>
      </c>
    </row>
    <row r="52" spans="1:25" x14ac:dyDescent="0.2">
      <c r="A52" s="80">
        <f t="shared" si="2"/>
        <v>6</v>
      </c>
      <c r="B52" s="81">
        <f>'Basis Hull'!$E$7*'Basis Hull'!A52/'Basis Hull'!$A$70</f>
        <v>0.6</v>
      </c>
      <c r="C52" s="77">
        <f>IF('Basis Hull'!C$11="",0,CUBIC('Basis Hull'!B$13:B$39,'Basis Hull'!C$13:C$39,B52))</f>
        <v>0</v>
      </c>
      <c r="D52" s="69">
        <f>IF('Basis Hull'!E$11="",0,CUBIC('Basis Hull'!$D$13:$D$39,'Basis Hull'!$E$13:$E$39,$B52))</f>
        <v>0</v>
      </c>
      <c r="E52" s="69">
        <f>IF('Basis Hull'!G$11="",0,CUBIC('Basis Hull'!$F$13:$F$39,'Basis Hull'!$G$13:$G$39,$B52))</f>
        <v>7.0000000000000007E-2</v>
      </c>
      <c r="F52" s="69">
        <f>IF('Basis Hull'!I$11="",0,CUBIC('Basis Hull'!$H$13:$H$39,'Basis Hull'!$I$13:$I$39,$B52))</f>
        <v>0.35</v>
      </c>
      <c r="G52" s="69">
        <f>IF('Basis Hull'!K$11="",0,CUBIC('Basis Hull'!$J$13:$J$39,'Basis Hull'!$K$13:$K$39,$B52))</f>
        <v>0.62</v>
      </c>
      <c r="H52" s="69">
        <f>IF('Basis Hull'!M$11="",0,CUBIC('Basis Hull'!$L$13:$L$39,'Basis Hull'!$M$13:$M$39,$B52))</f>
        <v>0.78</v>
      </c>
      <c r="I52" s="69">
        <f>IF('Basis Hull'!O$11="",0,CUBIC('Basis Hull'!$N$13:$N$39,'Basis Hull'!$O$13:$O$39,$B52))</f>
        <v>0.98</v>
      </c>
      <c r="J52" s="69">
        <f>IF('Basis Hull'!Q$11="",0,CUBIC('Basis Hull'!$P$13:$P$39,'Basis Hull'!$Q$13:$Q$39,$B52))</f>
        <v>0.98</v>
      </c>
      <c r="K52" s="69">
        <f>IF('Basis Hull'!S$11="",0,CUBIC('Basis Hull'!$R$13:$R$39,'Basis Hull'!$S$13:$S$39,$B52))</f>
        <v>0.98</v>
      </c>
      <c r="L52" s="69">
        <f>IF('Basis Hull'!U$11="",0,CUBIC('Basis Hull'!$T$13:$T$39,'Basis Hull'!$U$13:$U$39,$B52))</f>
        <v>0.98</v>
      </c>
      <c r="M52" s="69">
        <f>IF('Basis Hull'!W$11="",0,CUBIC('Basis Hull'!$V$13:$V$39,'Basis Hull'!$W$13:$W$39,$B52))</f>
        <v>0.98</v>
      </c>
      <c r="N52" s="69">
        <f>IF('Basis Hull'!Y$11="",0,CUBIC('Basis Hull'!$X$13:$X$39,'Basis Hull'!$Y$13:$Y$39,$B52))</f>
        <v>0.98</v>
      </c>
      <c r="O52" s="69">
        <f>IF('Basis Hull'!AA$11="",0,CUBIC('Basis Hull'!$Z$13:$Z$39,'Basis Hull'!$AA$13:$AA$39,$B52))</f>
        <v>0.98</v>
      </c>
      <c r="P52" s="69">
        <f>IF('Basis Hull'!AC$11="",0,CUBIC('Basis Hull'!$AB$13:$AB$39,'Basis Hull'!$AC$13:$AC$39,$B52))</f>
        <v>0.98</v>
      </c>
      <c r="Q52" s="69">
        <f>IF('Basis Hull'!AE$11="",0,CUBIC('Basis Hull'!$AD$13:$AD$39,'Basis Hull'!$AE$13:$AE$39,$B52))</f>
        <v>0.92</v>
      </c>
      <c r="R52" s="69">
        <f>IF('Basis Hull'!AG$11="",0,CUBIC('Basis Hull'!$AF$13:$AF$39,'Basis Hull'!$AG$13:$AG$39,$B52))</f>
        <v>0.72</v>
      </c>
      <c r="S52" s="69">
        <f>IF('Basis Hull'!AI$11="",0,CUBIC('Basis Hull'!$AH$13:$AH$39,'Basis Hull'!$AI$13:$AI$39,$B52))</f>
        <v>0.45</v>
      </c>
      <c r="T52" s="69">
        <f>IF('Basis Hull'!AK$11="",0,CUBIC('Basis Hull'!$AJ$13:$AJ$39,'Basis Hull'!$AK$13:$AK$39,$B52))</f>
        <v>0.23</v>
      </c>
      <c r="U52" s="69">
        <f>IF('Basis Hull'!AM$11="",0,CUBIC('Basis Hull'!$AL$13:$AL$39,'Basis Hull'!$AM$13:$AM$39,$B52))</f>
        <v>0.08</v>
      </c>
      <c r="V52" s="69">
        <f>IF('Basis Hull'!AO$11="",0,CUBIC('Basis Hull'!$AN$13:$AN$39,'Basis Hull'!$AO$13:$AO$39,$B52))</f>
        <v>0</v>
      </c>
      <c r="W52" s="69">
        <f>IF('Basis Hull'!AQ$11="",0,CUBIC('Basis Hull'!$AP$13:$AP$39,'Basis Hull'!$AQ$13:$AQ$39,$B52))</f>
        <v>0</v>
      </c>
    </row>
    <row r="53" spans="1:25" x14ac:dyDescent="0.2">
      <c r="A53" s="80">
        <f t="shared" si="2"/>
        <v>7</v>
      </c>
      <c r="B53" s="81">
        <f>'Basis Hull'!$E$7*'Basis Hull'!A53/'Basis Hull'!$A$70</f>
        <v>0.70000000000000007</v>
      </c>
      <c r="C53" s="77">
        <f>IF('Basis Hull'!C$11="",0,CUBIC('Basis Hull'!B$13:B$39,'Basis Hull'!C$13:C$39,B53))</f>
        <v>-2.3235103626943012E-3</v>
      </c>
      <c r="D53" s="69">
        <f>IF('Basis Hull'!E$11="",0,CUBIC('Basis Hull'!$D$13:$D$39,'Basis Hull'!$E$13:$E$39,$B53))</f>
        <v>-1.92977566474976E-2</v>
      </c>
      <c r="E53" s="69">
        <f>IF('Basis Hull'!G$11="",0,CUBIC('Basis Hull'!$F$13:$F$39,'Basis Hull'!$G$13:$G$39,$B53))</f>
        <v>0.19208718701958682</v>
      </c>
      <c r="F53" s="69">
        <f>IF('Basis Hull'!I$11="",0,CUBIC('Basis Hull'!$H$13:$H$39,'Basis Hull'!$I$13:$I$39,$B53))</f>
        <v>0.57338369726128813</v>
      </c>
      <c r="G53" s="69">
        <f>IF('Basis Hull'!K$11="",0,CUBIC('Basis Hull'!$J$13:$J$39,'Basis Hull'!$K$13:$K$39,$B53))</f>
        <v>0.89376603868929017</v>
      </c>
      <c r="H53" s="69">
        <f>IF('Basis Hull'!M$11="",0,CUBIC('Basis Hull'!$L$13:$L$39,'Basis Hull'!$M$13:$M$39,$B53))</f>
        <v>1.0981522269828621</v>
      </c>
      <c r="I53" s="69">
        <f>IF('Basis Hull'!O$11="",0,CUBIC('Basis Hull'!$N$13:$N$39,'Basis Hull'!$O$13:$O$39,$B53))</f>
        <v>1.2598583385526392</v>
      </c>
      <c r="J53" s="69">
        <f>IF('Basis Hull'!Q$11="",0,CUBIC('Basis Hull'!$P$13:$P$39,'Basis Hull'!$Q$13:$Q$39,$B53))</f>
        <v>1.2598583385526392</v>
      </c>
      <c r="K53" s="69">
        <f>IF('Basis Hull'!S$11="",0,CUBIC('Basis Hull'!$R$13:$R$39,'Basis Hull'!$S$13:$S$39,$B53))</f>
        <v>1.2598583385526392</v>
      </c>
      <c r="L53" s="69">
        <f>IF('Basis Hull'!U$11="",0,CUBIC('Basis Hull'!$T$13:$T$39,'Basis Hull'!$U$13:$U$39,$B53))</f>
        <v>1.2598583385526392</v>
      </c>
      <c r="M53" s="69">
        <f>IF('Basis Hull'!W$11="",0,CUBIC('Basis Hull'!$V$13:$V$39,'Basis Hull'!$W$13:$W$39,$B53))</f>
        <v>1.2598583385526392</v>
      </c>
      <c r="N53" s="69">
        <f>IF('Basis Hull'!Y$11="",0,CUBIC('Basis Hull'!$X$13:$X$39,'Basis Hull'!$Y$13:$Y$39,$B53))</f>
        <v>1.2598583385526392</v>
      </c>
      <c r="O53" s="69">
        <f>IF('Basis Hull'!AA$11="",0,CUBIC('Basis Hull'!$Z$13:$Z$39,'Basis Hull'!$AA$13:$AA$39,$B53))</f>
        <v>1.2598583385526392</v>
      </c>
      <c r="P53" s="69">
        <f>IF('Basis Hull'!AC$11="",0,CUBIC('Basis Hull'!$AB$13:$AB$39,'Basis Hull'!$AC$13:$AC$39,$B53))</f>
        <v>1.2598583385526392</v>
      </c>
      <c r="Q53" s="69">
        <f>IF('Basis Hull'!AE$11="",0,CUBIC('Basis Hull'!$AD$13:$AD$39,'Basis Hull'!$AE$13:$AE$39,$B53))</f>
        <v>1.1878096210784039</v>
      </c>
      <c r="R53" s="69">
        <f>IF('Basis Hull'!AG$11="",0,CUBIC('Basis Hull'!$AF$13:$AF$39,'Basis Hull'!$AG$13:$AG$39,$B53))</f>
        <v>0.99447946677674681</v>
      </c>
      <c r="S53" s="69">
        <f>IF('Basis Hull'!AI$11="",0,CUBIC('Basis Hull'!$AH$13:$AH$39,'Basis Hull'!$AI$13:$AI$39,$B53))</f>
        <v>0.69191310745601575</v>
      </c>
      <c r="T53" s="69">
        <f>IF('Basis Hull'!AK$11="",0,CUBIC('Basis Hull'!$AJ$13:$AJ$39,'Basis Hull'!$AK$13:$AK$39,$B53))</f>
        <v>0.39467967015173971</v>
      </c>
      <c r="U53" s="69">
        <f>IF('Basis Hull'!AM$11="",0,CUBIC('Basis Hull'!$AL$13:$AL$39,'Basis Hull'!$AM$13:$AM$39,$B53))</f>
        <v>0.17853907717929751</v>
      </c>
      <c r="V53" s="69">
        <f>IF('Basis Hull'!AO$11="",0,CUBIC('Basis Hull'!$AN$13:$AN$39,'Basis Hull'!$AO$13:$AO$39,$B53))</f>
        <v>3.5465301699595803E-2</v>
      </c>
      <c r="W53" s="69">
        <f>IF('Basis Hull'!AQ$11="",0,CUBIC('Basis Hull'!$AP$13:$AP$39,'Basis Hull'!$AQ$13:$AQ$39,$B53))</f>
        <v>0</v>
      </c>
    </row>
    <row r="54" spans="1:25" x14ac:dyDescent="0.2">
      <c r="A54" s="80">
        <f t="shared" si="2"/>
        <v>8</v>
      </c>
      <c r="B54" s="81">
        <f>'Basis Hull'!$E$7*'Basis Hull'!A54/'Basis Hull'!$A$70</f>
        <v>0.79999999999999993</v>
      </c>
      <c r="C54" s="77">
        <f>IF('Basis Hull'!C$11="",0,CUBIC('Basis Hull'!B$13:B$39,'Basis Hull'!C$13:C$39,B54))</f>
        <v>0</v>
      </c>
      <c r="D54" s="69">
        <f>IF('Basis Hull'!E$11="",0,CUBIC('Basis Hull'!$D$13:$D$39,'Basis Hull'!$E$13:$E$39,$B54))</f>
        <v>0</v>
      </c>
      <c r="E54" s="69">
        <f>IF('Basis Hull'!G$11="",0,CUBIC('Basis Hull'!$F$13:$F$39,'Basis Hull'!$G$13:$G$39,$B54))</f>
        <v>0.38</v>
      </c>
      <c r="F54" s="69">
        <f>IF('Basis Hull'!I$11="",0,CUBIC('Basis Hull'!$H$13:$H$39,'Basis Hull'!$I$13:$I$39,$B54))</f>
        <v>0.83</v>
      </c>
      <c r="G54" s="69">
        <f>IF('Basis Hull'!K$11="",0,CUBIC('Basis Hull'!$J$13:$J$39,'Basis Hull'!$K$13:$K$39,$B54))</f>
        <v>1.1499999999999999</v>
      </c>
      <c r="H54" s="69">
        <f>IF('Basis Hull'!M$11="",0,CUBIC('Basis Hull'!$L$13:$L$39,'Basis Hull'!$M$13:$M$39,$B54))</f>
        <v>1.36</v>
      </c>
      <c r="I54" s="69">
        <f>IF('Basis Hull'!O$11="",0,CUBIC('Basis Hull'!$N$13:$N$39,'Basis Hull'!$O$13:$O$39,$B54))</f>
        <v>1.44</v>
      </c>
      <c r="J54" s="69">
        <f>IF('Basis Hull'!Q$11="",0,CUBIC('Basis Hull'!$P$13:$P$39,'Basis Hull'!$Q$13:$Q$39,$B54))</f>
        <v>1.44</v>
      </c>
      <c r="K54" s="69">
        <f>IF('Basis Hull'!S$11="",0,CUBIC('Basis Hull'!$R$13:$R$39,'Basis Hull'!$S$13:$S$39,$B54))</f>
        <v>1.44</v>
      </c>
      <c r="L54" s="69">
        <f>IF('Basis Hull'!U$11="",0,CUBIC('Basis Hull'!$T$13:$T$39,'Basis Hull'!$U$13:$U$39,$B54))</f>
        <v>1.44</v>
      </c>
      <c r="M54" s="69">
        <f>IF('Basis Hull'!W$11="",0,CUBIC('Basis Hull'!$V$13:$V$39,'Basis Hull'!$W$13:$W$39,$B54))</f>
        <v>1.44</v>
      </c>
      <c r="N54" s="69">
        <f>IF('Basis Hull'!Y$11="",0,CUBIC('Basis Hull'!$X$13:$X$39,'Basis Hull'!$Y$13:$Y$39,$B54))</f>
        <v>1.44</v>
      </c>
      <c r="O54" s="69">
        <f>IF('Basis Hull'!AA$11="",0,CUBIC('Basis Hull'!$Z$13:$Z$39,'Basis Hull'!$AA$13:$AA$39,$B54))</f>
        <v>1.44</v>
      </c>
      <c r="P54" s="69">
        <f>IF('Basis Hull'!AC$11="",0,CUBIC('Basis Hull'!$AB$13:$AB$39,'Basis Hull'!$AC$13:$AC$39,$B54))</f>
        <v>1.44</v>
      </c>
      <c r="Q54" s="69">
        <f>IF('Basis Hull'!AE$11="",0,CUBIC('Basis Hull'!$AD$13:$AD$39,'Basis Hull'!$AE$13:$AE$39,$B54))</f>
        <v>1.37</v>
      </c>
      <c r="R54" s="69">
        <f>IF('Basis Hull'!AG$11="",0,CUBIC('Basis Hull'!$AF$13:$AF$39,'Basis Hull'!$AG$13:$AG$39,$B54))</f>
        <v>1.21</v>
      </c>
      <c r="S54" s="69">
        <f>IF('Basis Hull'!AI$11="",0,CUBIC('Basis Hull'!$AH$13:$AH$39,'Basis Hull'!$AI$13:$AI$39,$B54))</f>
        <v>0.92</v>
      </c>
      <c r="T54" s="69">
        <f>IF('Basis Hull'!AK$11="",0,CUBIC('Basis Hull'!$AJ$13:$AJ$39,'Basis Hull'!$AK$13:$AK$39,$B54))</f>
        <v>0.56000000000000005</v>
      </c>
      <c r="U54" s="69">
        <f>IF('Basis Hull'!AM$11="",0,CUBIC('Basis Hull'!$AL$13:$AL$39,'Basis Hull'!$AM$13:$AM$39,$B54))</f>
        <v>0.3</v>
      </c>
      <c r="V54" s="69">
        <f>IF('Basis Hull'!AO$11="",0,CUBIC('Basis Hull'!$AN$13:$AN$39,'Basis Hull'!$AO$13:$AO$39,$B54))</f>
        <v>0.11</v>
      </c>
      <c r="W54" s="69">
        <f>IF('Basis Hull'!AQ$11="",0,CUBIC('Basis Hull'!$AP$13:$AP$39,'Basis Hull'!$AQ$13:$AQ$39,$B54))</f>
        <v>0</v>
      </c>
    </row>
    <row r="55" spans="1:25" x14ac:dyDescent="0.2">
      <c r="A55" s="80">
        <f t="shared" si="2"/>
        <v>9</v>
      </c>
      <c r="B55" s="81">
        <f>'Basis Hull'!$E$7*'Basis Hull'!A55/'Basis Hull'!$A$70</f>
        <v>0.89999999999999991</v>
      </c>
      <c r="C55" s="77">
        <f>IF('Basis Hull'!C$11="",0,CUBIC('Basis Hull'!B$13:B$39,'Basis Hull'!C$13:C$39,B55))</f>
        <v>8.6706606217616545E-3</v>
      </c>
      <c r="D55" s="69">
        <f>IF('Basis Hull'!E$11="",0,CUBIC('Basis Hull'!$D$13:$D$39,'Basis Hull'!$E$13:$E$39,$B55))</f>
        <v>0.10951357968456416</v>
      </c>
      <c r="E55" s="69">
        <f>IF('Basis Hull'!G$11="",0,CUBIC('Basis Hull'!$F$13:$F$39,'Basis Hull'!$G$13:$G$39,$B55))</f>
        <v>0.62083927770739622</v>
      </c>
      <c r="F55" s="69">
        <f>IF('Basis Hull'!I$11="",0,CUBIC('Basis Hull'!$H$13:$H$39,'Basis Hull'!$I$13:$I$39,$B55))</f>
        <v>1.0755437638786085</v>
      </c>
      <c r="G55" s="69">
        <f>IF('Basis Hull'!K$11="",0,CUBIC('Basis Hull'!$J$13:$J$39,'Basis Hull'!$K$13:$K$39,$B55))</f>
        <v>1.3628060019643566</v>
      </c>
      <c r="H55" s="69">
        <f>IF('Basis Hull'!M$11="",0,CUBIC('Basis Hull'!$L$13:$L$39,'Basis Hull'!$M$13:$M$39,$B55))</f>
        <v>1.5324746163810281</v>
      </c>
      <c r="I55" s="69">
        <f>IF('Basis Hull'!O$11="",0,CUBIC('Basis Hull'!$N$13:$N$39,'Basis Hull'!$O$13:$O$39,$B55))</f>
        <v>1.5864127854011274</v>
      </c>
      <c r="J55" s="69">
        <f>IF('Basis Hull'!Q$11="",0,CUBIC('Basis Hull'!$P$13:$P$39,'Basis Hull'!$Q$13:$Q$39,$B55))</f>
        <v>1.5864127854011274</v>
      </c>
      <c r="K55" s="69">
        <f>IF('Basis Hull'!S$11="",0,CUBIC('Basis Hull'!$R$13:$R$39,'Basis Hull'!$S$13:$S$39,$B55))</f>
        <v>1.5864127854011274</v>
      </c>
      <c r="L55" s="69">
        <f>IF('Basis Hull'!U$11="",0,CUBIC('Basis Hull'!$T$13:$T$39,'Basis Hull'!$U$13:$U$39,$B55))</f>
        <v>1.5864127854011274</v>
      </c>
      <c r="M55" s="69">
        <f>IF('Basis Hull'!W$11="",0,CUBIC('Basis Hull'!$V$13:$V$39,'Basis Hull'!$W$13:$W$39,$B55))</f>
        <v>1.5864127854011274</v>
      </c>
      <c r="N55" s="69">
        <f>IF('Basis Hull'!Y$11="",0,CUBIC('Basis Hull'!$X$13:$X$39,'Basis Hull'!$Y$13:$Y$39,$B55))</f>
        <v>1.5864127854011274</v>
      </c>
      <c r="O55" s="69">
        <f>IF('Basis Hull'!AA$11="",0,CUBIC('Basis Hull'!$Z$13:$Z$39,'Basis Hull'!$AA$13:$AA$39,$B55))</f>
        <v>1.5864127854011274</v>
      </c>
      <c r="P55" s="69">
        <f>IF('Basis Hull'!AC$11="",0,CUBIC('Basis Hull'!$AB$13:$AB$39,'Basis Hull'!$AC$13:$AC$39,$B55))</f>
        <v>1.5864127854011274</v>
      </c>
      <c r="Q55" s="69">
        <f>IF('Basis Hull'!AE$11="",0,CUBIC('Basis Hull'!$AD$13:$AD$39,'Basis Hull'!$AE$13:$AE$39,$B55))</f>
        <v>1.5221067798781529</v>
      </c>
      <c r="R55" s="69">
        <f>IF('Basis Hull'!AG$11="",0,CUBIC('Basis Hull'!$AF$13:$AF$39,'Basis Hull'!$AG$13:$AG$39,$B55))</f>
        <v>1.3652351605648239</v>
      </c>
      <c r="S55" s="69">
        <f>IF('Basis Hull'!AI$11="",0,CUBIC('Basis Hull'!$AH$13:$AH$39,'Basis Hull'!$AI$13:$AI$39,$B55))</f>
        <v>1.0733181599812105</v>
      </c>
      <c r="T55" s="69">
        <f>IF('Basis Hull'!AK$11="",0,CUBIC('Basis Hull'!$AJ$13:$AJ$39,'Basis Hull'!$AK$13:$AK$39,$B55))</f>
        <v>0.6899148894337529</v>
      </c>
      <c r="U55" s="69">
        <f>IF('Basis Hull'!AM$11="",0,CUBIC('Basis Hull'!$AL$13:$AL$39,'Basis Hull'!$AM$13:$AM$39,$B55))</f>
        <v>0.42145783394067077</v>
      </c>
      <c r="V55" s="69">
        <f>IF('Basis Hull'!AO$11="",0,CUBIC('Basis Hull'!$AN$13:$AN$39,'Basis Hull'!$AO$13:$AO$39,$B55))</f>
        <v>0.21771484975516708</v>
      </c>
      <c r="W55" s="69">
        <f>IF('Basis Hull'!AQ$11="",0,CUBIC('Basis Hull'!$AP$13:$AP$39,'Basis Hull'!$AQ$13:$AQ$39,$B55))</f>
        <v>0</v>
      </c>
    </row>
    <row r="56" spans="1:25" x14ac:dyDescent="0.2">
      <c r="A56" s="80">
        <f>A55+1</f>
        <v>10</v>
      </c>
      <c r="B56" s="81">
        <f>'Basis Hull'!$E$7*'Basis Hull'!A56/'Basis Hull'!$A$70</f>
        <v>1</v>
      </c>
      <c r="C56" s="77">
        <f>IF('Basis Hull'!C$11="",0,CUBIC('Basis Hull'!B$13:B$39,'Basis Hull'!C$13:C$39,B56))</f>
        <v>-3.0368147068222655E-17</v>
      </c>
      <c r="D56" s="69">
        <f>IF('Basis Hull'!E$11="",0,CUBIC('Basis Hull'!$D$13:$D$39,'Basis Hull'!$E$13:$E$39,$B56))</f>
        <v>0.30000000000000021</v>
      </c>
      <c r="E56" s="69">
        <f>IF('Basis Hull'!G$11="",0,CUBIC('Basis Hull'!$F$13:$F$39,'Basis Hull'!$G$13:$G$39,$B56))</f>
        <v>0.88000000000000034</v>
      </c>
      <c r="F56" s="69">
        <f>IF('Basis Hull'!I$11="",0,CUBIC('Basis Hull'!$H$13:$H$39,'Basis Hull'!$I$13:$I$39,$B56))</f>
        <v>1.2900000000000003</v>
      </c>
      <c r="G56" s="69">
        <f>IF('Basis Hull'!K$11="",0,CUBIC('Basis Hull'!$J$13:$J$39,'Basis Hull'!$K$13:$K$39,$B56))</f>
        <v>1.53</v>
      </c>
      <c r="H56" s="69">
        <f>IF('Basis Hull'!M$11="",0,CUBIC('Basis Hull'!$L$13:$L$39,'Basis Hull'!$M$13:$M$39,$B56))</f>
        <v>1.6500000000000001</v>
      </c>
      <c r="I56" s="69">
        <f>IF('Basis Hull'!O$11="",0,CUBIC('Basis Hull'!$N$13:$N$39,'Basis Hull'!$O$13:$O$39,$B56))</f>
        <v>1.7100000000000002</v>
      </c>
      <c r="J56" s="69">
        <f>IF('Basis Hull'!Q$11="",0,CUBIC('Basis Hull'!$P$13:$P$39,'Basis Hull'!$Q$13:$Q$39,$B56))</f>
        <v>1.7100000000000002</v>
      </c>
      <c r="K56" s="69">
        <f>IF('Basis Hull'!S$11="",0,CUBIC('Basis Hull'!$R$13:$R$39,'Basis Hull'!$S$13:$S$39,$B56))</f>
        <v>1.7100000000000002</v>
      </c>
      <c r="L56" s="69">
        <f>IF('Basis Hull'!U$11="",0,CUBIC('Basis Hull'!$T$13:$T$39,'Basis Hull'!$U$13:$U$39,$B56))</f>
        <v>1.7100000000000002</v>
      </c>
      <c r="M56" s="69">
        <f>IF('Basis Hull'!W$11="",0,CUBIC('Basis Hull'!$V$13:$V$39,'Basis Hull'!$W$13:$W$39,$B56))</f>
        <v>1.7100000000000002</v>
      </c>
      <c r="N56" s="69">
        <f>IF('Basis Hull'!Y$11="",0,CUBIC('Basis Hull'!$X$13:$X$39,'Basis Hull'!$Y$13:$Y$39,$B56))</f>
        <v>1.7100000000000002</v>
      </c>
      <c r="O56" s="69">
        <f>IF('Basis Hull'!AA$11="",0,CUBIC('Basis Hull'!$Z$13:$Z$39,'Basis Hull'!$AA$13:$AA$39,$B56))</f>
        <v>1.7100000000000002</v>
      </c>
      <c r="P56" s="69">
        <f>IF('Basis Hull'!AC$11="",0,CUBIC('Basis Hull'!$AB$13:$AB$39,'Basis Hull'!$AC$13:$AC$39,$B56))</f>
        <v>1.7100000000000002</v>
      </c>
      <c r="Q56" s="69">
        <f>IF('Basis Hull'!AE$11="",0,CUBIC('Basis Hull'!$AD$13:$AD$39,'Basis Hull'!$AE$13:$AE$39,$B56))</f>
        <v>1.6500000000000001</v>
      </c>
      <c r="R56" s="69">
        <f>IF('Basis Hull'!AG$11="",0,CUBIC('Basis Hull'!$AF$13:$AF$39,'Basis Hull'!$AG$13:$AG$39,$B56))</f>
        <v>1.48</v>
      </c>
      <c r="S56" s="69">
        <f>IF('Basis Hull'!AI$11="",0,CUBIC('Basis Hull'!$AH$13:$AH$39,'Basis Hull'!$AI$13:$AI$39,$B56))</f>
        <v>1.18</v>
      </c>
      <c r="T56" s="69">
        <f>IF('Basis Hull'!AK$11="",0,CUBIC('Basis Hull'!$AJ$13:$AJ$39,'Basis Hull'!$AK$13:$AK$39,$B56))</f>
        <v>0.79000000000000015</v>
      </c>
      <c r="U56" s="69">
        <f>IF('Basis Hull'!AM$11="",0,CUBIC('Basis Hull'!$AL$13:$AL$39,'Basis Hull'!$AM$13:$AM$39,$B56))</f>
        <v>0.53</v>
      </c>
      <c r="V56" s="69">
        <f>IF('Basis Hull'!AO$11="",0,CUBIC('Basis Hull'!$AN$13:$AN$39,'Basis Hull'!$AO$13:$AO$39,$B56))</f>
        <v>0.30000000000000004</v>
      </c>
      <c r="W56" s="69">
        <f>IF('Basis Hull'!AQ$11="",0,CUBIC('Basis Hull'!$AP$13:$AP$39,'Basis Hull'!$AQ$13:$AQ$39,$B56))</f>
        <v>0</v>
      </c>
    </row>
    <row r="57" spans="1:25" x14ac:dyDescent="0.2">
      <c r="A57" s="80">
        <f t="shared" si="2"/>
        <v>11</v>
      </c>
      <c r="B57" s="81">
        <f>'Basis Hull'!$E$7*'Basis Hull'!A57/'Basis Hull'!$A$70</f>
        <v>1.0999999999999999</v>
      </c>
      <c r="C57" s="77">
        <f>IF('Basis Hull'!C$11="",0,CUBIC('Basis Hull'!B$13:B$39,'Basis Hull'!C$13:C$39,B57))</f>
        <v>-2.8609132124352357E-2</v>
      </c>
      <c r="D57" s="69">
        <f>IF('Basis Hull'!E$11="",0,CUBIC('Basis Hull'!$D$13:$D$39,'Basis Hull'!$E$13:$E$39,$B57))</f>
        <v>0.54374343790924085</v>
      </c>
      <c r="E57" s="69">
        <f>IF('Basis Hull'!G$11="",0,CUBIC('Basis Hull'!$F$13:$F$39,'Basis Hull'!$G$13:$G$39,$B57))</f>
        <v>1.1208057021508284</v>
      </c>
      <c r="F57" s="69">
        <f>IF('Basis Hull'!I$11="",0,CUBIC('Basis Hull'!$H$13:$H$39,'Basis Hull'!$I$13:$I$39,$B57))</f>
        <v>1.4631912472242781</v>
      </c>
      <c r="G57" s="69">
        <f>IF('Basis Hull'!K$11="",0,CUBIC('Basis Hull'!$J$13:$J$39,'Basis Hull'!$K$13:$K$39,$B57))</f>
        <v>1.6575099534532824</v>
      </c>
      <c r="H57" s="69">
        <f>IF('Basis Hull'!M$11="",0,CUBIC('Basis Hull'!$L$13:$L$39,'Basis Hull'!$M$13:$M$39,$B57))</f>
        <v>1.754449307493025</v>
      </c>
      <c r="I57" s="69">
        <f>IF('Basis Hull'!O$11="",0,CUBIC('Basis Hull'!$N$13:$N$39,'Basis Hull'!$O$13:$O$39,$B57))</f>
        <v>1.8094905198428513</v>
      </c>
      <c r="J57" s="69">
        <f>IF('Basis Hull'!Q$11="",0,CUBIC('Basis Hull'!$P$13:$P$39,'Basis Hull'!$Q$13:$Q$39,$B57))</f>
        <v>1.8094905198428513</v>
      </c>
      <c r="K57" s="69">
        <f>IF('Basis Hull'!S$11="",0,CUBIC('Basis Hull'!$R$13:$R$39,'Basis Hull'!$S$13:$S$39,$B57))</f>
        <v>1.8094905198428513</v>
      </c>
      <c r="L57" s="69">
        <f>IF('Basis Hull'!U$11="",0,CUBIC('Basis Hull'!$T$13:$T$39,'Basis Hull'!$U$13:$U$39,$B57))</f>
        <v>1.8094905198428513</v>
      </c>
      <c r="M57" s="69">
        <f>IF('Basis Hull'!W$11="",0,CUBIC('Basis Hull'!$V$13:$V$39,'Basis Hull'!$W$13:$W$39,$B57))</f>
        <v>1.8094905198428513</v>
      </c>
      <c r="N57" s="69">
        <f>IF('Basis Hull'!Y$11="",0,CUBIC('Basis Hull'!$X$13:$X$39,'Basis Hull'!$Y$13:$Y$39,$B57))</f>
        <v>1.8094905198428513</v>
      </c>
      <c r="O57" s="69">
        <f>IF('Basis Hull'!AA$11="",0,CUBIC('Basis Hull'!$Z$13:$Z$39,'Basis Hull'!$AA$13:$AA$39,$B57))</f>
        <v>1.8094905198428513</v>
      </c>
      <c r="P57" s="69">
        <f>IF('Basis Hull'!AC$11="",0,CUBIC('Basis Hull'!$AB$13:$AB$39,'Basis Hull'!$AC$13:$AC$39,$B57))</f>
        <v>1.8094905198428513</v>
      </c>
      <c r="Q57" s="69">
        <f>IF('Basis Hull'!AE$11="",0,CUBIC('Basis Hull'!$AD$13:$AD$39,'Basis Hull'!$AE$13:$AE$39,$B57))</f>
        <v>1.7500132594089846</v>
      </c>
      <c r="R57" s="69">
        <f>IF('Basis Hull'!AG$11="",0,CUBIC('Basis Hull'!$AF$13:$AF$39,'Basis Hull'!$AG$13:$AG$39,$B57))</f>
        <v>1.5758298909639581</v>
      </c>
      <c r="S57" s="69">
        <f>IF('Basis Hull'!AI$11="",0,CUBIC('Basis Hull'!$AH$13:$AH$39,'Basis Hull'!$AI$13:$AI$39,$B57))</f>
        <v>1.2798142526191425</v>
      </c>
      <c r="T57" s="69">
        <f>IF('Basis Hull'!AK$11="",0,CUBIC('Basis Hull'!$AJ$13:$AJ$39,'Basis Hull'!$AK$13:$AK$39,$B57))</f>
        <v>0.87441077211324936</v>
      </c>
      <c r="U57" s="69">
        <f>IF('Basis Hull'!AM$11="",0,CUBIC('Basis Hull'!$AL$13:$AL$39,'Basis Hull'!$AM$13:$AM$39,$B57))</f>
        <v>0.61437958705801965</v>
      </c>
      <c r="V57" s="69">
        <f>IF('Basis Hull'!AO$11="",0,CUBIC('Basis Hull'!$AN$13:$AN$39,'Basis Hull'!$AO$13:$AO$39,$B57))</f>
        <v>0.30742529927973583</v>
      </c>
      <c r="W57" s="69">
        <f>IF('Basis Hull'!AQ$11="",0,CUBIC('Basis Hull'!$AP$13:$AP$39,'Basis Hull'!$AQ$13:$AQ$39,$B57))</f>
        <v>0</v>
      </c>
    </row>
    <row r="58" spans="1:25" x14ac:dyDescent="0.2">
      <c r="A58" s="80">
        <f t="shared" si="2"/>
        <v>12</v>
      </c>
      <c r="B58" s="81">
        <f>'Basis Hull'!$E$7*'Basis Hull'!A58/'Basis Hull'!$A$70</f>
        <v>1.2</v>
      </c>
      <c r="C58" s="77">
        <f>IF('Basis Hull'!C$11="",0,CUBIC('Basis Hull'!B$13:B$39,'Basis Hull'!C$13:C$39,B58))</f>
        <v>0.03</v>
      </c>
      <c r="D58" s="69">
        <f>IF('Basis Hull'!E$11="",0,CUBIC('Basis Hull'!$D$13:$D$39,'Basis Hull'!$E$13:$E$39,$B58))</f>
        <v>0.8</v>
      </c>
      <c r="E58" s="69">
        <f>IF('Basis Hull'!G$11="",0,CUBIC('Basis Hull'!$F$13:$F$39,'Basis Hull'!$G$13:$G$39,$B58))</f>
        <v>1.32</v>
      </c>
      <c r="F58" s="69">
        <f>IF('Basis Hull'!I$11="",0,CUBIC('Basis Hull'!$H$13:$H$39,'Basis Hull'!$I$13:$I$39,$B58))</f>
        <v>1.6</v>
      </c>
      <c r="G58" s="69">
        <f>IF('Basis Hull'!K$11="",0,CUBIC('Basis Hull'!$J$13:$J$39,'Basis Hull'!$K$13:$K$39,$B58))</f>
        <v>1.76</v>
      </c>
      <c r="H58" s="69">
        <f>IF('Basis Hull'!M$11="",0,CUBIC('Basis Hull'!$L$13:$L$39,'Basis Hull'!$M$13:$M$39,$B58))</f>
        <v>1.85</v>
      </c>
      <c r="I58" s="69">
        <f>IF('Basis Hull'!O$11="",0,CUBIC('Basis Hull'!$N$13:$N$39,'Basis Hull'!$O$13:$O$39,$B58))</f>
        <v>1.89</v>
      </c>
      <c r="J58" s="69">
        <f>IF('Basis Hull'!Q$11="",0,CUBIC('Basis Hull'!$P$13:$P$39,'Basis Hull'!$Q$13:$Q$39,$B58))</f>
        <v>1.89</v>
      </c>
      <c r="K58" s="69">
        <f>IF('Basis Hull'!S$11="",0,CUBIC('Basis Hull'!$R$13:$R$39,'Basis Hull'!$S$13:$S$39,$B58))</f>
        <v>1.89</v>
      </c>
      <c r="L58" s="69">
        <f>IF('Basis Hull'!U$11="",0,CUBIC('Basis Hull'!$T$13:$T$39,'Basis Hull'!$U$13:$U$39,$B58))</f>
        <v>1.89</v>
      </c>
      <c r="M58" s="69">
        <f>IF('Basis Hull'!W$11="",0,CUBIC('Basis Hull'!$V$13:$V$39,'Basis Hull'!$W$13:$W$39,$B58))</f>
        <v>1.89</v>
      </c>
      <c r="N58" s="69">
        <f>IF('Basis Hull'!Y$11="",0,CUBIC('Basis Hull'!$X$13:$X$39,'Basis Hull'!$Y$13:$Y$39,$B58))</f>
        <v>1.89</v>
      </c>
      <c r="O58" s="69">
        <f>IF('Basis Hull'!AA$11="",0,CUBIC('Basis Hull'!$Z$13:$Z$39,'Basis Hull'!$AA$13:$AA$39,$B58))</f>
        <v>1.89</v>
      </c>
      <c r="P58" s="69">
        <f>IF('Basis Hull'!AC$11="",0,CUBIC('Basis Hull'!$AB$13:$AB$39,'Basis Hull'!$AC$13:$AC$39,$B58))</f>
        <v>1.89</v>
      </c>
      <c r="Q58" s="69">
        <f>IF('Basis Hull'!AE$11="",0,CUBIC('Basis Hull'!$AD$13:$AD$39,'Basis Hull'!$AE$13:$AE$39,$B58))</f>
        <v>1.83</v>
      </c>
      <c r="R58" s="69">
        <f>IF('Basis Hull'!AG$11="",0,CUBIC('Basis Hull'!$AF$13:$AF$39,'Basis Hull'!$AG$13:$AG$39,$B58))</f>
        <v>1.66</v>
      </c>
      <c r="S58" s="69">
        <f>IF('Basis Hull'!AI$11="",0,CUBIC('Basis Hull'!$AH$13:$AH$39,'Basis Hull'!$AI$13:$AI$39,$B58))</f>
        <v>1.37</v>
      </c>
      <c r="T58" s="69">
        <f>IF('Basis Hull'!AK$11="",0,CUBIC('Basis Hull'!$AJ$13:$AJ$39,'Basis Hull'!$AK$13:$AK$39,$B58))</f>
        <v>0.95</v>
      </c>
      <c r="U58" s="69">
        <f>IF('Basis Hull'!AM$11="",0,CUBIC('Basis Hull'!$AL$13:$AL$39,'Basis Hull'!$AM$13:$AM$39,$B58))</f>
        <v>0.66</v>
      </c>
      <c r="V58" s="69">
        <f>IF('Basis Hull'!AO$11="",0,CUBIC('Basis Hull'!$AN$13:$AN$39,'Basis Hull'!$AO$13:$AO$39,$B58))</f>
        <v>0.28000000000000003</v>
      </c>
      <c r="W58" s="69">
        <f>IF('Basis Hull'!AQ$11="",0,CUBIC('Basis Hull'!$AP$13:$AP$39,'Basis Hull'!$AQ$13:$AQ$39,$B58))</f>
        <v>0</v>
      </c>
    </row>
    <row r="59" spans="1:25" x14ac:dyDescent="0.2">
      <c r="A59" s="80">
        <f t="shared" si="2"/>
        <v>13</v>
      </c>
      <c r="B59" s="81">
        <f>'Basis Hull'!$E$7*'Basis Hull'!A59/'Basis Hull'!$A$70</f>
        <v>1.3</v>
      </c>
      <c r="C59" s="77">
        <f>IF('Basis Hull'!C$11="",0,CUBIC('Basis Hull'!B$13:B$39,'Basis Hull'!C$13:C$39,B59))</f>
        <v>0.26326586787564799</v>
      </c>
      <c r="D59" s="69">
        <f>IF('Basis Hull'!E$11="",0,CUBIC('Basis Hull'!$D$13:$D$39,'Basis Hull'!$E$13:$E$39,$B59))</f>
        <v>1.030512668678472</v>
      </c>
      <c r="E59" s="69">
        <f>IF('Basis Hull'!G$11="",0,CUBIC('Basis Hull'!$F$13:$F$39,'Basis Hull'!$G$13:$G$39,$B59))</f>
        <v>1.4659379136892901</v>
      </c>
      <c r="F59" s="69">
        <f>IF('Basis Hull'!I$11="",0,CUBIC('Basis Hull'!$H$13:$H$39,'Basis Hull'!$I$13:$I$39,$B59))</f>
        <v>1.7091912472242785</v>
      </c>
      <c r="G59" s="69">
        <f>IF('Basis Hull'!K$11="",0,CUBIC('Basis Hull'!$J$13:$J$39,'Basis Hull'!$K$13:$K$39,$B59))</f>
        <v>1.8509041842225133</v>
      </c>
      <c r="H59" s="69">
        <f>IF('Basis Hull'!M$11="",0,CUBIC('Basis Hull'!$L$13:$L$39,'Basis Hull'!$M$13:$M$39,$B59))</f>
        <v>1.9322281536468715</v>
      </c>
      <c r="I59" s="69">
        <f>IF('Basis Hull'!O$11="",0,CUBIC('Basis Hull'!$N$13:$N$39,'Basis Hull'!$O$13:$O$39,$B59))</f>
        <v>1.9581251352274669</v>
      </c>
      <c r="J59" s="69">
        <f>IF('Basis Hull'!Q$11="",0,CUBIC('Basis Hull'!$P$13:$P$39,'Basis Hull'!$Q$13:$Q$39,$B59))</f>
        <v>1.9581251352274669</v>
      </c>
      <c r="K59" s="69">
        <f>IF('Basis Hull'!S$11="",0,CUBIC('Basis Hull'!$R$13:$R$39,'Basis Hull'!$S$13:$S$39,$B59))</f>
        <v>1.9581251352274669</v>
      </c>
      <c r="L59" s="69">
        <f>IF('Basis Hull'!U$11="",0,CUBIC('Basis Hull'!$T$13:$T$39,'Basis Hull'!$U$13:$U$39,$B59))</f>
        <v>1.9581251352274669</v>
      </c>
      <c r="M59" s="69">
        <f>IF('Basis Hull'!W$11="",0,CUBIC('Basis Hull'!$V$13:$V$39,'Basis Hull'!$W$13:$W$39,$B59))</f>
        <v>1.9581251352274669</v>
      </c>
      <c r="N59" s="69">
        <f>IF('Basis Hull'!Y$11="",0,CUBIC('Basis Hull'!$X$13:$X$39,'Basis Hull'!$Y$13:$Y$39,$B59))</f>
        <v>1.9581251352274669</v>
      </c>
      <c r="O59" s="69">
        <f>IF('Basis Hull'!AA$11="",0,CUBIC('Basis Hull'!$Z$13:$Z$39,'Basis Hull'!$AA$13:$AA$39,$B59))</f>
        <v>1.9581251352274669</v>
      </c>
      <c r="P59" s="69">
        <f>IF('Basis Hull'!AC$11="",0,CUBIC('Basis Hull'!$AB$13:$AB$39,'Basis Hull'!$AC$13:$AC$39,$B59))</f>
        <v>1.9581251352274669</v>
      </c>
      <c r="Q59" s="69">
        <f>IF('Basis Hull'!AE$11="",0,CUBIC('Basis Hull'!$AD$13:$AD$39,'Basis Hull'!$AE$13:$AE$39,$B59))</f>
        <v>1.8990901824859079</v>
      </c>
      <c r="R59" s="69">
        <f>IF('Basis Hull'!AG$11="",0,CUBIC('Basis Hull'!$AF$13:$AF$39,'Basis Hull'!$AG$13:$AG$39,$B59))</f>
        <v>1.7351952755793429</v>
      </c>
      <c r="S59" s="69">
        <f>IF('Basis Hull'!AI$11="",0,CUBIC('Basis Hull'!$AH$13:$AH$39,'Basis Hull'!$AI$13:$AI$39,$B59))</f>
        <v>1.4411748295422195</v>
      </c>
      <c r="T59" s="69">
        <f>IF('Basis Hull'!AK$11="",0,CUBIC('Basis Hull'!$AJ$13:$AJ$39,'Basis Hull'!$AK$13:$AK$39,$B59))</f>
        <v>1.0199420221132496</v>
      </c>
      <c r="U59" s="69">
        <f>IF('Basis Hull'!AM$11="",0,CUBIC('Basis Hull'!$AL$13:$AL$39,'Basis Hull'!$AM$13:$AM$39,$B59))</f>
        <v>0.65977381782725031</v>
      </c>
      <c r="V59" s="69">
        <f>IF('Basis Hull'!AO$11="",0,CUBIC('Basis Hull'!$AN$13:$AN$39,'Basis Hull'!$AO$13:$AO$39,$B59))</f>
        <v>0.2663339531258897</v>
      </c>
      <c r="W59" s="69">
        <f>IF('Basis Hull'!AQ$11="",0,CUBIC('Basis Hull'!$AP$13:$AP$39,'Basis Hull'!$AQ$13:$AQ$39,$B59))</f>
        <v>0</v>
      </c>
    </row>
    <row r="60" spans="1:25" x14ac:dyDescent="0.2">
      <c r="A60" s="80">
        <f t="shared" si="2"/>
        <v>14</v>
      </c>
      <c r="B60" s="81">
        <f>'Basis Hull'!$E$7*'Basis Hull'!A60/'Basis Hull'!$A$70</f>
        <v>1.4000000000000001</v>
      </c>
      <c r="C60" s="77">
        <f>IF('Basis Hull'!C$11="",0,CUBIC('Basis Hull'!B$13:B$39,'Basis Hull'!C$13:C$39,B60))</f>
        <v>0.57000000000000051</v>
      </c>
      <c r="D60" s="69">
        <f>IF('Basis Hull'!E$11="",0,CUBIC('Basis Hull'!$D$13:$D$39,'Basis Hull'!$E$13:$E$39,$B60))</f>
        <v>1.2200000000000002</v>
      </c>
      <c r="E60" s="69">
        <f>IF('Basis Hull'!G$11="",0,CUBIC('Basis Hull'!$F$13:$F$39,'Basis Hull'!$G$13:$G$39,$B60))</f>
        <v>1.5800000000000003</v>
      </c>
      <c r="F60" s="69">
        <f>IF('Basis Hull'!I$11="",0,CUBIC('Basis Hull'!$H$13:$H$39,'Basis Hull'!$I$13:$I$39,$B60))</f>
        <v>1.8000000000000003</v>
      </c>
      <c r="G60" s="69">
        <f>IF('Basis Hull'!K$11="",0,CUBIC('Basis Hull'!$J$13:$J$39,'Basis Hull'!$K$13:$K$39,$B60))</f>
        <v>1.93</v>
      </c>
      <c r="H60" s="69">
        <f>IF('Basis Hull'!M$11="",0,CUBIC('Basis Hull'!$L$13:$L$39,'Basis Hull'!$M$13:$M$39,$B60))</f>
        <v>2</v>
      </c>
      <c r="I60" s="69">
        <f>IF('Basis Hull'!O$11="",0,CUBIC('Basis Hull'!$N$13:$N$39,'Basis Hull'!$O$13:$O$39,$B60))</f>
        <v>2.02</v>
      </c>
      <c r="J60" s="69">
        <f>IF('Basis Hull'!Q$11="",0,CUBIC('Basis Hull'!$P$13:$P$39,'Basis Hull'!$Q$13:$Q$39,$B60))</f>
        <v>2.02</v>
      </c>
      <c r="K60" s="69">
        <f>IF('Basis Hull'!S$11="",0,CUBIC('Basis Hull'!$R$13:$R$39,'Basis Hull'!$S$13:$S$39,$B60))</f>
        <v>2.02</v>
      </c>
      <c r="L60" s="69">
        <f>IF('Basis Hull'!U$11="",0,CUBIC('Basis Hull'!$T$13:$T$39,'Basis Hull'!$U$13:$U$39,$B60))</f>
        <v>2.02</v>
      </c>
      <c r="M60" s="69">
        <f>IF('Basis Hull'!W$11="",0,CUBIC('Basis Hull'!$V$13:$V$39,'Basis Hull'!$W$13:$W$39,$B60))</f>
        <v>2.02</v>
      </c>
      <c r="N60" s="69">
        <f>IF('Basis Hull'!Y$11="",0,CUBIC('Basis Hull'!$X$13:$X$39,'Basis Hull'!$Y$13:$Y$39,$B60))</f>
        <v>2.02</v>
      </c>
      <c r="O60" s="69">
        <f>IF('Basis Hull'!AA$11="",0,CUBIC('Basis Hull'!$Z$13:$Z$39,'Basis Hull'!$AA$13:$AA$39,$B60))</f>
        <v>2.02</v>
      </c>
      <c r="P60" s="69">
        <f>IF('Basis Hull'!AC$11="",0,CUBIC('Basis Hull'!$AB$13:$AB$39,'Basis Hull'!$AC$13:$AC$39,$B60))</f>
        <v>2.02</v>
      </c>
      <c r="Q60" s="69">
        <f>IF('Basis Hull'!AE$11="",0,CUBIC('Basis Hull'!$AD$13:$AD$39,'Basis Hull'!$AE$13:$AE$39,$B60))</f>
        <v>1.96</v>
      </c>
      <c r="R60" s="69">
        <f>IF('Basis Hull'!AG$11="",0,CUBIC('Basis Hull'!$AF$13:$AF$39,'Basis Hull'!$AG$13:$AG$39,$B60))</f>
        <v>1.8000000000000003</v>
      </c>
      <c r="S60" s="69">
        <f>IF('Basis Hull'!AI$11="",0,CUBIC('Basis Hull'!$AH$13:$AH$39,'Basis Hull'!$AI$13:$AI$39,$B60))</f>
        <v>1.5</v>
      </c>
      <c r="T60" s="69">
        <f>IF('Basis Hull'!AK$11="",0,CUBIC('Basis Hull'!$AJ$13:$AJ$39,'Basis Hull'!$AK$13:$AK$39,$B60))</f>
        <v>1.0800000000000003</v>
      </c>
      <c r="U60" s="69">
        <f>IF('Basis Hull'!AM$11="",0,CUBIC('Basis Hull'!$AL$13:$AL$39,'Basis Hull'!$AM$13:$AM$39,$B60))</f>
        <v>0.64</v>
      </c>
      <c r="V60" s="69">
        <f>IF('Basis Hull'!AO$11="",0,CUBIC('Basis Hull'!$AN$13:$AN$39,'Basis Hull'!$AO$13:$AO$39,$B60))</f>
        <v>0.26</v>
      </c>
      <c r="W60" s="69">
        <f>IF('Basis Hull'!AQ$11="",0,CUBIC('Basis Hull'!$AP$13:$AP$39,'Basis Hull'!$AQ$13:$AQ$39,$B60))</f>
        <v>0</v>
      </c>
    </row>
    <row r="61" spans="1:25" x14ac:dyDescent="0.2">
      <c r="A61" s="80">
        <f t="shared" si="2"/>
        <v>15</v>
      </c>
      <c r="B61" s="81">
        <f>'Basis Hull'!$E$7*'Basis Hull'!A61/'Basis Hull'!$A$70</f>
        <v>1.5</v>
      </c>
      <c r="C61" s="77">
        <f>IF('Basis Hull'!C$11="",0,CUBIC('Basis Hull'!B$13:B$39,'Basis Hull'!C$13:C$39,B61))</f>
        <v>0.82742066062176189</v>
      </c>
      <c r="D61" s="69">
        <f>IF('Basis Hull'!E$11="",0,CUBIC('Basis Hull'!$D$13:$D$39,'Basis Hull'!$E$13:$E$39,$B61))</f>
        <v>1.3642058873768719</v>
      </c>
      <c r="E61" s="69">
        <f>IF('Basis Hull'!G$11="",0,CUBIC('Basis Hull'!$F$13:$F$39,'Basis Hull'!$G$13:$G$39,$B61))</f>
        <v>1.6854426430920117</v>
      </c>
      <c r="F61" s="69">
        <f>IF('Basis Hull'!I$11="",0,CUBIC('Basis Hull'!$H$13:$H$39,'Basis Hull'!$I$13:$I$39,$B61))</f>
        <v>1.8800437638786085</v>
      </c>
      <c r="G61" s="69">
        <f>IF('Basis Hull'!K$11="",0,CUBIC('Basis Hull'!$J$13:$J$39,'Basis Hull'!$K$13:$K$39,$B61))</f>
        <v>1.9951233096566643</v>
      </c>
      <c r="H61" s="69">
        <f>IF('Basis Hull'!M$11="",0,CUBIC('Basis Hull'!$L$13:$L$39,'Basis Hull'!$M$13:$M$39,$B61))</f>
        <v>2.0541380779194895</v>
      </c>
      <c r="I61" s="69">
        <f>IF('Basis Hull'!O$11="",0,CUBIC('Basis Hull'!$N$13:$N$39,'Basis Hull'!$O$13:$O$39,$B61))</f>
        <v>2.0792589392472816</v>
      </c>
      <c r="J61" s="69">
        <f>IF('Basis Hull'!Q$11="",0,CUBIC('Basis Hull'!$P$13:$P$39,'Basis Hull'!$Q$13:$Q$39,$B61))</f>
        <v>2.0792589392472816</v>
      </c>
      <c r="K61" s="69">
        <f>IF('Basis Hull'!S$11="",0,CUBIC('Basis Hull'!$R$13:$R$39,'Basis Hull'!$S$13:$S$39,$B61))</f>
        <v>2.0792589392472816</v>
      </c>
      <c r="L61" s="69">
        <f>IF('Basis Hull'!U$11="",0,CUBIC('Basis Hull'!$T$13:$T$39,'Basis Hull'!$U$13:$U$39,$B61))</f>
        <v>2.0792589392472816</v>
      </c>
      <c r="M61" s="69">
        <f>IF('Basis Hull'!W$11="",0,CUBIC('Basis Hull'!$V$13:$V$39,'Basis Hull'!$W$13:$W$39,$B61))</f>
        <v>2.0792589392472816</v>
      </c>
      <c r="N61" s="69">
        <f>IF('Basis Hull'!Y$11="",0,CUBIC('Basis Hull'!$X$13:$X$39,'Basis Hull'!$Y$13:$Y$39,$B61))</f>
        <v>2.0792589392472816</v>
      </c>
      <c r="O61" s="69">
        <f>IF('Basis Hull'!AA$11="",0,CUBIC('Basis Hull'!$Z$13:$Z$39,'Basis Hull'!$AA$13:$AA$39,$B61))</f>
        <v>2.0792589392472816</v>
      </c>
      <c r="P61" s="69">
        <f>IF('Basis Hull'!AC$11="",0,CUBIC('Basis Hull'!$AB$13:$AB$39,'Basis Hull'!$AC$13:$AC$39,$B61))</f>
        <v>2.0792589392472816</v>
      </c>
      <c r="Q61" s="69">
        <f>IF('Basis Hull'!AE$11="",0,CUBIC('Basis Hull'!$AD$13:$AD$39,'Basis Hull'!$AE$13:$AE$39,$B61))</f>
        <v>2.0136260106473833</v>
      </c>
      <c r="R61" s="69">
        <f>IF('Basis Hull'!AG$11="",0,CUBIC('Basis Hull'!$AF$13:$AF$39,'Basis Hull'!$AG$13:$AG$39,$B61))</f>
        <v>1.85338900671867</v>
      </c>
      <c r="S61" s="69">
        <f>IF('Basis Hull'!AI$11="",0,CUBIC('Basis Hull'!$AH$13:$AH$39,'Basis Hull'!$AI$13:$AI$39,$B61))</f>
        <v>1.5542364292119797</v>
      </c>
      <c r="T61" s="69">
        <f>IF('Basis Hull'!AK$11="",0,CUBIC('Basis Hull'!$AJ$13:$AJ$39,'Basis Hull'!$AK$13:$AK$39,$B61))</f>
        <v>1.1258211394337529</v>
      </c>
      <c r="U61" s="69">
        <f>IF('Basis Hull'!AM$11="",0,CUBIC('Basis Hull'!$AL$13:$AL$39,'Basis Hull'!$AM$13:$AM$39,$B61))</f>
        <v>0.6290251416329784</v>
      </c>
      <c r="V61" s="69">
        <f>IF('Basis Hull'!AO$11="",0,CUBIC('Basis Hull'!$AN$13:$AN$39,'Basis Hull'!$AO$13:$AO$39,$B61))</f>
        <v>0.24598888821670556</v>
      </c>
      <c r="W61" s="69">
        <f>IF('Basis Hull'!AQ$11="",0,CUBIC('Basis Hull'!$AP$13:$AP$39,'Basis Hull'!$AQ$13:$AQ$39,$B61))</f>
        <v>0</v>
      </c>
    </row>
    <row r="62" spans="1:25" x14ac:dyDescent="0.2">
      <c r="A62" s="80">
        <f t="shared" si="2"/>
        <v>16</v>
      </c>
      <c r="B62" s="81">
        <f>'Basis Hull'!$E$7*'Basis Hull'!A62/'Basis Hull'!$A$70</f>
        <v>1.5999999999999999</v>
      </c>
      <c r="C62" s="77">
        <f>IF('Basis Hull'!C$11="",0,CUBIC('Basis Hull'!B$13:B$39,'Basis Hull'!C$13:C$39,B62))</f>
        <v>1.0149999999999999</v>
      </c>
      <c r="D62" s="69">
        <f>IF('Basis Hull'!E$11="",0,CUBIC('Basis Hull'!$D$13:$D$39,'Basis Hull'!$E$13:$E$39,$B62))</f>
        <v>1.48</v>
      </c>
      <c r="E62" s="69">
        <f>IF('Basis Hull'!G$11="",0,CUBIC('Basis Hull'!$F$13:$F$39,'Basis Hull'!$G$13:$G$39,$B62))</f>
        <v>1.78</v>
      </c>
      <c r="F62" s="69">
        <f>IF('Basis Hull'!I$11="",0,CUBIC('Basis Hull'!$H$13:$H$39,'Basis Hull'!$I$13:$I$39,$B62))</f>
        <v>1.95</v>
      </c>
      <c r="G62" s="69">
        <f>IF('Basis Hull'!K$11="",0,CUBIC('Basis Hull'!$J$13:$J$39,'Basis Hull'!$K$13:$K$39,$B62))</f>
        <v>2.0499999999999998</v>
      </c>
      <c r="H62" s="69">
        <f>IF('Basis Hull'!M$11="",0,CUBIC('Basis Hull'!$L$13:$L$39,'Basis Hull'!$M$13:$M$39,$B62))</f>
        <v>2.1</v>
      </c>
      <c r="I62" s="69">
        <f>IF('Basis Hull'!O$11="",0,CUBIC('Basis Hull'!$N$13:$N$39,'Basis Hull'!$O$13:$O$39,$B62))</f>
        <v>2.13</v>
      </c>
      <c r="J62" s="69">
        <f>IF('Basis Hull'!Q$11="",0,CUBIC('Basis Hull'!$P$13:$P$39,'Basis Hull'!$Q$13:$Q$39,$B62))</f>
        <v>2.13</v>
      </c>
      <c r="K62" s="69">
        <f>IF('Basis Hull'!S$11="",0,CUBIC('Basis Hull'!$R$13:$R$39,'Basis Hull'!$S$13:$S$39,$B62))</f>
        <v>2.13</v>
      </c>
      <c r="L62" s="69">
        <f>IF('Basis Hull'!U$11="",0,CUBIC('Basis Hull'!$T$13:$T$39,'Basis Hull'!$U$13:$U$39,$B62))</f>
        <v>2.13</v>
      </c>
      <c r="M62" s="69">
        <f>IF('Basis Hull'!W$11="",0,CUBIC('Basis Hull'!$V$13:$V$39,'Basis Hull'!$W$13:$W$39,$B62))</f>
        <v>2.13</v>
      </c>
      <c r="N62" s="69">
        <f>IF('Basis Hull'!Y$11="",0,CUBIC('Basis Hull'!$X$13:$X$39,'Basis Hull'!$Y$13:$Y$39,$B62))</f>
        <v>2.13</v>
      </c>
      <c r="O62" s="69">
        <f>IF('Basis Hull'!AA$11="",0,CUBIC('Basis Hull'!$Z$13:$Z$39,'Basis Hull'!$AA$13:$AA$39,$B62))</f>
        <v>2.13</v>
      </c>
      <c r="P62" s="69">
        <f>IF('Basis Hull'!AC$11="",0,CUBIC('Basis Hull'!$AB$13:$AB$39,'Basis Hull'!$AC$13:$AC$39,$B62))</f>
        <v>2.13</v>
      </c>
      <c r="Q62" s="69">
        <f>IF('Basis Hull'!AE$11="",0,CUBIC('Basis Hull'!$AD$13:$AD$39,'Basis Hull'!$AE$13:$AE$39,$B62))</f>
        <v>2.06</v>
      </c>
      <c r="R62" s="69">
        <f>IF('Basis Hull'!AG$11="",0,CUBIC('Basis Hull'!$AF$13:$AF$39,'Basis Hull'!$AG$13:$AG$39,$B62))</f>
        <v>1.9</v>
      </c>
      <c r="S62" s="69">
        <f>IF('Basis Hull'!AI$11="",0,CUBIC('Basis Hull'!$AH$13:$AH$39,'Basis Hull'!$AI$13:$AI$39,$B62))</f>
        <v>1.6</v>
      </c>
      <c r="T62" s="69">
        <f>IF('Basis Hull'!AK$11="",0,CUBIC('Basis Hull'!$AJ$13:$AJ$39,'Basis Hull'!$AK$13:$AK$39,$B62))</f>
        <v>1.1599999999999999</v>
      </c>
      <c r="U62" s="69">
        <f>IF('Basis Hull'!AM$11="",0,CUBIC('Basis Hull'!$AL$13:$AL$39,'Basis Hull'!$AM$13:$AM$39,$B62))</f>
        <v>0.63</v>
      </c>
      <c r="V62" s="69">
        <f>IF('Basis Hull'!AO$11="",0,CUBIC('Basis Hull'!$AN$13:$AN$39,'Basis Hull'!$AO$13:$AO$39,$B62))</f>
        <v>0.23</v>
      </c>
      <c r="W62" s="69">
        <f>IF('Basis Hull'!AQ$11="",0,CUBIC('Basis Hull'!$AP$13:$AP$39,'Basis Hull'!$AQ$13:$AQ$39,$B62))</f>
        <v>0</v>
      </c>
    </row>
    <row r="63" spans="1:25" x14ac:dyDescent="0.2">
      <c r="A63" s="80">
        <f t="shared" si="2"/>
        <v>17</v>
      </c>
      <c r="B63" s="81">
        <f>'Basis Hull'!$E$7*'Basis Hull'!A63/'Basis Hull'!$A$70</f>
        <v>1.7</v>
      </c>
      <c r="C63" s="77">
        <f>IF('Basis Hull'!C$11="",0,CUBIC('Basis Hull'!B$13:B$39,'Basis Hull'!C$13:C$39,B63))</f>
        <v>1.1414264896373056</v>
      </c>
      <c r="D63" s="69">
        <f>IF('Basis Hull'!E$11="",0,CUBIC('Basis Hull'!$D$13:$D$39,'Basis Hull'!$E$13:$E$39,$B63))</f>
        <v>1.583913781814041</v>
      </c>
      <c r="E63" s="69">
        <f>IF('Basis Hull'!G$11="",0,CUBIC('Basis Hull'!$F$13:$F$39,'Basis Hull'!$G$13:$G$39,$B63))</f>
        <v>1.8572915139426636</v>
      </c>
      <c r="F63" s="69">
        <f>IF('Basis Hull'!I$11="",0,CUBIC('Basis Hull'!$H$13:$H$39,'Basis Hull'!$I$13:$I$39,$B63))</f>
        <v>2.009383697261288</v>
      </c>
      <c r="G63" s="69">
        <f>IF('Basis Hull'!K$11="",0,CUBIC('Basis Hull'!$J$13:$J$39,'Basis Hull'!$K$13:$K$39,$B63))</f>
        <v>2.0986025771508281</v>
      </c>
      <c r="H63" s="69">
        <f>IF('Basis Hull'!M$11="",0,CUBIC('Basis Hull'!$L$13:$L$39,'Basis Hull'!$M$13:$M$39,$B63))</f>
        <v>2.1424695346751697</v>
      </c>
      <c r="I63" s="69">
        <f>IF('Basis Hull'!O$11="",0,CUBIC('Basis Hull'!$N$13:$N$39,'Basis Hull'!$O$13:$O$39,$B63))</f>
        <v>2.1667141077834078</v>
      </c>
      <c r="J63" s="69">
        <f>IF('Basis Hull'!Q$11="",0,CUBIC('Basis Hull'!$P$13:$P$39,'Basis Hull'!$Q$13:$Q$39,$B63))</f>
        <v>2.1667141077834078</v>
      </c>
      <c r="K63" s="69">
        <f>IF('Basis Hull'!S$11="",0,CUBIC('Basis Hull'!$R$13:$R$39,'Basis Hull'!$S$13:$S$39,$B63))</f>
        <v>2.1667141077834078</v>
      </c>
      <c r="L63" s="69">
        <f>IF('Basis Hull'!U$11="",0,CUBIC('Basis Hull'!$T$13:$T$39,'Basis Hull'!$U$13:$U$39,$B63))</f>
        <v>2.1667141077834078</v>
      </c>
      <c r="M63" s="69">
        <f>IF('Basis Hull'!W$11="",0,CUBIC('Basis Hull'!$V$13:$V$39,'Basis Hull'!$W$13:$W$39,$B63))</f>
        <v>2.1667141077834078</v>
      </c>
      <c r="N63" s="69">
        <f>IF('Basis Hull'!Y$11="",0,CUBIC('Basis Hull'!$X$13:$X$39,'Basis Hull'!$Y$13:$Y$39,$B63))</f>
        <v>2.1667141077834078</v>
      </c>
      <c r="O63" s="69">
        <f>IF('Basis Hull'!AA$11="",0,CUBIC('Basis Hull'!$Z$13:$Z$39,'Basis Hull'!$AA$13:$AA$39,$B63))</f>
        <v>2.1667141077834078</v>
      </c>
      <c r="P63" s="69">
        <f>IF('Basis Hull'!AC$11="",0,CUBIC('Basis Hull'!$AB$13:$AB$39,'Basis Hull'!$AC$13:$AC$39,$B63))</f>
        <v>2.1667141077834078</v>
      </c>
      <c r="Q63" s="69">
        <f>IF('Basis Hull'!AE$11="",0,CUBIC('Basis Hull'!$AD$13:$AD$39,'Basis Hull'!$AE$13:$AE$39,$B63))</f>
        <v>2.0989057749245572</v>
      </c>
      <c r="R63" s="69">
        <f>IF('Basis Hull'!AG$11="",0,CUBIC('Basis Hull'!$AF$13:$AF$39,'Basis Hull'!$AG$13:$AG$39,$B63))</f>
        <v>1.9437486975459772</v>
      </c>
      <c r="S63" s="69">
        <f>IF('Basis Hull'!AI$11="",0,CUBIC('Basis Hull'!$AH$13:$AH$39,'Basis Hull'!$AI$13:$AI$39,$B63))</f>
        <v>1.6331294536098615</v>
      </c>
      <c r="T63" s="69">
        <f>IF('Basis Hull'!AK$11="",0,CUBIC('Basis Hull'!$AJ$13:$AJ$39,'Basis Hull'!$AK$13:$AK$39,$B63))</f>
        <v>1.1867734201517395</v>
      </c>
      <c r="U63" s="69">
        <f>IF('Basis Hull'!AM$11="",0,CUBIC('Basis Hull'!$AL$13:$AL$39,'Basis Hull'!$AM$13:$AM$39,$B63))</f>
        <v>0.63912561564083592</v>
      </c>
      <c r="V63" s="69">
        <f>IF('Basis Hull'!AO$11="",0,CUBIC('Basis Hull'!$AN$13:$AN$39,'Basis Hull'!$AO$13:$AO$39,$B63))</f>
        <v>0.21971049400728804</v>
      </c>
      <c r="W63" s="69">
        <f>IF('Basis Hull'!AQ$11="",0,CUBIC('Basis Hull'!$AP$13:$AP$39,'Basis Hull'!$AQ$13:$AQ$39,$B63))</f>
        <v>0</v>
      </c>
    </row>
    <row r="64" spans="1:25" x14ac:dyDescent="0.2">
      <c r="A64" s="80">
        <f t="shared" si="2"/>
        <v>18</v>
      </c>
      <c r="B64" s="81">
        <f>'Basis Hull'!$E$7*'Basis Hull'!A64/'Basis Hull'!$A$70</f>
        <v>1.7999999999999998</v>
      </c>
      <c r="C64" s="77">
        <f>IF('Basis Hull'!C$11="",0,CUBIC('Basis Hull'!B$13:B$39,'Basis Hull'!C$13:C$39,B64))</f>
        <v>1.23</v>
      </c>
      <c r="D64" s="69">
        <f>IF('Basis Hull'!E$11="",0,CUBIC('Basis Hull'!$D$13:$D$39,'Basis Hull'!$E$13:$E$39,$B64))</f>
        <v>1.67</v>
      </c>
      <c r="E64" s="69">
        <f>IF('Basis Hull'!G$11="",0,CUBIC('Basis Hull'!$F$13:$F$39,'Basis Hull'!$G$13:$G$39,$B64))</f>
        <v>1.92</v>
      </c>
      <c r="F64" s="69">
        <f>IF('Basis Hull'!I$11="",0,CUBIC('Basis Hull'!$H$13:$H$39,'Basis Hull'!$I$13:$I$39,$B64))</f>
        <v>2.06</v>
      </c>
      <c r="G64" s="69">
        <f>IF('Basis Hull'!K$11="",0,CUBIC('Basis Hull'!$J$13:$J$39,'Basis Hull'!$K$13:$K$39,$B64))</f>
        <v>2.14</v>
      </c>
      <c r="H64" s="69">
        <f>IF('Basis Hull'!M$11="",0,CUBIC('Basis Hull'!$L$13:$L$39,'Basis Hull'!$M$13:$M$39,$B64))</f>
        <v>2.1800000000000002</v>
      </c>
      <c r="I64" s="69">
        <f>IF('Basis Hull'!O$11="",0,CUBIC('Basis Hull'!$N$13:$N$39,'Basis Hull'!$O$13:$O$39,$B64))</f>
        <v>2.1949999999999998</v>
      </c>
      <c r="J64" s="69">
        <f>IF('Basis Hull'!Q$11="",0,CUBIC('Basis Hull'!$P$13:$P$39,'Basis Hull'!$Q$13:$Q$39,$B64))</f>
        <v>2.1949999999999998</v>
      </c>
      <c r="K64" s="69">
        <f>IF('Basis Hull'!S$11="",0,CUBIC('Basis Hull'!$R$13:$R$39,'Basis Hull'!$S$13:$S$39,$B64))</f>
        <v>2.1949999999999998</v>
      </c>
      <c r="L64" s="69">
        <f>IF('Basis Hull'!U$11="",0,CUBIC('Basis Hull'!$T$13:$T$39,'Basis Hull'!$U$13:$U$39,$B64))</f>
        <v>2.1949999999999998</v>
      </c>
      <c r="M64" s="69">
        <f>IF('Basis Hull'!W$11="",0,CUBIC('Basis Hull'!$V$13:$V$39,'Basis Hull'!$W$13:$W$39,$B64))</f>
        <v>2.1949999999999998</v>
      </c>
      <c r="N64" s="69">
        <f>IF('Basis Hull'!Y$11="",0,CUBIC('Basis Hull'!$X$13:$X$39,'Basis Hull'!$Y$13:$Y$39,$B64))</f>
        <v>2.1949999999999998</v>
      </c>
      <c r="O64" s="69">
        <f>IF('Basis Hull'!AA$11="",0,CUBIC('Basis Hull'!$Z$13:$Z$39,'Basis Hull'!$AA$13:$AA$39,$B64))</f>
        <v>2.1949999999999998</v>
      </c>
      <c r="P64" s="69">
        <f>IF('Basis Hull'!AC$11="",0,CUBIC('Basis Hull'!$AB$13:$AB$39,'Basis Hull'!$AC$13:$AC$39,$B64))</f>
        <v>2.1949999999999998</v>
      </c>
      <c r="Q64" s="69">
        <f>IF('Basis Hull'!AE$11="",0,CUBIC('Basis Hull'!$AD$13:$AD$39,'Basis Hull'!$AE$13:$AE$39,$B64))</f>
        <v>2.13</v>
      </c>
      <c r="R64" s="69">
        <f>IF('Basis Hull'!AG$11="",0,CUBIC('Basis Hull'!$AF$13:$AF$39,'Basis Hull'!$AG$13:$AG$39,$B64))</f>
        <v>1.98</v>
      </c>
      <c r="S64" s="69">
        <f>IF('Basis Hull'!AI$11="",0,CUBIC('Basis Hull'!$AH$13:$AH$39,'Basis Hull'!$AI$13:$AI$39,$B64))</f>
        <v>1.66</v>
      </c>
      <c r="T64" s="69">
        <f>IF('Basis Hull'!AK$11="",0,CUBIC('Basis Hull'!$AJ$13:$AJ$39,'Basis Hull'!$AK$13:$AK$39,$B64))</f>
        <v>1.21</v>
      </c>
      <c r="U64" s="69">
        <f>IF('Basis Hull'!AM$11="",0,CUBIC('Basis Hull'!$AL$13:$AL$39,'Basis Hull'!$AM$13:$AM$39,$B64))</f>
        <v>0.65</v>
      </c>
      <c r="V64" s="69">
        <f>IF('Basis Hull'!AO$11="",0,CUBIC('Basis Hull'!$AN$13:$AN$39,'Basis Hull'!$AO$13:$AO$39,$B64))</f>
        <v>0.21</v>
      </c>
      <c r="W64" s="69">
        <f>IF('Basis Hull'!AQ$11="",0,CUBIC('Basis Hull'!$AP$13:$AP$39,'Basis Hull'!$AQ$13:$AQ$39,$B64))</f>
        <v>0</v>
      </c>
    </row>
    <row r="65" spans="1:23" x14ac:dyDescent="0.2">
      <c r="A65" s="80">
        <f t="shared" si="2"/>
        <v>19</v>
      </c>
      <c r="B65" s="81">
        <f>'Basis Hull'!$E$7*'Basis Hull'!A65/'Basis Hull'!$A$70</f>
        <v>1.9000000000000001</v>
      </c>
      <c r="C65" s="77">
        <f>IF('Basis Hull'!C$11="",0,CUBIC('Basis Hull'!B$13:B$39,'Basis Hull'!C$13:C$39,B65))</f>
        <v>1.3037483808290158</v>
      </c>
      <c r="D65" s="69">
        <f>IF('Basis Hull'!E$11="",0,CUBIC('Basis Hull'!$D$13:$D$39,'Basis Hull'!$E$13:$E$39,$B65))</f>
        <v>1.7313889853669646</v>
      </c>
      <c r="E65" s="69">
        <f>IF('Basis Hull'!G$11="",0,CUBIC('Basis Hull'!$F$13:$F$39,'Basis Hull'!$G$13:$G$39,$B65))</f>
        <v>1.9728913011373344</v>
      </c>
      <c r="F65" s="69">
        <f>IF('Basis Hull'!I$11="",0,CUBIC('Basis Hull'!$H$13:$H$39,'Basis Hull'!$I$13:$I$39,$B65))</f>
        <v>2.1036714470762403</v>
      </c>
      <c r="G65" s="69">
        <f>IF('Basis Hull'!K$11="",0,CUBIC('Basis Hull'!$J$13:$J$39,'Basis Hull'!$K$13:$K$39,$B65))</f>
        <v>2.172966381740022</v>
      </c>
      <c r="H65" s="69">
        <f>IF('Basis Hull'!M$11="",0,CUBIC('Basis Hull'!$L$13:$L$39,'Basis Hull'!$M$13:$M$39,$B65))</f>
        <v>2.2097337833798325</v>
      </c>
      <c r="I65" s="69">
        <f>IF('Basis Hull'!O$11="",0,CUBIC('Basis Hull'!$N$13:$N$39,'Basis Hull'!$O$13:$O$39,$B65))</f>
        <v>2.2207596296190859</v>
      </c>
      <c r="J65" s="69">
        <f>IF('Basis Hull'!Q$11="",0,CUBIC('Basis Hull'!$P$13:$P$39,'Basis Hull'!$Q$13:$Q$39,$B65))</f>
        <v>2.2207596296190859</v>
      </c>
      <c r="K65" s="69">
        <f>IF('Basis Hull'!S$11="",0,CUBIC('Basis Hull'!$R$13:$R$39,'Basis Hull'!$S$13:$S$39,$B65))</f>
        <v>2.2207596296190859</v>
      </c>
      <c r="L65" s="69">
        <f>IF('Basis Hull'!U$11="",0,CUBIC('Basis Hull'!$T$13:$T$39,'Basis Hull'!$U$13:$U$39,$B65))</f>
        <v>2.2207596296190859</v>
      </c>
      <c r="M65" s="69">
        <f>IF('Basis Hull'!W$11="",0,CUBIC('Basis Hull'!$V$13:$V$39,'Basis Hull'!$W$13:$W$39,$B65))</f>
        <v>2.2207596296190859</v>
      </c>
      <c r="N65" s="69">
        <f>IF('Basis Hull'!Y$11="",0,CUBIC('Basis Hull'!$X$13:$X$39,'Basis Hull'!$Y$13:$Y$39,$B65))</f>
        <v>2.2207596296190859</v>
      </c>
      <c r="O65" s="69">
        <f>IF('Basis Hull'!AA$11="",0,CUBIC('Basis Hull'!$Z$13:$Z$39,'Basis Hull'!$AA$13:$AA$39,$B65))</f>
        <v>2.2207596296190859</v>
      </c>
      <c r="P65" s="69">
        <f>IF('Basis Hull'!AC$11="",0,CUBIC('Basis Hull'!$AB$13:$AB$39,'Basis Hull'!$AC$13:$AC$39,$B65))</f>
        <v>2.2207596296190859</v>
      </c>
      <c r="Q65" s="69">
        <f>IF('Basis Hull'!AE$11="",0,CUBIC('Basis Hull'!$AD$13:$AD$39,'Basis Hull'!$AE$13:$AE$39,$B65))</f>
        <v>2.1532508896543869</v>
      </c>
      <c r="R65" s="69">
        <f>IF('Basis Hull'!AG$11="",0,CUBIC('Basis Hull'!$AF$13:$AF$39,'Basis Hull'!$AG$13:$AG$39,$B65))</f>
        <v>2.0041162030974209</v>
      </c>
      <c r="S65" s="69">
        <f>IF('Basis Hull'!AI$11="",0,CUBIC('Basis Hull'!$AH$13:$AH$39,'Basis Hull'!$AI$13:$AI$39,$B65))</f>
        <v>1.6869957563485738</v>
      </c>
      <c r="T65" s="69">
        <f>IF('Basis Hull'!AK$11="",0,CUBIC('Basis Hull'!$AJ$13:$AJ$39,'Basis Hull'!$AK$13:$AK$39,$B65))</f>
        <v>1.2320851799592893</v>
      </c>
      <c r="U65" s="69">
        <f>IF('Basis Hull'!AM$11="",0,CUBIC('Basis Hull'!$AL$13:$AL$39,'Basis Hull'!$AM$13:$AM$39,$B65))</f>
        <v>0.65697239580367817</v>
      </c>
      <c r="V65" s="69">
        <f>IF('Basis Hull'!AO$11="",0,CUBIC('Basis Hull'!$AN$13:$AN$39,'Basis Hull'!$AO$13:$AO$39,$B65))</f>
        <v>0.19516913575414219</v>
      </c>
      <c r="W65" s="69">
        <f>IF('Basis Hull'!AQ$11="",0,CUBIC('Basis Hull'!$AP$13:$AP$39,'Basis Hull'!$AQ$13:$AQ$39,$B65))</f>
        <v>0</v>
      </c>
    </row>
    <row r="66" spans="1:23" x14ac:dyDescent="0.2">
      <c r="A66" s="80">
        <f t="shared" si="2"/>
        <v>20</v>
      </c>
      <c r="B66" s="81">
        <f>'Basis Hull'!$E$7*'Basis Hull'!A66/'Basis Hull'!$A$70</f>
        <v>2</v>
      </c>
      <c r="C66" s="77">
        <f>IF('Basis Hull'!C$11="",0,CUBIC('Basis Hull'!B$13:B$39,'Basis Hull'!C$13:C$39,B66))</f>
        <v>1.37</v>
      </c>
      <c r="D66" s="69">
        <f>IF('Basis Hull'!E$11="",0,CUBIC('Basis Hull'!$D$13:$D$39,'Basis Hull'!$E$13:$E$39,$B66))</f>
        <v>1.78</v>
      </c>
      <c r="E66" s="69">
        <f>IF('Basis Hull'!G$11="",0,CUBIC('Basis Hull'!$F$13:$F$39,'Basis Hull'!$G$13:$G$39,$B66))</f>
        <v>2.02</v>
      </c>
      <c r="F66" s="69">
        <f>IF('Basis Hull'!I$11="",0,CUBIC('Basis Hull'!$H$13:$H$39,'Basis Hull'!$I$13:$I$39,$B66))</f>
        <v>2.14</v>
      </c>
      <c r="G66" s="69">
        <f>IF('Basis Hull'!K$11="",0,CUBIC('Basis Hull'!$J$13:$J$39,'Basis Hull'!$K$13:$K$39,$B66))</f>
        <v>2.2000000000000002</v>
      </c>
      <c r="H66" s="69">
        <f>IF('Basis Hull'!M$11="",0,CUBIC('Basis Hull'!$L$13:$L$39,'Basis Hull'!$M$13:$M$39,$B66))</f>
        <v>2.23</v>
      </c>
      <c r="I66" s="69">
        <f>IF('Basis Hull'!O$11="",0,CUBIC('Basis Hull'!$N$13:$N$39,'Basis Hull'!$O$13:$O$39,$B66))</f>
        <v>2.2400000000000002</v>
      </c>
      <c r="J66" s="69">
        <f>IF('Basis Hull'!Q$11="",0,CUBIC('Basis Hull'!$P$13:$P$39,'Basis Hull'!$Q$13:$Q$39,$B66))</f>
        <v>2.2400000000000002</v>
      </c>
      <c r="K66" s="69">
        <f>IF('Basis Hull'!S$11="",0,CUBIC('Basis Hull'!$R$13:$R$39,'Basis Hull'!$S$13:$S$39,$B66))</f>
        <v>2.2400000000000002</v>
      </c>
      <c r="L66" s="69">
        <f>IF('Basis Hull'!U$11="",0,CUBIC('Basis Hull'!$T$13:$T$39,'Basis Hull'!$U$13:$U$39,$B66))</f>
        <v>2.2400000000000002</v>
      </c>
      <c r="M66" s="69">
        <f>IF('Basis Hull'!W$11="",0,CUBIC('Basis Hull'!$V$13:$V$39,'Basis Hull'!$W$13:$W$39,$B66))</f>
        <v>2.2400000000000002</v>
      </c>
      <c r="N66" s="69">
        <f>IF('Basis Hull'!Y$11="",0,CUBIC('Basis Hull'!$X$13:$X$39,'Basis Hull'!$Y$13:$Y$39,$B66))</f>
        <v>2.2400000000000002</v>
      </c>
      <c r="O66" s="69">
        <f>IF('Basis Hull'!AA$11="",0,CUBIC('Basis Hull'!$Z$13:$Z$39,'Basis Hull'!$AA$13:$AA$39,$B66))</f>
        <v>2.2400000000000002</v>
      </c>
      <c r="P66" s="69">
        <f>IF('Basis Hull'!AC$11="",0,CUBIC('Basis Hull'!$AB$13:$AB$39,'Basis Hull'!$AC$13:$AC$39,$B66))</f>
        <v>2.2400000000000002</v>
      </c>
      <c r="Q66" s="69">
        <f>IF('Basis Hull'!AE$11="",0,CUBIC('Basis Hull'!$AD$13:$AD$39,'Basis Hull'!$AE$13:$AE$39,$B66))</f>
        <v>2.17</v>
      </c>
      <c r="R66" s="69">
        <f>IF('Basis Hull'!AG$11="",0,CUBIC('Basis Hull'!$AF$13:$AF$39,'Basis Hull'!$AG$13:$AG$39,$B66))</f>
        <v>2.02</v>
      </c>
      <c r="S66" s="69">
        <f>IF('Basis Hull'!AI$11="",0,CUBIC('Basis Hull'!$AH$13:$AH$39,'Basis Hull'!$AI$13:$AI$39,$B66))</f>
        <v>1.71</v>
      </c>
      <c r="T66" s="69">
        <f>IF('Basis Hull'!AK$11="",0,CUBIC('Basis Hull'!$AJ$13:$AJ$39,'Basis Hull'!$AK$13:$AK$39,$B66))</f>
        <v>1.25</v>
      </c>
      <c r="U66" s="69">
        <f>IF('Basis Hull'!AM$11="",0,CUBIC('Basis Hull'!$AL$13:$AL$39,'Basis Hull'!$AM$13:$AM$39,$B66))</f>
        <v>0.66</v>
      </c>
      <c r="V66" s="69">
        <f>IF('Basis Hull'!AO$11="",0,CUBIC('Basis Hull'!$AN$13:$AN$39,'Basis Hull'!$AO$13:$AO$39,$B66))</f>
        <v>0.17999999999999997</v>
      </c>
      <c r="W66" s="69">
        <f>IF('Basis Hull'!AQ$11="",0,CUBIC('Basis Hull'!$AP$13:$AP$39,'Basis Hull'!$AQ$13:$AQ$39,$B66))</f>
        <v>0</v>
      </c>
    </row>
    <row r="67" spans="1:23" x14ac:dyDescent="0.2">
      <c r="A67" s="80">
        <f t="shared" si="2"/>
        <v>21</v>
      </c>
      <c r="B67" s="81">
        <f>'Basis Hull'!$E$7*'Basis Hull'!A67/'Basis Hull'!$A$70</f>
        <v>2.1</v>
      </c>
      <c r="C67" s="77">
        <f>IF('Basis Hull'!C$11="",0,CUBIC('Basis Hull'!B$13:B$39,'Basis Hull'!C$13:C$39,B67))</f>
        <v>1.4304549870466323</v>
      </c>
      <c r="D67" s="69">
        <f>IF('Basis Hull'!E$11="",0,CUBIC('Basis Hull'!$D$13:$D$39,'Basis Hull'!$E$13:$E$39,$B67))</f>
        <v>1.8280302767181007</v>
      </c>
      <c r="E67" s="69">
        <f>IF('Basis Hull'!G$11="",0,CUBIC('Basis Hull'!$F$13:$F$39,'Basis Hull'!$G$13:$G$39,$B67))</f>
        <v>2.0636432815080004</v>
      </c>
      <c r="F67" s="69">
        <f>IF('Basis Hull'!I$11="",0,CUBIC('Basis Hull'!$H$13:$H$39,'Basis Hull'!$I$13:$I$39,$B67))</f>
        <v>2.1684305144337528</v>
      </c>
      <c r="G67" s="69">
        <f>IF('Basis Hull'!K$11="",0,CUBIC('Basis Hull'!$J$13:$J$39,'Basis Hull'!$K$13:$K$39,$B67))</f>
        <v>2.2232818958890852</v>
      </c>
      <c r="H67" s="69">
        <f>IF('Basis Hull'!M$11="",0,CUBIC('Basis Hull'!$L$13:$L$39,'Basis Hull'!$M$13:$M$39,$B67))</f>
        <v>2.2404703318055001</v>
      </c>
      <c r="I67" s="69">
        <f>IF('Basis Hull'!O$11="",0,CUBIC('Basis Hull'!$N$13:$N$39,'Basis Hull'!$O$13:$O$39,$B67))</f>
        <v>2.2483723737402497</v>
      </c>
      <c r="J67" s="69">
        <f>IF('Basis Hull'!Q$11="",0,CUBIC('Basis Hull'!$P$13:$P$39,'Basis Hull'!$Q$13:$Q$39,$B67))</f>
        <v>2.2483723737402497</v>
      </c>
      <c r="K67" s="69">
        <f>IF('Basis Hull'!S$11="",0,CUBIC('Basis Hull'!$R$13:$R$39,'Basis Hull'!$S$13:$S$39,$B67))</f>
        <v>2.2483723737402497</v>
      </c>
      <c r="L67" s="69">
        <f>IF('Basis Hull'!U$11="",0,CUBIC('Basis Hull'!$T$13:$T$39,'Basis Hull'!$U$13:$U$39,$B67))</f>
        <v>2.2483723737402497</v>
      </c>
      <c r="M67" s="69">
        <f>IF('Basis Hull'!W$11="",0,CUBIC('Basis Hull'!$V$13:$V$39,'Basis Hull'!$W$13:$W$39,$B67))</f>
        <v>2.2483723737402497</v>
      </c>
      <c r="N67" s="69">
        <f>IF('Basis Hull'!Y$11="",0,CUBIC('Basis Hull'!$X$13:$X$39,'Basis Hull'!$Y$13:$Y$39,$B67))</f>
        <v>2.2483723737402497</v>
      </c>
      <c r="O67" s="69">
        <f>IF('Basis Hull'!AA$11="",0,CUBIC('Basis Hull'!$Z$13:$Z$39,'Basis Hull'!$AA$13:$AA$39,$B67))</f>
        <v>2.2483723737402497</v>
      </c>
      <c r="P67" s="69">
        <f>IF('Basis Hull'!AC$11="",0,CUBIC('Basis Hull'!$AB$13:$AB$39,'Basis Hull'!$AC$13:$AC$39,$B67))</f>
        <v>2.2483723737402497</v>
      </c>
      <c r="Q67" s="69">
        <f>IF('Basis Hull'!AE$11="",0,CUBIC('Basis Hull'!$AD$13:$AD$39,'Basis Hull'!$AE$13:$AE$39,$B67))</f>
        <v>2.181840666457894</v>
      </c>
      <c r="R67" s="69">
        <f>IF('Basis Hull'!AG$11="",0,CUBIC('Basis Hull'!$AF$13:$AF$39,'Basis Hull'!$AG$13:$AG$39,$B67))</f>
        <v>2.0322864900643403</v>
      </c>
      <c r="S67" s="69">
        <f>IF('Basis Hull'!AI$11="",0,CUBIC('Basis Hull'!$AH$13:$AH$39,'Basis Hull'!$AI$13:$AI$39,$B67))</f>
        <v>1.7238875209958435</v>
      </c>
      <c r="T67" s="69">
        <f>IF('Basis Hull'!AK$11="",0,CUBIC('Basis Hull'!$AJ$13:$AJ$39,'Basis Hull'!$AK$13:$AK$39,$B67))</f>
        <v>1.2605108600111028</v>
      </c>
      <c r="U67" s="69">
        <f>IF('Basis Hull'!AM$11="",0,CUBIC('Basis Hull'!$AL$13:$AL$39,'Basis Hull'!$AM$13:$AM$39,$B67))</f>
        <v>0.66048480114445141</v>
      </c>
      <c r="V67" s="69">
        <f>IF('Basis Hull'!AO$11="",0,CUBIC('Basis Hull'!$AN$13:$AN$39,'Basis Hull'!$AO$13:$AO$39,$B67))</f>
        <v>0.16961296297614298</v>
      </c>
      <c r="W67" s="69">
        <f>IF('Basis Hull'!AQ$11="",0,CUBIC('Basis Hull'!$AP$13:$AP$39,'Basis Hull'!$AQ$13:$AQ$39,$B67))</f>
        <v>0</v>
      </c>
    </row>
    <row r="68" spans="1:23" x14ac:dyDescent="0.2">
      <c r="A68" s="80">
        <f t="shared" si="2"/>
        <v>22</v>
      </c>
      <c r="B68" s="81">
        <f>'Basis Hull'!$E$7*'Basis Hull'!A68/'Basis Hull'!$A$70</f>
        <v>2.1999999999999997</v>
      </c>
      <c r="C68" s="77">
        <f>IF('Basis Hull'!C$11="",0,CUBIC('Basis Hull'!B$13:B$39,'Basis Hull'!C$13:C$39,B68))</f>
        <v>1.48</v>
      </c>
      <c r="D68" s="69">
        <f>IF('Basis Hull'!E$11="",0,CUBIC('Basis Hull'!$D$13:$D$39,'Basis Hull'!$E$13:$E$39,$B68))</f>
        <v>1.87</v>
      </c>
      <c r="E68" s="69">
        <f>IF('Basis Hull'!G$11="",0,CUBIC('Basis Hull'!$F$13:$F$39,'Basis Hull'!$G$13:$G$39,$B68))</f>
        <v>2.1</v>
      </c>
      <c r="F68" s="69">
        <f>IF('Basis Hull'!I$11="",0,CUBIC('Basis Hull'!$H$13:$H$39,'Basis Hull'!$I$13:$I$39,$B68))</f>
        <v>2.19</v>
      </c>
      <c r="G68" s="69">
        <f>IF('Basis Hull'!K$11="",0,CUBIC('Basis Hull'!$J$13:$J$39,'Basis Hull'!$K$13:$K$39,$B68))</f>
        <v>2.2400000000000002</v>
      </c>
      <c r="H68" s="69">
        <f>IF('Basis Hull'!M$11="",0,CUBIC('Basis Hull'!$L$13:$L$39,'Basis Hull'!$M$13:$M$39,$B68))</f>
        <v>2.2450000000000001</v>
      </c>
      <c r="I68" s="69">
        <f>IF('Basis Hull'!O$11="",0,CUBIC('Basis Hull'!$N$13:$N$39,'Basis Hull'!$O$13:$O$39,$B68))</f>
        <v>2.25</v>
      </c>
      <c r="J68" s="69">
        <f>IF('Basis Hull'!Q$11="",0,CUBIC('Basis Hull'!$P$13:$P$39,'Basis Hull'!$Q$13:$Q$39,$B68))</f>
        <v>2.25</v>
      </c>
      <c r="K68" s="69">
        <f>IF('Basis Hull'!S$11="",0,CUBIC('Basis Hull'!$R$13:$R$39,'Basis Hull'!$S$13:$S$39,$B68))</f>
        <v>2.25</v>
      </c>
      <c r="L68" s="69">
        <f>IF('Basis Hull'!U$11="",0,CUBIC('Basis Hull'!$T$13:$T$39,'Basis Hull'!$U$13:$U$39,$B68))</f>
        <v>2.25</v>
      </c>
      <c r="M68" s="69">
        <f>IF('Basis Hull'!W$11="",0,CUBIC('Basis Hull'!$V$13:$V$39,'Basis Hull'!$W$13:$W$39,$B68))</f>
        <v>2.25</v>
      </c>
      <c r="N68" s="69">
        <f>IF('Basis Hull'!Y$11="",0,CUBIC('Basis Hull'!$X$13:$X$39,'Basis Hull'!$Y$13:$Y$39,$B68))</f>
        <v>2.25</v>
      </c>
      <c r="O68" s="69">
        <f>IF('Basis Hull'!AA$11="",0,CUBIC('Basis Hull'!$Z$13:$Z$39,'Basis Hull'!$AA$13:$AA$39,$B68))</f>
        <v>2.25</v>
      </c>
      <c r="P68" s="69">
        <f>IF('Basis Hull'!AC$11="",0,CUBIC('Basis Hull'!$AB$13:$AB$39,'Basis Hull'!$AC$13:$AC$39,$B68))</f>
        <v>2.25</v>
      </c>
      <c r="Q68" s="69">
        <f>IF('Basis Hull'!AE$11="",0,CUBIC('Basis Hull'!$AD$13:$AD$39,'Basis Hull'!$AE$13:$AE$39,$B68))</f>
        <v>2.19</v>
      </c>
      <c r="R68" s="69">
        <f>IF('Basis Hull'!AG$11="",0,CUBIC('Basis Hull'!$AF$13:$AF$39,'Basis Hull'!$AG$13:$AG$39,$B68))</f>
        <v>2.04</v>
      </c>
      <c r="S68" s="69">
        <f>IF('Basis Hull'!AI$11="",0,CUBIC('Basis Hull'!$AH$13:$AH$39,'Basis Hull'!$AI$13:$AI$39,$B68))</f>
        <v>1.73</v>
      </c>
      <c r="T68" s="69">
        <f>IF('Basis Hull'!AK$11="",0,CUBIC('Basis Hull'!$AJ$13:$AJ$39,'Basis Hull'!$AK$13:$AK$39,$B68))</f>
        <v>1.2649999999999999</v>
      </c>
      <c r="U68" s="69">
        <f>IF('Basis Hull'!AM$11="",0,CUBIC('Basis Hull'!$AL$13:$AL$39,'Basis Hull'!$AM$13:$AM$39,$B68))</f>
        <v>0.66</v>
      </c>
      <c r="V68" s="69">
        <f>IF('Basis Hull'!AO$11="",0,CUBIC('Basis Hull'!$AN$13:$AN$39,'Basis Hull'!$AO$13:$AO$39,$B68))</f>
        <v>0.16</v>
      </c>
      <c r="W68" s="69">
        <f>IF('Basis Hull'!AQ$11="",0,CUBIC('Basis Hull'!$AP$13:$AP$39,'Basis Hull'!$AQ$13:$AQ$39,$B68))</f>
        <v>0</v>
      </c>
    </row>
    <row r="69" spans="1:23" x14ac:dyDescent="0.2">
      <c r="A69" s="80">
        <f t="shared" si="2"/>
        <v>23</v>
      </c>
      <c r="B69" s="81">
        <f>'Basis Hull'!$E$7*'Basis Hull'!A69/'Basis Hull'!$A$70</f>
        <v>2.2999999999999998</v>
      </c>
      <c r="C69" s="77">
        <f>IF('Basis Hull'!C$11="",0,CUBIC('Basis Hull'!B$13:B$39,'Basis Hull'!C$13:C$39,B69))</f>
        <v>1.5144316709844559</v>
      </c>
      <c r="D69" s="69">
        <f>IF('Basis Hull'!E$11="",0,CUBIC('Basis Hull'!$D$13:$D$39,'Basis Hull'!$E$13:$E$39,$B69))</f>
        <v>1.8989899077606331</v>
      </c>
      <c r="E69" s="69">
        <f>IF('Basis Hull'!G$11="",0,CUBIC('Basis Hull'!$F$13:$F$39,'Basis Hull'!$G$13:$G$39,$B69))</f>
        <v>2.1256605728306668</v>
      </c>
      <c r="F69" s="69">
        <f>IF('Basis Hull'!I$11="",0,CUBIC('Basis Hull'!$H$13:$H$39,'Basis Hull'!$I$13:$I$39,$B69))</f>
        <v>2.2063564951887491</v>
      </c>
      <c r="G69" s="69">
        <f>IF('Basis Hull'!K$11="",0,CUBIC('Basis Hull'!$J$13:$J$39,'Basis Hull'!$K$13:$K$39,$B69))</f>
        <v>2.2476560347036383</v>
      </c>
      <c r="H69" s="69">
        <f>IF('Basis Hull'!M$11="",0,CUBIC('Basis Hull'!$L$13:$L$39,'Basis Hull'!$M$13:$M$39,$B69))</f>
        <v>2.2477598893981665</v>
      </c>
      <c r="I69" s="69">
        <f>IF('Basis Hull'!O$11="",0,CUBIC('Basis Hull'!$N$13:$N$39,'Basis Hull'!$O$13:$O$39,$B69))</f>
        <v>2.2501258754199167</v>
      </c>
      <c r="J69" s="69">
        <f>IF('Basis Hull'!Q$11="",0,CUBIC('Basis Hull'!$P$13:$P$39,'Basis Hull'!$Q$13:$Q$39,$B69))</f>
        <v>2.2501258754199167</v>
      </c>
      <c r="K69" s="69">
        <f>IF('Basis Hull'!S$11="",0,CUBIC('Basis Hull'!$R$13:$R$39,'Basis Hull'!$S$13:$S$39,$B69))</f>
        <v>2.2501258754199167</v>
      </c>
      <c r="L69" s="69">
        <f>IF('Basis Hull'!U$11="",0,CUBIC('Basis Hull'!$T$13:$T$39,'Basis Hull'!$U$13:$U$39,$B69))</f>
        <v>2.2501258754199167</v>
      </c>
      <c r="M69" s="69">
        <f>IF('Basis Hull'!W$11="",0,CUBIC('Basis Hull'!$V$13:$V$39,'Basis Hull'!$W$13:$W$39,$B69))</f>
        <v>2.2501258754199167</v>
      </c>
      <c r="N69" s="69">
        <f>IF('Basis Hull'!Y$11="",0,CUBIC('Basis Hull'!$X$13:$X$39,'Basis Hull'!$Y$13:$Y$39,$B69))</f>
        <v>2.2501258754199167</v>
      </c>
      <c r="O69" s="69">
        <f>IF('Basis Hull'!AA$11="",0,CUBIC('Basis Hull'!$Z$13:$Z$39,'Basis Hull'!$AA$13:$AA$39,$B69))</f>
        <v>2.2501258754199167</v>
      </c>
      <c r="P69" s="69">
        <f>IF('Basis Hull'!AC$11="",0,CUBIC('Basis Hull'!$AB$13:$AB$39,'Basis Hull'!$AC$13:$AC$39,$B69))</f>
        <v>2.2501258754199167</v>
      </c>
      <c r="Q69" s="69">
        <f>IF('Basis Hull'!AE$11="",0,CUBIC('Basis Hull'!$AD$13:$AD$39,'Basis Hull'!$AE$13:$AE$39,$B69))</f>
        <v>2.1956364445140353</v>
      </c>
      <c r="R69" s="69">
        <f>IF('Basis Hull'!AG$11="",0,CUBIC('Basis Hull'!$AF$13:$AF$39,'Basis Hull'!$AG$13:$AG$39,$B69))</f>
        <v>2.0417378366452201</v>
      </c>
      <c r="S69" s="69">
        <f>IF('Basis Hull'!AI$11="",0,CUBIC('Basis Hull'!$AH$13:$AH$39,'Basis Hull'!$AI$13:$AI$39,$B69))</f>
        <v>1.7312041596680521</v>
      </c>
      <c r="T69" s="69">
        <f>IF('Basis Hull'!AK$11="",0,CUBIC('Basis Hull'!$AJ$13:$AJ$39,'Basis Hull'!$AK$13:$AK$39,$B69))</f>
        <v>1.2658713799962988</v>
      </c>
      <c r="U69" s="69">
        <f>IF('Basis Hull'!AM$11="",0,CUBIC('Basis Hull'!$AL$13:$AL$39,'Basis Hull'!$AM$13:$AM$39,$B69))</f>
        <v>0.6598383996185162</v>
      </c>
      <c r="V69" s="69">
        <f>IF('Basis Hull'!AO$11="",0,CUBIC('Basis Hull'!$AN$13:$AN$39,'Basis Hull'!$AO$13:$AO$39,$B69))</f>
        <v>0.14637901234128567</v>
      </c>
      <c r="W69" s="69">
        <f>IF('Basis Hull'!AQ$11="",0,CUBIC('Basis Hull'!$AP$13:$AP$39,'Basis Hull'!$AQ$13:$AQ$39,$B69))</f>
        <v>0</v>
      </c>
    </row>
    <row r="70" spans="1:23" ht="13.5" thickBot="1" x14ac:dyDescent="0.25">
      <c r="A70" s="82">
        <f t="shared" si="2"/>
        <v>24</v>
      </c>
      <c r="B70" s="83">
        <f>'Basis Hull'!$E$7*'Basis Hull'!A70/'Basis Hull'!$A$70</f>
        <v>2.4</v>
      </c>
      <c r="C70" s="77">
        <f>IF('Basis Hull'!C$11="",0,CUBIC('Basis Hull'!B$13:B$39,'Basis Hull'!C$13:C$39,B70))</f>
        <v>1.54</v>
      </c>
      <c r="D70" s="69">
        <f>IF('Basis Hull'!E$11="",0,CUBIC('Basis Hull'!$D$13:$D$39,'Basis Hull'!$E$13:$E$39,$B70))</f>
        <v>1.92</v>
      </c>
      <c r="E70" s="69">
        <f>IF('Basis Hull'!G$11="",0,CUBIC('Basis Hull'!$F$13:$F$39,'Basis Hull'!$G$13:$G$39,$B70))</f>
        <v>2.145</v>
      </c>
      <c r="F70" s="69">
        <f>IF('Basis Hull'!I$11="",0,CUBIC('Basis Hull'!$H$13:$H$39,'Basis Hull'!$I$13:$I$39,$B70))</f>
        <v>2.2200000000000002</v>
      </c>
      <c r="G70" s="69">
        <f>IF('Basis Hull'!K$11="",0,CUBIC('Basis Hull'!$J$13:$J$39,'Basis Hull'!$K$13:$K$39,$B70))</f>
        <v>2.25</v>
      </c>
      <c r="H70" s="69">
        <f>IF('Basis Hull'!M$11="",0,CUBIC('Basis Hull'!$L$13:$L$39,'Basis Hull'!$M$13:$M$39,$B70))</f>
        <v>2.25</v>
      </c>
      <c r="I70" s="69">
        <f>IF('Basis Hull'!O$11="",0,CUBIC('Basis Hull'!$N$13:$N$39,'Basis Hull'!$O$13:$O$39,$B70))</f>
        <v>2.25</v>
      </c>
      <c r="J70" s="69">
        <f>IF('Basis Hull'!Q$11="",0,CUBIC('Basis Hull'!$P$13:$P$39,'Basis Hull'!$Q$13:$Q$39,$B70))</f>
        <v>2.25</v>
      </c>
      <c r="K70" s="69">
        <f>IF('Basis Hull'!S$11="",0,CUBIC('Basis Hull'!$R$13:$R$39,'Basis Hull'!$S$13:$S$39,$B70))</f>
        <v>2.25</v>
      </c>
      <c r="L70" s="69">
        <f>IF('Basis Hull'!U$11="",0,CUBIC('Basis Hull'!$T$13:$T$39,'Basis Hull'!$U$13:$U$39,$B70))</f>
        <v>2.25</v>
      </c>
      <c r="M70" s="69">
        <f>IF('Basis Hull'!W$11="",0,CUBIC('Basis Hull'!$V$13:$V$39,'Basis Hull'!$W$13:$W$39,$B70))</f>
        <v>2.25</v>
      </c>
      <c r="N70" s="69">
        <f>IF('Basis Hull'!Y$11="",0,CUBIC('Basis Hull'!$X$13:$X$39,'Basis Hull'!$Y$13:$Y$39,$B70))</f>
        <v>2.25</v>
      </c>
      <c r="O70" s="69">
        <f>IF('Basis Hull'!AA$11="",0,CUBIC('Basis Hull'!$Z$13:$Z$39,'Basis Hull'!$AA$13:$AA$39,$B70))</f>
        <v>2.25</v>
      </c>
      <c r="P70" s="69">
        <f>IF('Basis Hull'!AC$11="",0,CUBIC('Basis Hull'!$AB$13:$AB$39,'Basis Hull'!$AC$13:$AC$39,$B70))</f>
        <v>2.25</v>
      </c>
      <c r="Q70" s="69">
        <f>IF('Basis Hull'!AE$11="",0,CUBIC('Basis Hull'!$AD$13:$AD$39,'Basis Hull'!$AE$13:$AE$39,$B70))</f>
        <v>2.2000000000000002</v>
      </c>
      <c r="R70" s="69">
        <f>IF('Basis Hull'!AG$11="",0,CUBIC('Basis Hull'!$AF$13:$AF$39,'Basis Hull'!$AG$13:$AG$39,$B70))</f>
        <v>2.04</v>
      </c>
      <c r="S70" s="69">
        <f>IF('Basis Hull'!AI$11="",0,CUBIC('Basis Hull'!$AH$13:$AH$39,'Basis Hull'!$AI$13:$AI$39,$B70))</f>
        <v>1.73</v>
      </c>
      <c r="T70" s="69">
        <f>IF('Basis Hull'!AK$11="",0,CUBIC('Basis Hull'!$AJ$13:$AJ$39,'Basis Hull'!$AK$13:$AK$39,$B70))</f>
        <v>1.2649999999999999</v>
      </c>
      <c r="U70" s="69">
        <f>IF('Basis Hull'!AM$11="",0,CUBIC('Basis Hull'!$AL$13:$AL$39,'Basis Hull'!$AM$13:$AM$39,$B70))</f>
        <v>0.66</v>
      </c>
      <c r="V70" s="69">
        <f>IF('Basis Hull'!AO$11="",0,CUBIC('Basis Hull'!$AN$13:$AN$39,'Basis Hull'!$AO$13:$AO$39,$B70))</f>
        <v>0.13</v>
      </c>
      <c r="W70" s="69">
        <f>IF('Basis Hull'!AQ$11="",0,CUBIC('Basis Hull'!$AP$13:$AP$39,'Basis Hull'!$AQ$13:$AQ$39,$B70))</f>
        <v>0</v>
      </c>
    </row>
    <row r="71" spans="1:23" x14ac:dyDescent="0.2">
      <c r="A71" s="67"/>
      <c r="B71" s="19"/>
      <c r="C71" s="19"/>
      <c r="D71" s="19"/>
      <c r="E71" s="19"/>
      <c r="F71" s="19"/>
      <c r="G71" s="19"/>
      <c r="H71" s="19"/>
      <c r="I71" s="19"/>
      <c r="J71" s="19"/>
      <c r="K71" s="19"/>
      <c r="L71" s="19"/>
      <c r="M71" s="19"/>
      <c r="N71" s="19"/>
      <c r="O71" s="19"/>
      <c r="P71" s="19"/>
      <c r="Q71" s="19"/>
      <c r="R71" s="19"/>
      <c r="S71" s="19"/>
      <c r="T71" s="19"/>
      <c r="U71" s="19"/>
      <c r="V71" s="19"/>
    </row>
    <row r="73" spans="1:23" x14ac:dyDescent="0.2">
      <c r="A73" s="84" t="s">
        <v>15</v>
      </c>
    </row>
    <row r="74" spans="1:23" ht="13.5" thickBot="1" x14ac:dyDescent="0.25"/>
    <row r="75" spans="1:23" x14ac:dyDescent="0.2">
      <c r="A75" s="86"/>
      <c r="B75" s="87"/>
      <c r="C75" s="72">
        <v>21</v>
      </c>
      <c r="D75" s="72">
        <f t="shared" ref="D75:V75" si="3">C75-1</f>
        <v>20</v>
      </c>
      <c r="E75" s="72">
        <f t="shared" si="3"/>
        <v>19</v>
      </c>
      <c r="F75" s="72">
        <f t="shared" si="3"/>
        <v>18</v>
      </c>
      <c r="G75" s="72">
        <f t="shared" si="3"/>
        <v>17</v>
      </c>
      <c r="H75" s="72">
        <f t="shared" si="3"/>
        <v>16</v>
      </c>
      <c r="I75" s="72">
        <f t="shared" si="3"/>
        <v>15</v>
      </c>
      <c r="J75" s="72">
        <f t="shared" si="3"/>
        <v>14</v>
      </c>
      <c r="K75" s="72">
        <f t="shared" si="3"/>
        <v>13</v>
      </c>
      <c r="L75" s="72">
        <f t="shared" si="3"/>
        <v>12</v>
      </c>
      <c r="M75" s="72">
        <f t="shared" si="3"/>
        <v>11</v>
      </c>
      <c r="N75" s="72">
        <f t="shared" si="3"/>
        <v>10</v>
      </c>
      <c r="O75" s="72">
        <f t="shared" si="3"/>
        <v>9</v>
      </c>
      <c r="P75" s="72">
        <f t="shared" si="3"/>
        <v>8</v>
      </c>
      <c r="Q75" s="72">
        <f t="shared" si="3"/>
        <v>7</v>
      </c>
      <c r="R75" s="72">
        <f t="shared" si="3"/>
        <v>6</v>
      </c>
      <c r="S75" s="72">
        <f t="shared" si="3"/>
        <v>5</v>
      </c>
      <c r="T75" s="72">
        <f t="shared" si="3"/>
        <v>4</v>
      </c>
      <c r="U75" s="72">
        <f t="shared" si="3"/>
        <v>3</v>
      </c>
      <c r="V75" s="72">
        <f t="shared" si="3"/>
        <v>2</v>
      </c>
      <c r="W75" s="73">
        <v>1</v>
      </c>
    </row>
    <row r="76" spans="1:23" x14ac:dyDescent="0.2">
      <c r="A76" s="88" t="s">
        <v>53</v>
      </c>
      <c r="B76" s="56" t="s">
        <v>54</v>
      </c>
      <c r="C76" s="68">
        <v>0</v>
      </c>
      <c r="D76" s="68">
        <f t="shared" ref="D76:U76" si="4">C76+$W$76/20</f>
        <v>1.6175000000000002</v>
      </c>
      <c r="E76" s="68">
        <f t="shared" si="4"/>
        <v>3.2350000000000003</v>
      </c>
      <c r="F76" s="68">
        <f t="shared" si="4"/>
        <v>4.8525000000000009</v>
      </c>
      <c r="G76" s="68">
        <f t="shared" si="4"/>
        <v>6.4700000000000006</v>
      </c>
      <c r="H76" s="68">
        <f t="shared" si="4"/>
        <v>8.0875000000000004</v>
      </c>
      <c r="I76" s="68">
        <f t="shared" si="4"/>
        <v>9.7050000000000001</v>
      </c>
      <c r="J76" s="68">
        <f t="shared" si="4"/>
        <v>11.3225</v>
      </c>
      <c r="K76" s="68">
        <f t="shared" si="4"/>
        <v>12.94</v>
      </c>
      <c r="L76" s="68">
        <f t="shared" si="4"/>
        <v>14.557499999999999</v>
      </c>
      <c r="M76" s="68">
        <f t="shared" si="4"/>
        <v>16.175000000000001</v>
      </c>
      <c r="N76" s="68">
        <f t="shared" si="4"/>
        <v>17.7925</v>
      </c>
      <c r="O76" s="68">
        <f t="shared" si="4"/>
        <v>19.41</v>
      </c>
      <c r="P76" s="68">
        <f t="shared" si="4"/>
        <v>21.0275</v>
      </c>
      <c r="Q76" s="68">
        <f t="shared" si="4"/>
        <v>22.645</v>
      </c>
      <c r="R76" s="68">
        <f t="shared" si="4"/>
        <v>24.262499999999999</v>
      </c>
      <c r="S76" s="68">
        <f>R76+$W$76/20</f>
        <v>25.88</v>
      </c>
      <c r="T76" s="68">
        <f t="shared" si="4"/>
        <v>27.497499999999999</v>
      </c>
      <c r="U76" s="68">
        <f t="shared" si="4"/>
        <v>29.114999999999998</v>
      </c>
      <c r="V76" s="68">
        <f>U76+$W$76/20</f>
        <v>30.732499999999998</v>
      </c>
      <c r="W76" s="58">
        <f>E5</f>
        <v>32.35</v>
      </c>
    </row>
    <row r="77" spans="1:23" x14ac:dyDescent="0.2">
      <c r="A77" s="80">
        <f>$A$46</f>
        <v>0</v>
      </c>
      <c r="B77" s="85">
        <f>$B$46</f>
        <v>0</v>
      </c>
      <c r="C77" s="69">
        <f t="shared" ref="C77:W77" si="5">CUBIC($C$45:$W$45,$C46:$W46,C76)</f>
        <v>0</v>
      </c>
      <c r="D77" s="69">
        <f t="shared" si="5"/>
        <v>0</v>
      </c>
      <c r="E77" s="69">
        <f t="shared" si="5"/>
        <v>0</v>
      </c>
      <c r="F77" s="69">
        <f t="shared" si="5"/>
        <v>0</v>
      </c>
      <c r="G77" s="69">
        <f t="shared" si="5"/>
        <v>0</v>
      </c>
      <c r="H77" s="69">
        <f t="shared" si="5"/>
        <v>0.08</v>
      </c>
      <c r="I77" s="69">
        <f>CUBIC($C$45:$W$45,$C46:$W46,I76)</f>
        <v>0.08</v>
      </c>
      <c r="J77" s="69">
        <f t="shared" si="5"/>
        <v>0.08</v>
      </c>
      <c r="K77" s="69">
        <f>CUBIC($C$45:$W$45,$C46:$W46,K76)</f>
        <v>0.08</v>
      </c>
      <c r="L77" s="69">
        <f t="shared" si="5"/>
        <v>0.08</v>
      </c>
      <c r="M77" s="69">
        <f t="shared" si="5"/>
        <v>0.08</v>
      </c>
      <c r="N77" s="69">
        <f>CUBIC($C$45:$W$45,$C46:$W46,N76)</f>
        <v>0.08</v>
      </c>
      <c r="O77" s="69">
        <f t="shared" si="5"/>
        <v>0.08</v>
      </c>
      <c r="P77" s="69">
        <f t="shared" si="5"/>
        <v>0.08</v>
      </c>
      <c r="Q77" s="69">
        <f t="shared" si="5"/>
        <v>0.08</v>
      </c>
      <c r="R77" s="69">
        <f t="shared" si="5"/>
        <v>0</v>
      </c>
      <c r="S77" s="69">
        <f t="shared" si="5"/>
        <v>0</v>
      </c>
      <c r="T77" s="69">
        <f t="shared" si="5"/>
        <v>0</v>
      </c>
      <c r="U77" s="69">
        <f t="shared" si="5"/>
        <v>0</v>
      </c>
      <c r="V77" s="69">
        <f t="shared" si="5"/>
        <v>0</v>
      </c>
      <c r="W77" s="81">
        <f t="shared" si="5"/>
        <v>0</v>
      </c>
    </row>
    <row r="78" spans="1:23" x14ac:dyDescent="0.2">
      <c r="A78" s="80">
        <f>$A$47</f>
        <v>1</v>
      </c>
      <c r="B78" s="85">
        <f>$B$47</f>
        <v>9.9999999999999992E-2</v>
      </c>
      <c r="C78" s="69">
        <f t="shared" ref="C78:W78" si="6">CUBIC($C$45:$W$45,$C$47:$W$47,C76)</f>
        <v>5.6670984455958523E-5</v>
      </c>
      <c r="D78" s="69">
        <f t="shared" si="6"/>
        <v>4.7067699140238023E-4</v>
      </c>
      <c r="E78" s="69">
        <f t="shared" si="6"/>
        <v>5.2836129220520348E-4</v>
      </c>
      <c r="F78" s="69">
        <f t="shared" si="6"/>
        <v>-7.6435048112509299E-3</v>
      </c>
      <c r="G78" s="69">
        <f t="shared" si="6"/>
        <v>4.2636803934407559E-2</v>
      </c>
      <c r="H78" s="69">
        <f t="shared" si="6"/>
        <v>8.385604324432043E-2</v>
      </c>
      <c r="I78" s="69">
        <f t="shared" si="6"/>
        <v>9.1741260035301475E-2</v>
      </c>
      <c r="J78" s="69">
        <f t="shared" si="6"/>
        <v>9.1741260035301475E-2</v>
      </c>
      <c r="K78" s="69">
        <f t="shared" si="6"/>
        <v>9.1741260035301475E-2</v>
      </c>
      <c r="L78" s="69">
        <f t="shared" si="6"/>
        <v>9.1741260035301475E-2</v>
      </c>
      <c r="M78" s="69">
        <f t="shared" si="6"/>
        <v>9.1741260035301475E-2</v>
      </c>
      <c r="N78" s="69">
        <f t="shared" si="6"/>
        <v>9.1741260035301475E-2</v>
      </c>
      <c r="O78" s="69">
        <f t="shared" si="6"/>
        <v>9.1741260035301475E-2</v>
      </c>
      <c r="P78" s="69">
        <f t="shared" si="6"/>
        <v>9.1741260035301475E-2</v>
      </c>
      <c r="Q78" s="69">
        <f t="shared" si="6"/>
        <v>8.98095214371121E-2</v>
      </c>
      <c r="R78" s="69">
        <f t="shared" si="6"/>
        <v>3.687245202983544E-2</v>
      </c>
      <c r="S78" s="69">
        <f t="shared" si="6"/>
        <v>-9.4064172550247724E-3</v>
      </c>
      <c r="T78" s="69">
        <f t="shared" si="6"/>
        <v>4.6512999629903562E-4</v>
      </c>
      <c r="U78" s="69">
        <f t="shared" si="6"/>
        <v>1.1941688492854291E-3</v>
      </c>
      <c r="V78" s="69">
        <f t="shared" si="6"/>
        <v>-5.2964150486818878E-4</v>
      </c>
      <c r="W78" s="81">
        <f t="shared" si="6"/>
        <v>0</v>
      </c>
    </row>
    <row r="79" spans="1:23" x14ac:dyDescent="0.2">
      <c r="A79" s="80">
        <f>$A$48</f>
        <v>2</v>
      </c>
      <c r="B79" s="85">
        <f>$B$48</f>
        <v>0.19999999999999998</v>
      </c>
      <c r="C79" s="69">
        <f t="shared" ref="C79:W79" si="7">CUBIC($C$45:$W$45,$C$48:$W$48,C76)</f>
        <v>0</v>
      </c>
      <c r="D79" s="69">
        <f t="shared" si="7"/>
        <v>0</v>
      </c>
      <c r="E79" s="69">
        <f t="shared" si="7"/>
        <v>0</v>
      </c>
      <c r="F79" s="69">
        <f t="shared" si="7"/>
        <v>0</v>
      </c>
      <c r="G79" s="69">
        <f t="shared" si="7"/>
        <v>7.4999999999999997E-2</v>
      </c>
      <c r="H79" s="69">
        <f t="shared" si="7"/>
        <v>0.09</v>
      </c>
      <c r="I79" s="69">
        <f t="shared" si="7"/>
        <v>0.09</v>
      </c>
      <c r="J79" s="69">
        <f t="shared" si="7"/>
        <v>0.09</v>
      </c>
      <c r="K79" s="69">
        <f t="shared" si="7"/>
        <v>0.09</v>
      </c>
      <c r="L79" s="69">
        <f t="shared" si="7"/>
        <v>0.09</v>
      </c>
      <c r="M79" s="69">
        <f t="shared" si="7"/>
        <v>0.09</v>
      </c>
      <c r="N79" s="69">
        <f t="shared" si="7"/>
        <v>0.09</v>
      </c>
      <c r="O79" s="69">
        <f t="shared" si="7"/>
        <v>0.09</v>
      </c>
      <c r="P79" s="69">
        <f t="shared" si="7"/>
        <v>0.09</v>
      </c>
      <c r="Q79" s="69">
        <f t="shared" si="7"/>
        <v>0.09</v>
      </c>
      <c r="R79" s="69">
        <f t="shared" si="7"/>
        <v>0.06</v>
      </c>
      <c r="S79" s="69">
        <f t="shared" si="7"/>
        <v>0</v>
      </c>
      <c r="T79" s="69">
        <f t="shared" si="7"/>
        <v>0</v>
      </c>
      <c r="U79" s="69">
        <f t="shared" si="7"/>
        <v>0</v>
      </c>
      <c r="V79" s="69">
        <f t="shared" si="7"/>
        <v>0</v>
      </c>
      <c r="W79" s="81">
        <f t="shared" si="7"/>
        <v>0</v>
      </c>
    </row>
    <row r="80" spans="1:23" x14ac:dyDescent="0.2">
      <c r="A80" s="80">
        <f>$A$49</f>
        <v>3</v>
      </c>
      <c r="B80" s="85">
        <f>$B$49</f>
        <v>0.3</v>
      </c>
      <c r="C80" s="69">
        <f t="shared" ref="C80:W80" si="8">CUBIC($C$45:$W$45,$C$49:$W$49,C76)</f>
        <v>-1.700129533678756E-4</v>
      </c>
      <c r="D80" s="69">
        <f t="shared" si="8"/>
        <v>-1.4120309742071404E-3</v>
      </c>
      <c r="E80" s="69">
        <f t="shared" si="8"/>
        <v>-1.5850838766156108E-3</v>
      </c>
      <c r="F80" s="69">
        <f t="shared" si="8"/>
        <v>3.5430514433752801E-2</v>
      </c>
      <c r="G80" s="69">
        <f t="shared" si="8"/>
        <v>0.10083958819677732</v>
      </c>
      <c r="H80" s="69">
        <f t="shared" si="8"/>
        <v>0.1134318702670387</v>
      </c>
      <c r="I80" s="69">
        <f t="shared" si="8"/>
        <v>8.977621989409558E-2</v>
      </c>
      <c r="J80" s="69">
        <f t="shared" si="8"/>
        <v>8.977621989409558E-2</v>
      </c>
      <c r="K80" s="69">
        <f t="shared" si="8"/>
        <v>8.977621989409558E-2</v>
      </c>
      <c r="L80" s="69">
        <f t="shared" si="8"/>
        <v>8.977621989409558E-2</v>
      </c>
      <c r="M80" s="69">
        <f t="shared" si="8"/>
        <v>8.977621989409558E-2</v>
      </c>
      <c r="N80" s="69">
        <f t="shared" si="8"/>
        <v>8.977621989409558E-2</v>
      </c>
      <c r="O80" s="69">
        <f t="shared" si="8"/>
        <v>8.977621989409558E-2</v>
      </c>
      <c r="P80" s="69">
        <f t="shared" si="8"/>
        <v>8.977621989409558E-2</v>
      </c>
      <c r="Q80" s="69">
        <f t="shared" si="8"/>
        <v>9.5571435688663692E-2</v>
      </c>
      <c r="R80" s="69">
        <f t="shared" si="8"/>
        <v>7.5632643910493708E-2</v>
      </c>
      <c r="S80" s="69">
        <f t="shared" si="8"/>
        <v>4.4469251765074325E-2</v>
      </c>
      <c r="T80" s="69">
        <f t="shared" si="8"/>
        <v>2.3546100111028999E-3</v>
      </c>
      <c r="U80" s="69">
        <f t="shared" si="8"/>
        <v>-3.5825065478562873E-3</v>
      </c>
      <c r="V80" s="69">
        <f t="shared" si="8"/>
        <v>1.5889245146045664E-3</v>
      </c>
      <c r="W80" s="81">
        <f t="shared" si="8"/>
        <v>0</v>
      </c>
    </row>
    <row r="81" spans="1:25" x14ac:dyDescent="0.2">
      <c r="A81" s="80">
        <f>$A$50</f>
        <v>4</v>
      </c>
      <c r="B81" s="85">
        <f>$B$50</f>
        <v>0.39999999999999997</v>
      </c>
      <c r="C81" s="69">
        <f t="shared" ref="C81:W81" si="9">CUBIC($C$45:$W$45,$C$50:$W$50,C76)</f>
        <v>0</v>
      </c>
      <c r="D81" s="69">
        <f t="shared" si="9"/>
        <v>0</v>
      </c>
      <c r="E81" s="69">
        <f t="shared" si="9"/>
        <v>0</v>
      </c>
      <c r="F81" s="69">
        <f t="shared" si="9"/>
        <v>0.1</v>
      </c>
      <c r="G81" s="69">
        <f t="shared" si="9"/>
        <v>0.18</v>
      </c>
      <c r="H81" s="69">
        <f t="shared" si="9"/>
        <v>0.22</v>
      </c>
      <c r="I81" s="69">
        <f t="shared" si="9"/>
        <v>0.22</v>
      </c>
      <c r="J81" s="69">
        <f t="shared" si="9"/>
        <v>0.22</v>
      </c>
      <c r="K81" s="69">
        <f t="shared" si="9"/>
        <v>0.22</v>
      </c>
      <c r="L81" s="69">
        <f t="shared" si="9"/>
        <v>0.22</v>
      </c>
      <c r="M81" s="69">
        <f t="shared" si="9"/>
        <v>0.22</v>
      </c>
      <c r="N81" s="69">
        <f t="shared" si="9"/>
        <v>0.22</v>
      </c>
      <c r="O81" s="69">
        <f t="shared" si="9"/>
        <v>0.22</v>
      </c>
      <c r="P81" s="69">
        <f t="shared" si="9"/>
        <v>0.22</v>
      </c>
      <c r="Q81" s="69">
        <f t="shared" si="9"/>
        <v>0.22</v>
      </c>
      <c r="R81" s="69">
        <f t="shared" si="9"/>
        <v>0.17</v>
      </c>
      <c r="S81" s="69">
        <f t="shared" si="9"/>
        <v>0.13</v>
      </c>
      <c r="T81" s="69">
        <f t="shared" si="9"/>
        <v>0.03</v>
      </c>
      <c r="U81" s="69">
        <f t="shared" si="9"/>
        <v>0</v>
      </c>
      <c r="V81" s="69">
        <f t="shared" si="9"/>
        <v>0</v>
      </c>
      <c r="W81" s="81">
        <f t="shared" si="9"/>
        <v>0</v>
      </c>
    </row>
    <row r="82" spans="1:25" x14ac:dyDescent="0.2">
      <c r="A82" s="80">
        <f>$A$51</f>
        <v>5</v>
      </c>
      <c r="B82" s="85">
        <f>$B$51</f>
        <v>0.5</v>
      </c>
      <c r="C82" s="69">
        <f t="shared" ref="C82:W82" si="10">CUBIC($C$45:$W$45,$C$51:$W$51,C76)</f>
        <v>6.2338082901554413E-4</v>
      </c>
      <c r="D82" s="69">
        <f t="shared" si="10"/>
        <v>5.1774469054261833E-3</v>
      </c>
      <c r="E82" s="69">
        <f t="shared" si="10"/>
        <v>1.4561974214257246E-2</v>
      </c>
      <c r="F82" s="69">
        <f t="shared" si="10"/>
        <v>0.19717144707623982</v>
      </c>
      <c r="G82" s="69">
        <f t="shared" si="10"/>
        <v>0.36462984327848319</v>
      </c>
      <c r="H82" s="69">
        <f t="shared" si="10"/>
        <v>0.461166475687525</v>
      </c>
      <c r="I82" s="69">
        <f t="shared" si="10"/>
        <v>0.57290386038831642</v>
      </c>
      <c r="J82" s="69">
        <f t="shared" si="10"/>
        <v>0.57290386038831642</v>
      </c>
      <c r="K82" s="69">
        <f t="shared" si="10"/>
        <v>0.57290386038831642</v>
      </c>
      <c r="L82" s="69">
        <f t="shared" si="10"/>
        <v>0.57290386038831642</v>
      </c>
      <c r="M82" s="69">
        <f t="shared" si="10"/>
        <v>0.57290386038831642</v>
      </c>
      <c r="N82" s="69">
        <f t="shared" si="10"/>
        <v>0.57290386038831642</v>
      </c>
      <c r="O82" s="69">
        <f t="shared" si="10"/>
        <v>0.57290386038831642</v>
      </c>
      <c r="P82" s="69">
        <f t="shared" si="10"/>
        <v>0.57290386038831642</v>
      </c>
      <c r="Q82" s="69">
        <f t="shared" si="10"/>
        <v>0.54415473580823326</v>
      </c>
      <c r="R82" s="69">
        <f t="shared" si="10"/>
        <v>0.41184697232819001</v>
      </c>
      <c r="S82" s="69">
        <f t="shared" si="10"/>
        <v>0.26152941019472759</v>
      </c>
      <c r="T82" s="69">
        <f t="shared" si="10"/>
        <v>0.10511642995928944</v>
      </c>
      <c r="U82" s="69">
        <f t="shared" si="10"/>
        <v>2.3135857342139729E-2</v>
      </c>
      <c r="V82" s="69">
        <f t="shared" si="10"/>
        <v>-5.8260565535500778E-3</v>
      </c>
      <c r="W82" s="81">
        <f t="shared" si="10"/>
        <v>0</v>
      </c>
    </row>
    <row r="83" spans="1:25" x14ac:dyDescent="0.2">
      <c r="A83" s="80">
        <f>$A$52</f>
        <v>6</v>
      </c>
      <c r="B83" s="85">
        <f>$B$52</f>
        <v>0.6</v>
      </c>
      <c r="C83" s="69">
        <f t="shared" ref="C83:W83" si="11">CUBIC($C$45:$W$45,$C$52:$W$52,C76)</f>
        <v>0</v>
      </c>
      <c r="D83" s="69">
        <f t="shared" si="11"/>
        <v>0</v>
      </c>
      <c r="E83" s="69">
        <f t="shared" si="11"/>
        <v>7.0000000000000007E-2</v>
      </c>
      <c r="F83" s="69">
        <f t="shared" si="11"/>
        <v>0.35</v>
      </c>
      <c r="G83" s="69">
        <f t="shared" si="11"/>
        <v>0.62</v>
      </c>
      <c r="H83" s="69">
        <f t="shared" si="11"/>
        <v>0.78</v>
      </c>
      <c r="I83" s="69">
        <f t="shared" si="11"/>
        <v>0.98</v>
      </c>
      <c r="J83" s="69">
        <f t="shared" si="11"/>
        <v>0.98</v>
      </c>
      <c r="K83" s="69">
        <f t="shared" si="11"/>
        <v>0.98</v>
      </c>
      <c r="L83" s="69">
        <f t="shared" si="11"/>
        <v>0.98</v>
      </c>
      <c r="M83" s="69">
        <f t="shared" si="11"/>
        <v>0.98</v>
      </c>
      <c r="N83" s="69">
        <f t="shared" si="11"/>
        <v>0.98</v>
      </c>
      <c r="O83" s="69">
        <f t="shared" si="11"/>
        <v>0.98</v>
      </c>
      <c r="P83" s="69">
        <f t="shared" si="11"/>
        <v>0.98</v>
      </c>
      <c r="Q83" s="69">
        <f t="shared" si="11"/>
        <v>0.92</v>
      </c>
      <c r="R83" s="69">
        <f t="shared" si="11"/>
        <v>0.72</v>
      </c>
      <c r="S83" s="69">
        <f t="shared" si="11"/>
        <v>0.45</v>
      </c>
      <c r="T83" s="69">
        <f t="shared" si="11"/>
        <v>0.23</v>
      </c>
      <c r="U83" s="69">
        <f t="shared" si="11"/>
        <v>0.08</v>
      </c>
      <c r="V83" s="69">
        <f t="shared" si="11"/>
        <v>0</v>
      </c>
      <c r="W83" s="81">
        <f t="shared" si="11"/>
        <v>0</v>
      </c>
    </row>
    <row r="84" spans="1:25" x14ac:dyDescent="0.2">
      <c r="A84" s="80">
        <f>$A$53</f>
        <v>7</v>
      </c>
      <c r="B84" s="85">
        <f>$B$53</f>
        <v>0.70000000000000007</v>
      </c>
      <c r="C84" s="69">
        <f t="shared" ref="C84:M84" si="12">CUBIC($C$45:$W$45,$C$53:$W$53,C76)</f>
        <v>-2.3235103626943012E-3</v>
      </c>
      <c r="D84" s="69">
        <f t="shared" si="12"/>
        <v>-1.92977566474976E-2</v>
      </c>
      <c r="E84" s="69">
        <f t="shared" si="12"/>
        <v>0.19208718701958682</v>
      </c>
      <c r="F84" s="69">
        <f t="shared" si="12"/>
        <v>0.57338369726128813</v>
      </c>
      <c r="G84" s="69">
        <f t="shared" si="12"/>
        <v>0.89376603868929017</v>
      </c>
      <c r="H84" s="69">
        <f t="shared" si="12"/>
        <v>1.0981522269828621</v>
      </c>
      <c r="I84" s="69">
        <f t="shared" si="12"/>
        <v>1.2598583385526392</v>
      </c>
      <c r="J84" s="69">
        <f t="shared" si="12"/>
        <v>1.2598583385526392</v>
      </c>
      <c r="K84" s="69">
        <f t="shared" si="12"/>
        <v>1.2598583385526392</v>
      </c>
      <c r="L84" s="69">
        <f t="shared" si="12"/>
        <v>1.2598583385526392</v>
      </c>
      <c r="M84" s="69">
        <f t="shared" si="12"/>
        <v>1.2598583385526392</v>
      </c>
      <c r="N84" s="69" cm="1">
        <f t="array" ref="N84">CUBIC($C$45:$W$45,$C$53:$W$53,N76)</f>
        <v>1.2598583385526392</v>
      </c>
      <c r="O84" s="69">
        <f t="shared" ref="O84:W84" si="13">CUBIC($C$45:$W$45,$C$53:$W$53,O76)</f>
        <v>1.2598583385526392</v>
      </c>
      <c r="P84" s="69">
        <f t="shared" si="13"/>
        <v>1.2598583385526392</v>
      </c>
      <c r="Q84" s="69">
        <f t="shared" si="13"/>
        <v>1.1878096210784039</v>
      </c>
      <c r="R84" s="69">
        <f t="shared" si="13"/>
        <v>0.99447946677674681</v>
      </c>
      <c r="S84" s="69">
        <f t="shared" si="13"/>
        <v>0.69191310745601575</v>
      </c>
      <c r="T84" s="69">
        <f t="shared" si="13"/>
        <v>0.39467967015173971</v>
      </c>
      <c r="U84" s="69">
        <f t="shared" si="13"/>
        <v>0.17853907717929751</v>
      </c>
      <c r="V84" s="69">
        <f t="shared" si="13"/>
        <v>3.5465301699595803E-2</v>
      </c>
      <c r="W84" s="81">
        <f t="shared" si="13"/>
        <v>0</v>
      </c>
      <c r="Y84" s="4" t="s">
        <v>135</v>
      </c>
    </row>
    <row r="85" spans="1:25" x14ac:dyDescent="0.2">
      <c r="A85" s="80">
        <f>$A$54</f>
        <v>8</v>
      </c>
      <c r="B85" s="85">
        <f>$B$54</f>
        <v>0.79999999999999993</v>
      </c>
      <c r="C85" s="69">
        <f t="shared" ref="C85:W85" si="14">CUBIC($C$45:$W$45,$C$54:$W$54,C76)</f>
        <v>0</v>
      </c>
      <c r="D85" s="69">
        <f t="shared" si="14"/>
        <v>0</v>
      </c>
      <c r="E85" s="69">
        <f t="shared" si="14"/>
        <v>0.38</v>
      </c>
      <c r="F85" s="69">
        <f t="shared" si="14"/>
        <v>0.83</v>
      </c>
      <c r="G85" s="69">
        <f t="shared" si="14"/>
        <v>1.1499999999999999</v>
      </c>
      <c r="H85" s="69">
        <f t="shared" si="14"/>
        <v>1.36</v>
      </c>
      <c r="I85" s="69">
        <f t="shared" si="14"/>
        <v>1.44</v>
      </c>
      <c r="J85" s="69">
        <f t="shared" si="14"/>
        <v>1.44</v>
      </c>
      <c r="K85" s="69">
        <f t="shared" si="14"/>
        <v>1.44</v>
      </c>
      <c r="L85" s="69">
        <f t="shared" si="14"/>
        <v>1.44</v>
      </c>
      <c r="M85" s="69">
        <f t="shared" si="14"/>
        <v>1.44</v>
      </c>
      <c r="N85" s="69">
        <f t="shared" si="14"/>
        <v>1.44</v>
      </c>
      <c r="O85" s="69">
        <f t="shared" si="14"/>
        <v>1.44</v>
      </c>
      <c r="P85" s="69">
        <f t="shared" si="14"/>
        <v>1.44</v>
      </c>
      <c r="Q85" s="69">
        <f t="shared" si="14"/>
        <v>1.37</v>
      </c>
      <c r="R85" s="69">
        <f t="shared" si="14"/>
        <v>1.21</v>
      </c>
      <c r="S85" s="69">
        <f t="shared" si="14"/>
        <v>0.92</v>
      </c>
      <c r="T85" s="69">
        <f t="shared" si="14"/>
        <v>0.56000000000000005</v>
      </c>
      <c r="U85" s="69">
        <f t="shared" si="14"/>
        <v>0.3</v>
      </c>
      <c r="V85" s="69">
        <f t="shared" si="14"/>
        <v>0.11</v>
      </c>
      <c r="W85" s="81">
        <f t="shared" si="14"/>
        <v>0</v>
      </c>
    </row>
    <row r="86" spans="1:25" x14ac:dyDescent="0.2">
      <c r="A86" s="80">
        <f>$A$55</f>
        <v>9</v>
      </c>
      <c r="B86" s="85">
        <f>$B$55</f>
        <v>0.89999999999999991</v>
      </c>
      <c r="C86" s="69">
        <f t="shared" ref="C86:W86" si="15">CUBIC($C$45:$W$45,$C$55:$W$55,C76)</f>
        <v>8.6706606217616545E-3</v>
      </c>
      <c r="D86" s="69">
        <f t="shared" si="15"/>
        <v>0.10951357968456416</v>
      </c>
      <c r="E86" s="69">
        <f t="shared" si="15"/>
        <v>0.62083927770739622</v>
      </c>
      <c r="F86" s="69">
        <f t="shared" si="15"/>
        <v>1.0755437638786085</v>
      </c>
      <c r="G86" s="69">
        <f t="shared" si="15"/>
        <v>1.3628060019643566</v>
      </c>
      <c r="H86" s="69">
        <f t="shared" si="15"/>
        <v>1.5324746163810281</v>
      </c>
      <c r="I86" s="69">
        <f t="shared" si="15"/>
        <v>1.5864127854011274</v>
      </c>
      <c r="J86" s="69">
        <f t="shared" si="15"/>
        <v>1.5864127854011274</v>
      </c>
      <c r="K86" s="69">
        <f t="shared" si="15"/>
        <v>1.5864127854011274</v>
      </c>
      <c r="L86" s="69">
        <f t="shared" si="15"/>
        <v>1.5864127854011274</v>
      </c>
      <c r="M86" s="69">
        <f t="shared" si="15"/>
        <v>1.5864127854011274</v>
      </c>
      <c r="N86" s="69">
        <f t="shared" si="15"/>
        <v>1.5864127854011274</v>
      </c>
      <c r="O86" s="69">
        <f t="shared" si="15"/>
        <v>1.5864127854011274</v>
      </c>
      <c r="P86" s="69">
        <f t="shared" si="15"/>
        <v>1.5864127854011274</v>
      </c>
      <c r="Q86" s="69">
        <f t="shared" si="15"/>
        <v>1.5221067798781529</v>
      </c>
      <c r="R86" s="69">
        <f t="shared" si="15"/>
        <v>1.3652351605648239</v>
      </c>
      <c r="S86" s="69">
        <f t="shared" si="15"/>
        <v>1.0733181599812105</v>
      </c>
      <c r="T86" s="69">
        <f t="shared" si="15"/>
        <v>0.6899148894337529</v>
      </c>
      <c r="U86" s="69">
        <f t="shared" si="15"/>
        <v>0.42145783394067077</v>
      </c>
      <c r="V86" s="69">
        <f t="shared" si="15"/>
        <v>0.21771484975516708</v>
      </c>
      <c r="W86" s="81">
        <f t="shared" si="15"/>
        <v>0</v>
      </c>
    </row>
    <row r="87" spans="1:25" x14ac:dyDescent="0.2">
      <c r="A87" s="80">
        <f>$A$56</f>
        <v>10</v>
      </c>
      <c r="B87" s="85">
        <f>$B$56</f>
        <v>1</v>
      </c>
      <c r="C87" s="69">
        <f t="shared" ref="C87:W87" si="16">CUBIC($C$45:$W$45,$C$56:$W$56,C76)</f>
        <v>-3.0368147068222655E-17</v>
      </c>
      <c r="D87" s="69">
        <f t="shared" si="16"/>
        <v>0.30000000000000021</v>
      </c>
      <c r="E87" s="69">
        <f t="shared" si="16"/>
        <v>0.88000000000000034</v>
      </c>
      <c r="F87" s="69">
        <f t="shared" si="16"/>
        <v>1.2900000000000003</v>
      </c>
      <c r="G87" s="69">
        <f t="shared" si="16"/>
        <v>1.53</v>
      </c>
      <c r="H87" s="69">
        <f t="shared" si="16"/>
        <v>1.6500000000000001</v>
      </c>
      <c r="I87" s="69">
        <f t="shared" si="16"/>
        <v>1.7100000000000002</v>
      </c>
      <c r="J87" s="69">
        <f t="shared" si="16"/>
        <v>1.7100000000000002</v>
      </c>
      <c r="K87" s="69">
        <f t="shared" si="16"/>
        <v>1.7100000000000002</v>
      </c>
      <c r="L87" s="69">
        <f t="shared" si="16"/>
        <v>1.7100000000000002</v>
      </c>
      <c r="M87" s="69">
        <f t="shared" si="16"/>
        <v>1.7100000000000002</v>
      </c>
      <c r="N87" s="69">
        <f t="shared" si="16"/>
        <v>1.7100000000000002</v>
      </c>
      <c r="O87" s="69">
        <f t="shared" si="16"/>
        <v>1.7100000000000002</v>
      </c>
      <c r="P87" s="69">
        <f t="shared" si="16"/>
        <v>1.7100000000000002</v>
      </c>
      <c r="Q87" s="69">
        <f t="shared" si="16"/>
        <v>1.6500000000000001</v>
      </c>
      <c r="R87" s="69">
        <f t="shared" si="16"/>
        <v>1.48</v>
      </c>
      <c r="S87" s="69">
        <f t="shared" si="16"/>
        <v>1.18</v>
      </c>
      <c r="T87" s="69">
        <f t="shared" si="16"/>
        <v>0.79000000000000015</v>
      </c>
      <c r="U87" s="69">
        <f t="shared" si="16"/>
        <v>0.53</v>
      </c>
      <c r="V87" s="69">
        <f t="shared" si="16"/>
        <v>0.30000000000000004</v>
      </c>
      <c r="W87" s="81">
        <f t="shared" si="16"/>
        <v>0</v>
      </c>
    </row>
    <row r="88" spans="1:25" x14ac:dyDescent="0.2">
      <c r="A88" s="80">
        <f>$A$57</f>
        <v>11</v>
      </c>
      <c r="B88" s="85">
        <f>$B$57</f>
        <v>1.0999999999999999</v>
      </c>
      <c r="C88" s="69">
        <f t="shared" ref="C88:W88" si="17">CUBIC($C$45:$W$45,$C$57:$W$57,C76)</f>
        <v>-2.8609132124352357E-2</v>
      </c>
      <c r="D88" s="69">
        <f t="shared" si="17"/>
        <v>0.54374343790924085</v>
      </c>
      <c r="E88" s="69">
        <f t="shared" si="17"/>
        <v>1.1208057021508284</v>
      </c>
      <c r="F88" s="69">
        <f t="shared" si="17"/>
        <v>1.4631912472242781</v>
      </c>
      <c r="G88" s="69">
        <f t="shared" si="17"/>
        <v>1.6575099534532824</v>
      </c>
      <c r="H88" s="69">
        <f t="shared" si="17"/>
        <v>1.754449307493025</v>
      </c>
      <c r="I88" s="69">
        <f t="shared" si="17"/>
        <v>1.8094905198428513</v>
      </c>
      <c r="J88" s="69">
        <f t="shared" si="17"/>
        <v>1.8094905198428513</v>
      </c>
      <c r="K88" s="69">
        <f t="shared" si="17"/>
        <v>1.8094905198428513</v>
      </c>
      <c r="L88" s="69">
        <f t="shared" si="17"/>
        <v>1.8094905198428513</v>
      </c>
      <c r="M88" s="69">
        <f t="shared" si="17"/>
        <v>1.8094905198428513</v>
      </c>
      <c r="N88" s="69">
        <f t="shared" si="17"/>
        <v>1.8094905198428513</v>
      </c>
      <c r="O88" s="69">
        <f t="shared" si="17"/>
        <v>1.8094905198428513</v>
      </c>
      <c r="P88" s="69">
        <f t="shared" si="17"/>
        <v>1.8094905198428513</v>
      </c>
      <c r="Q88" s="69">
        <f t="shared" si="17"/>
        <v>1.7500132594089846</v>
      </c>
      <c r="R88" s="69">
        <f t="shared" si="17"/>
        <v>1.5758298909639581</v>
      </c>
      <c r="S88" s="69">
        <f t="shared" si="17"/>
        <v>1.2798142526191425</v>
      </c>
      <c r="T88" s="69">
        <f t="shared" si="17"/>
        <v>0.87441077211324936</v>
      </c>
      <c r="U88" s="69">
        <f t="shared" si="17"/>
        <v>0.61437958705801965</v>
      </c>
      <c r="V88" s="69">
        <f t="shared" si="17"/>
        <v>0.30742529927973583</v>
      </c>
      <c r="W88" s="81">
        <f t="shared" si="17"/>
        <v>0</v>
      </c>
    </row>
    <row r="89" spans="1:25" x14ac:dyDescent="0.2">
      <c r="A89" s="80">
        <f>$A$58</f>
        <v>12</v>
      </c>
      <c r="B89" s="85">
        <f>$B$58</f>
        <v>1.2</v>
      </c>
      <c r="C89" s="69">
        <f t="shared" ref="C89:W89" si="18">CUBIC($C$45:$W$45,$C$58:$W$58,C76)</f>
        <v>0.03</v>
      </c>
      <c r="D89" s="69">
        <f t="shared" si="18"/>
        <v>0.8</v>
      </c>
      <c r="E89" s="69">
        <f t="shared" si="18"/>
        <v>1.32</v>
      </c>
      <c r="F89" s="69">
        <f t="shared" si="18"/>
        <v>1.6</v>
      </c>
      <c r="G89" s="69">
        <f t="shared" si="18"/>
        <v>1.76</v>
      </c>
      <c r="H89" s="69">
        <f t="shared" si="18"/>
        <v>1.85</v>
      </c>
      <c r="I89" s="69">
        <f t="shared" si="18"/>
        <v>1.89</v>
      </c>
      <c r="J89" s="69">
        <f t="shared" si="18"/>
        <v>1.89</v>
      </c>
      <c r="K89" s="69">
        <f t="shared" si="18"/>
        <v>1.89</v>
      </c>
      <c r="L89" s="69">
        <f t="shared" si="18"/>
        <v>1.89</v>
      </c>
      <c r="M89" s="69">
        <f t="shared" si="18"/>
        <v>1.89</v>
      </c>
      <c r="N89" s="69">
        <f t="shared" si="18"/>
        <v>1.89</v>
      </c>
      <c r="O89" s="69">
        <f t="shared" si="18"/>
        <v>1.89</v>
      </c>
      <c r="P89" s="69">
        <f t="shared" si="18"/>
        <v>1.89</v>
      </c>
      <c r="Q89" s="69">
        <f t="shared" si="18"/>
        <v>1.83</v>
      </c>
      <c r="R89" s="69">
        <f t="shared" si="18"/>
        <v>1.66</v>
      </c>
      <c r="S89" s="69">
        <f t="shared" si="18"/>
        <v>1.37</v>
      </c>
      <c r="T89" s="69">
        <f t="shared" si="18"/>
        <v>0.95</v>
      </c>
      <c r="U89" s="69">
        <f t="shared" si="18"/>
        <v>0.66</v>
      </c>
      <c r="V89" s="69">
        <f t="shared" si="18"/>
        <v>0.28000000000000003</v>
      </c>
      <c r="W89" s="81">
        <f t="shared" si="18"/>
        <v>0</v>
      </c>
    </row>
    <row r="90" spans="1:25" x14ac:dyDescent="0.2">
      <c r="A90" s="80">
        <f>$A$59</f>
        <v>13</v>
      </c>
      <c r="B90" s="85">
        <f>$B$59</f>
        <v>1.3</v>
      </c>
      <c r="C90" s="69">
        <f t="shared" ref="C90:W90" si="19">CUBIC($C$45:$W$45,$C$59:$W$59,C76)</f>
        <v>0.26326586787564799</v>
      </c>
      <c r="D90" s="69">
        <f t="shared" si="19"/>
        <v>1.030512668678472</v>
      </c>
      <c r="E90" s="69">
        <f t="shared" si="19"/>
        <v>1.4659379136892901</v>
      </c>
      <c r="F90" s="69">
        <f t="shared" si="19"/>
        <v>1.7091912472242785</v>
      </c>
      <c r="G90" s="69">
        <f t="shared" si="19"/>
        <v>1.8509041842225133</v>
      </c>
      <c r="H90" s="69">
        <f t="shared" si="19"/>
        <v>1.9322281536468715</v>
      </c>
      <c r="I90" s="69">
        <f t="shared" si="19"/>
        <v>1.9581251352274669</v>
      </c>
      <c r="J90" s="69">
        <f t="shared" si="19"/>
        <v>1.9581251352274669</v>
      </c>
      <c r="K90" s="69">
        <f t="shared" si="19"/>
        <v>1.9581251352274669</v>
      </c>
      <c r="L90" s="69">
        <f t="shared" si="19"/>
        <v>1.9581251352274669</v>
      </c>
      <c r="M90" s="69">
        <f t="shared" si="19"/>
        <v>1.9581251352274669</v>
      </c>
      <c r="N90" s="69">
        <f t="shared" si="19"/>
        <v>1.9581251352274669</v>
      </c>
      <c r="O90" s="69">
        <f t="shared" si="19"/>
        <v>1.9581251352274669</v>
      </c>
      <c r="P90" s="69">
        <f t="shared" si="19"/>
        <v>1.9581251352274669</v>
      </c>
      <c r="Q90" s="69">
        <f t="shared" si="19"/>
        <v>1.8990901824859079</v>
      </c>
      <c r="R90" s="69">
        <f t="shared" si="19"/>
        <v>1.7351952755793429</v>
      </c>
      <c r="S90" s="69">
        <f t="shared" si="19"/>
        <v>1.4411748295422195</v>
      </c>
      <c r="T90" s="69">
        <f t="shared" si="19"/>
        <v>1.0199420221132496</v>
      </c>
      <c r="U90" s="69">
        <f t="shared" si="19"/>
        <v>0.65977381782725031</v>
      </c>
      <c r="V90" s="69">
        <f t="shared" si="19"/>
        <v>0.2663339531258897</v>
      </c>
      <c r="W90" s="81">
        <f t="shared" si="19"/>
        <v>0</v>
      </c>
    </row>
    <row r="91" spans="1:25" x14ac:dyDescent="0.2">
      <c r="A91" s="80">
        <f>$A$60</f>
        <v>14</v>
      </c>
      <c r="B91" s="85">
        <f>$B$60</f>
        <v>1.4000000000000001</v>
      </c>
      <c r="C91" s="69">
        <f t="shared" ref="C91:W91" si="20">CUBIC($C$45:$W$45,$C$60:$W$60,C76)</f>
        <v>0.57000000000000051</v>
      </c>
      <c r="D91" s="69">
        <f t="shared" si="20"/>
        <v>1.2200000000000002</v>
      </c>
      <c r="E91" s="69">
        <f t="shared" si="20"/>
        <v>1.5800000000000003</v>
      </c>
      <c r="F91" s="69">
        <f t="shared" si="20"/>
        <v>1.8000000000000003</v>
      </c>
      <c r="G91" s="69">
        <f t="shared" si="20"/>
        <v>1.93</v>
      </c>
      <c r="H91" s="69">
        <f t="shared" si="20"/>
        <v>2</v>
      </c>
      <c r="I91" s="69">
        <f t="shared" si="20"/>
        <v>2.02</v>
      </c>
      <c r="J91" s="69">
        <f t="shared" si="20"/>
        <v>2.02</v>
      </c>
      <c r="K91" s="69">
        <f t="shared" si="20"/>
        <v>2.02</v>
      </c>
      <c r="L91" s="69">
        <f t="shared" si="20"/>
        <v>2.02</v>
      </c>
      <c r="M91" s="69">
        <f t="shared" si="20"/>
        <v>2.02</v>
      </c>
      <c r="N91" s="69">
        <f t="shared" si="20"/>
        <v>2.02</v>
      </c>
      <c r="O91" s="69">
        <f t="shared" si="20"/>
        <v>2.02</v>
      </c>
      <c r="P91" s="69">
        <f t="shared" si="20"/>
        <v>2.02</v>
      </c>
      <c r="Q91" s="69">
        <f t="shared" si="20"/>
        <v>1.96</v>
      </c>
      <c r="R91" s="69">
        <f t="shared" si="20"/>
        <v>1.8000000000000003</v>
      </c>
      <c r="S91" s="69">
        <f t="shared" si="20"/>
        <v>1.5</v>
      </c>
      <c r="T91" s="69">
        <f t="shared" si="20"/>
        <v>1.0800000000000003</v>
      </c>
      <c r="U91" s="69">
        <f t="shared" si="20"/>
        <v>0.64</v>
      </c>
      <c r="V91" s="69">
        <f t="shared" si="20"/>
        <v>0.26</v>
      </c>
      <c r="W91" s="81">
        <f t="shared" si="20"/>
        <v>0</v>
      </c>
    </row>
    <row r="92" spans="1:25" x14ac:dyDescent="0.2">
      <c r="A92" s="80">
        <f>$A$61</f>
        <v>15</v>
      </c>
      <c r="B92" s="85">
        <f>$B$61</f>
        <v>1.5</v>
      </c>
      <c r="C92" s="69">
        <f t="shared" ref="C92:W92" si="21">CUBIC($C$45:$W$45,$C$61:$W$61,C76)</f>
        <v>0.82742066062176189</v>
      </c>
      <c r="D92" s="69">
        <f t="shared" si="21"/>
        <v>1.3642058873768719</v>
      </c>
      <c r="E92" s="69">
        <f t="shared" si="21"/>
        <v>1.6854426430920117</v>
      </c>
      <c r="F92" s="69">
        <f t="shared" si="21"/>
        <v>1.8800437638786085</v>
      </c>
      <c r="G92" s="69">
        <f t="shared" si="21"/>
        <v>1.9951233096566643</v>
      </c>
      <c r="H92" s="69">
        <f t="shared" si="21"/>
        <v>2.0541380779194895</v>
      </c>
      <c r="I92" s="69">
        <f t="shared" si="21"/>
        <v>2.0792589392472816</v>
      </c>
      <c r="J92" s="69">
        <f t="shared" si="21"/>
        <v>2.0792589392472816</v>
      </c>
      <c r="K92" s="69">
        <f t="shared" si="21"/>
        <v>2.0792589392472816</v>
      </c>
      <c r="L92" s="69">
        <f t="shared" si="21"/>
        <v>2.0792589392472816</v>
      </c>
      <c r="M92" s="69">
        <f t="shared" si="21"/>
        <v>2.0792589392472816</v>
      </c>
      <c r="N92" s="69">
        <f t="shared" si="21"/>
        <v>2.0792589392472816</v>
      </c>
      <c r="O92" s="69">
        <f t="shared" si="21"/>
        <v>2.0792589392472816</v>
      </c>
      <c r="P92" s="69">
        <f t="shared" si="21"/>
        <v>2.0792589392472816</v>
      </c>
      <c r="Q92" s="69">
        <f t="shared" si="21"/>
        <v>2.0136260106473833</v>
      </c>
      <c r="R92" s="69">
        <f t="shared" si="21"/>
        <v>1.85338900671867</v>
      </c>
      <c r="S92" s="69">
        <f t="shared" si="21"/>
        <v>1.5542364292119797</v>
      </c>
      <c r="T92" s="69">
        <f t="shared" si="21"/>
        <v>1.1258211394337529</v>
      </c>
      <c r="U92" s="69">
        <f t="shared" si="21"/>
        <v>0.6290251416329784</v>
      </c>
      <c r="V92" s="69">
        <f t="shared" si="21"/>
        <v>0.24598888821670556</v>
      </c>
      <c r="W92" s="81">
        <f t="shared" si="21"/>
        <v>0</v>
      </c>
    </row>
    <row r="93" spans="1:25" x14ac:dyDescent="0.2">
      <c r="A93" s="80">
        <f>$A$62</f>
        <v>16</v>
      </c>
      <c r="B93" s="85">
        <f>$B$62</f>
        <v>1.5999999999999999</v>
      </c>
      <c r="C93" s="69">
        <f t="shared" ref="C93:W93" si="22">CUBIC($C$45:$W$45,$C$62:$W$62,C76)</f>
        <v>1.0149999999999999</v>
      </c>
      <c r="D93" s="69">
        <f t="shared" si="22"/>
        <v>1.48</v>
      </c>
      <c r="E93" s="69">
        <f t="shared" si="22"/>
        <v>1.78</v>
      </c>
      <c r="F93" s="69">
        <f t="shared" si="22"/>
        <v>1.95</v>
      </c>
      <c r="G93" s="69">
        <f t="shared" si="22"/>
        <v>2.0499999999999998</v>
      </c>
      <c r="H93" s="69">
        <f t="shared" si="22"/>
        <v>2.1</v>
      </c>
      <c r="I93" s="69">
        <f t="shared" si="22"/>
        <v>2.13</v>
      </c>
      <c r="J93" s="69">
        <f t="shared" si="22"/>
        <v>2.13</v>
      </c>
      <c r="K93" s="69">
        <f t="shared" si="22"/>
        <v>2.13</v>
      </c>
      <c r="L93" s="69">
        <f t="shared" si="22"/>
        <v>2.13</v>
      </c>
      <c r="M93" s="69">
        <f t="shared" si="22"/>
        <v>2.13</v>
      </c>
      <c r="N93" s="69">
        <f t="shared" si="22"/>
        <v>2.13</v>
      </c>
      <c r="O93" s="69">
        <f t="shared" si="22"/>
        <v>2.13</v>
      </c>
      <c r="P93" s="69">
        <f t="shared" si="22"/>
        <v>2.13</v>
      </c>
      <c r="Q93" s="69">
        <f t="shared" si="22"/>
        <v>2.06</v>
      </c>
      <c r="R93" s="69">
        <f t="shared" si="22"/>
        <v>1.9</v>
      </c>
      <c r="S93" s="69">
        <f t="shared" si="22"/>
        <v>1.6</v>
      </c>
      <c r="T93" s="69">
        <f t="shared" si="22"/>
        <v>1.1599999999999999</v>
      </c>
      <c r="U93" s="69">
        <f t="shared" si="22"/>
        <v>0.63</v>
      </c>
      <c r="V93" s="69">
        <f t="shared" si="22"/>
        <v>0.23</v>
      </c>
      <c r="W93" s="81">
        <f t="shared" si="22"/>
        <v>0</v>
      </c>
    </row>
    <row r="94" spans="1:25" x14ac:dyDescent="0.2">
      <c r="A94" s="80">
        <f>$A$63</f>
        <v>17</v>
      </c>
      <c r="B94" s="85">
        <f>$B$63</f>
        <v>1.7</v>
      </c>
      <c r="C94" s="69">
        <f t="shared" ref="C94:W94" si="23">CUBIC($C$45:$W$45,$C$63:$W$63,C76)</f>
        <v>1.1414264896373056</v>
      </c>
      <c r="D94" s="69">
        <f t="shared" si="23"/>
        <v>1.583913781814041</v>
      </c>
      <c r="E94" s="69">
        <f t="shared" si="23"/>
        <v>1.8572915139426636</v>
      </c>
      <c r="F94" s="69">
        <f t="shared" si="23"/>
        <v>2.009383697261288</v>
      </c>
      <c r="G94" s="69">
        <f t="shared" si="23"/>
        <v>2.0986025771508281</v>
      </c>
      <c r="H94" s="69">
        <f t="shared" si="23"/>
        <v>2.1424695346751697</v>
      </c>
      <c r="I94" s="69">
        <f t="shared" si="23"/>
        <v>2.1667141077834078</v>
      </c>
      <c r="J94" s="69">
        <f t="shared" si="23"/>
        <v>2.1667141077834078</v>
      </c>
      <c r="K94" s="69">
        <f t="shared" si="23"/>
        <v>2.1667141077834078</v>
      </c>
      <c r="L94" s="69">
        <f t="shared" si="23"/>
        <v>2.1667141077834078</v>
      </c>
      <c r="M94" s="69">
        <f t="shared" si="23"/>
        <v>2.1667141077834078</v>
      </c>
      <c r="N94" s="69">
        <f t="shared" si="23"/>
        <v>2.1667141077834078</v>
      </c>
      <c r="O94" s="69">
        <f t="shared" si="23"/>
        <v>2.1667141077834078</v>
      </c>
      <c r="P94" s="69">
        <f t="shared" si="23"/>
        <v>2.1667141077834078</v>
      </c>
      <c r="Q94" s="69">
        <f t="shared" si="23"/>
        <v>2.0989057749245572</v>
      </c>
      <c r="R94" s="69">
        <f t="shared" si="23"/>
        <v>1.9437486975459772</v>
      </c>
      <c r="S94" s="69">
        <f t="shared" si="23"/>
        <v>1.6331294536098615</v>
      </c>
      <c r="T94" s="69">
        <f t="shared" si="23"/>
        <v>1.1867734201517395</v>
      </c>
      <c r="U94" s="69">
        <f t="shared" si="23"/>
        <v>0.63912561564083592</v>
      </c>
      <c r="V94" s="69">
        <f t="shared" si="23"/>
        <v>0.21971049400728804</v>
      </c>
      <c r="W94" s="81">
        <f t="shared" si="23"/>
        <v>0</v>
      </c>
    </row>
    <row r="95" spans="1:25" x14ac:dyDescent="0.2">
      <c r="A95" s="80">
        <f>$A$64</f>
        <v>18</v>
      </c>
      <c r="B95" s="85">
        <f>$B$64</f>
        <v>1.7999999999999998</v>
      </c>
      <c r="C95" s="69">
        <f t="shared" ref="C95:W95" si="24">CUBIC($C$45:$W$45,$C$64:$W$64,C76)</f>
        <v>1.23</v>
      </c>
      <c r="D95" s="69">
        <f t="shared" si="24"/>
        <v>1.67</v>
      </c>
      <c r="E95" s="69">
        <f t="shared" si="24"/>
        <v>1.92</v>
      </c>
      <c r="F95" s="69">
        <f t="shared" si="24"/>
        <v>2.06</v>
      </c>
      <c r="G95" s="69">
        <f t="shared" si="24"/>
        <v>2.14</v>
      </c>
      <c r="H95" s="69">
        <f t="shared" si="24"/>
        <v>2.1800000000000002</v>
      </c>
      <c r="I95" s="69">
        <f t="shared" si="24"/>
        <v>2.1949999999999998</v>
      </c>
      <c r="J95" s="69">
        <f t="shared" si="24"/>
        <v>2.1949999999999998</v>
      </c>
      <c r="K95" s="69">
        <f t="shared" si="24"/>
        <v>2.1949999999999998</v>
      </c>
      <c r="L95" s="69">
        <f t="shared" si="24"/>
        <v>2.1949999999999998</v>
      </c>
      <c r="M95" s="69">
        <f t="shared" si="24"/>
        <v>2.1949999999999998</v>
      </c>
      <c r="N95" s="69">
        <f t="shared" si="24"/>
        <v>2.1949999999999998</v>
      </c>
      <c r="O95" s="69">
        <f t="shared" si="24"/>
        <v>2.1949999999999998</v>
      </c>
      <c r="P95" s="69">
        <f t="shared" si="24"/>
        <v>2.1949999999999998</v>
      </c>
      <c r="Q95" s="69">
        <f t="shared" si="24"/>
        <v>2.13</v>
      </c>
      <c r="R95" s="69">
        <f t="shared" si="24"/>
        <v>1.98</v>
      </c>
      <c r="S95" s="69">
        <f t="shared" si="24"/>
        <v>1.66</v>
      </c>
      <c r="T95" s="69">
        <f t="shared" si="24"/>
        <v>1.21</v>
      </c>
      <c r="U95" s="69">
        <f t="shared" si="24"/>
        <v>0.65</v>
      </c>
      <c r="V95" s="69">
        <f t="shared" si="24"/>
        <v>0.21</v>
      </c>
      <c r="W95" s="81">
        <f t="shared" si="24"/>
        <v>0</v>
      </c>
    </row>
    <row r="96" spans="1:25" x14ac:dyDescent="0.2">
      <c r="A96" s="80">
        <f>$A$65</f>
        <v>19</v>
      </c>
      <c r="B96" s="85">
        <f>$B$65</f>
        <v>1.9000000000000001</v>
      </c>
      <c r="C96" s="69">
        <f t="shared" ref="C96:W96" si="25">CUBIC($C$45:$W$45,$C$65:$W$65,C76)</f>
        <v>1.3037483808290158</v>
      </c>
      <c r="D96" s="69">
        <f t="shared" si="25"/>
        <v>1.7313889853669646</v>
      </c>
      <c r="E96" s="69">
        <f t="shared" si="25"/>
        <v>1.9728913011373344</v>
      </c>
      <c r="F96" s="69">
        <f t="shared" si="25"/>
        <v>2.1036714470762403</v>
      </c>
      <c r="G96" s="69">
        <f t="shared" si="25"/>
        <v>2.172966381740022</v>
      </c>
      <c r="H96" s="69">
        <f t="shared" si="25"/>
        <v>2.2097337833798325</v>
      </c>
      <c r="I96" s="69">
        <f t="shared" si="25"/>
        <v>2.2207596296190859</v>
      </c>
      <c r="J96" s="69">
        <f t="shared" si="25"/>
        <v>2.2207596296190859</v>
      </c>
      <c r="K96" s="69">
        <f t="shared" si="25"/>
        <v>2.2207596296190859</v>
      </c>
      <c r="L96" s="69">
        <f t="shared" si="25"/>
        <v>2.2207596296190859</v>
      </c>
      <c r="M96" s="69">
        <f t="shared" si="25"/>
        <v>2.2207596296190859</v>
      </c>
      <c r="N96" s="69">
        <f t="shared" si="25"/>
        <v>2.2207596296190859</v>
      </c>
      <c r="O96" s="69">
        <f t="shared" si="25"/>
        <v>2.2207596296190859</v>
      </c>
      <c r="P96" s="69">
        <f t="shared" si="25"/>
        <v>2.2207596296190859</v>
      </c>
      <c r="Q96" s="69">
        <f t="shared" si="25"/>
        <v>2.1532508896543869</v>
      </c>
      <c r="R96" s="69">
        <f t="shared" si="25"/>
        <v>2.0041162030974209</v>
      </c>
      <c r="S96" s="69">
        <f t="shared" si="25"/>
        <v>1.6869957563485738</v>
      </c>
      <c r="T96" s="69">
        <f t="shared" si="25"/>
        <v>1.2320851799592893</v>
      </c>
      <c r="U96" s="69">
        <f t="shared" si="25"/>
        <v>0.65697239580367817</v>
      </c>
      <c r="V96" s="69">
        <f t="shared" si="25"/>
        <v>0.19516913575414219</v>
      </c>
      <c r="W96" s="81">
        <f t="shared" si="25"/>
        <v>0</v>
      </c>
    </row>
    <row r="97" spans="1:23" x14ac:dyDescent="0.2">
      <c r="A97" s="80">
        <f>$A$66</f>
        <v>20</v>
      </c>
      <c r="B97" s="85">
        <f>$B$66</f>
        <v>2</v>
      </c>
      <c r="C97" s="69">
        <f t="shared" ref="C97:W97" si="26">CUBIC($C$45:$W$45,$C$66:$W$66,C76)</f>
        <v>1.37</v>
      </c>
      <c r="D97" s="69">
        <f t="shared" si="26"/>
        <v>1.78</v>
      </c>
      <c r="E97" s="69">
        <f t="shared" si="26"/>
        <v>2.02</v>
      </c>
      <c r="F97" s="69">
        <f t="shared" si="26"/>
        <v>2.14</v>
      </c>
      <c r="G97" s="69">
        <f t="shared" si="26"/>
        <v>2.2000000000000002</v>
      </c>
      <c r="H97" s="69">
        <f t="shared" si="26"/>
        <v>2.23</v>
      </c>
      <c r="I97" s="69">
        <f t="shared" si="26"/>
        <v>2.2400000000000002</v>
      </c>
      <c r="J97" s="69">
        <f t="shared" si="26"/>
        <v>2.2400000000000002</v>
      </c>
      <c r="K97" s="69">
        <f t="shared" si="26"/>
        <v>2.2400000000000002</v>
      </c>
      <c r="L97" s="69">
        <f t="shared" si="26"/>
        <v>2.2400000000000002</v>
      </c>
      <c r="M97" s="69">
        <f t="shared" si="26"/>
        <v>2.2400000000000002</v>
      </c>
      <c r="N97" s="69">
        <f t="shared" si="26"/>
        <v>2.2400000000000002</v>
      </c>
      <c r="O97" s="69">
        <f t="shared" si="26"/>
        <v>2.2400000000000002</v>
      </c>
      <c r="P97" s="69">
        <f t="shared" si="26"/>
        <v>2.2400000000000002</v>
      </c>
      <c r="Q97" s="69">
        <f t="shared" si="26"/>
        <v>2.17</v>
      </c>
      <c r="R97" s="69">
        <f t="shared" si="26"/>
        <v>2.02</v>
      </c>
      <c r="S97" s="69">
        <f t="shared" si="26"/>
        <v>1.71</v>
      </c>
      <c r="T97" s="69">
        <f t="shared" si="26"/>
        <v>1.25</v>
      </c>
      <c r="U97" s="69">
        <f t="shared" si="26"/>
        <v>0.66</v>
      </c>
      <c r="V97" s="69">
        <f t="shared" si="26"/>
        <v>0.17999999999999997</v>
      </c>
      <c r="W97" s="81">
        <f t="shared" si="26"/>
        <v>0</v>
      </c>
    </row>
    <row r="98" spans="1:23" x14ac:dyDescent="0.2">
      <c r="A98" s="80">
        <f>$A$67</f>
        <v>21</v>
      </c>
      <c r="B98" s="85">
        <f>$B$67</f>
        <v>2.1</v>
      </c>
      <c r="C98" s="69">
        <f t="shared" ref="C98:W98" si="27">CUBIC($C$45:$W$45,$C$67:$W$67,C76)</f>
        <v>1.4304549870466323</v>
      </c>
      <c r="D98" s="69">
        <f t="shared" si="27"/>
        <v>1.8280302767181007</v>
      </c>
      <c r="E98" s="69">
        <f t="shared" si="27"/>
        <v>2.0636432815080004</v>
      </c>
      <c r="F98" s="69">
        <f t="shared" si="27"/>
        <v>2.1684305144337528</v>
      </c>
      <c r="G98" s="69">
        <f t="shared" si="27"/>
        <v>2.2232818958890852</v>
      </c>
      <c r="H98" s="69">
        <f t="shared" si="27"/>
        <v>2.2404703318055001</v>
      </c>
      <c r="I98" s="69">
        <f t="shared" si="27"/>
        <v>2.2483723737402497</v>
      </c>
      <c r="J98" s="69">
        <f t="shared" si="27"/>
        <v>2.2483723737402497</v>
      </c>
      <c r="K98" s="69">
        <f t="shared" si="27"/>
        <v>2.2483723737402497</v>
      </c>
      <c r="L98" s="69">
        <f t="shared" si="27"/>
        <v>2.2483723737402497</v>
      </c>
      <c r="M98" s="69">
        <f t="shared" si="27"/>
        <v>2.2483723737402497</v>
      </c>
      <c r="N98" s="69">
        <f t="shared" si="27"/>
        <v>2.2483723737402497</v>
      </c>
      <c r="O98" s="69">
        <f t="shared" si="27"/>
        <v>2.2483723737402497</v>
      </c>
      <c r="P98" s="69">
        <f t="shared" si="27"/>
        <v>2.2483723737402497</v>
      </c>
      <c r="Q98" s="69">
        <f t="shared" si="27"/>
        <v>2.181840666457894</v>
      </c>
      <c r="R98" s="69">
        <f t="shared" si="27"/>
        <v>2.0322864900643403</v>
      </c>
      <c r="S98" s="69">
        <f t="shared" si="27"/>
        <v>1.7238875209958435</v>
      </c>
      <c r="T98" s="69">
        <f t="shared" si="27"/>
        <v>1.2605108600111028</v>
      </c>
      <c r="U98" s="69">
        <f t="shared" si="27"/>
        <v>0.66048480114445141</v>
      </c>
      <c r="V98" s="69">
        <f t="shared" si="27"/>
        <v>0.16961296297614298</v>
      </c>
      <c r="W98" s="81">
        <f t="shared" si="27"/>
        <v>0</v>
      </c>
    </row>
    <row r="99" spans="1:23" x14ac:dyDescent="0.2">
      <c r="A99" s="80">
        <f>$A$68</f>
        <v>22</v>
      </c>
      <c r="B99" s="85">
        <f>$B$68</f>
        <v>2.1999999999999997</v>
      </c>
      <c r="C99" s="69">
        <f t="shared" ref="C99:W99" si="28">CUBIC($C$45:$W$45,$C$68:$W$68,C76)</f>
        <v>1.48</v>
      </c>
      <c r="D99" s="69">
        <f t="shared" si="28"/>
        <v>1.87</v>
      </c>
      <c r="E99" s="69">
        <f t="shared" si="28"/>
        <v>2.1</v>
      </c>
      <c r="F99" s="69">
        <f t="shared" si="28"/>
        <v>2.19</v>
      </c>
      <c r="G99" s="69">
        <f t="shared" si="28"/>
        <v>2.2400000000000002</v>
      </c>
      <c r="H99" s="69">
        <f t="shared" si="28"/>
        <v>2.2450000000000001</v>
      </c>
      <c r="I99" s="69">
        <f t="shared" si="28"/>
        <v>2.25</v>
      </c>
      <c r="J99" s="69">
        <f t="shared" si="28"/>
        <v>2.25</v>
      </c>
      <c r="K99" s="69">
        <f t="shared" si="28"/>
        <v>2.25</v>
      </c>
      <c r="L99" s="69">
        <f t="shared" si="28"/>
        <v>2.25</v>
      </c>
      <c r="M99" s="69">
        <f t="shared" si="28"/>
        <v>2.25</v>
      </c>
      <c r="N99" s="69">
        <f t="shared" si="28"/>
        <v>2.25</v>
      </c>
      <c r="O99" s="69">
        <f t="shared" si="28"/>
        <v>2.25</v>
      </c>
      <c r="P99" s="69">
        <f t="shared" si="28"/>
        <v>2.25</v>
      </c>
      <c r="Q99" s="69">
        <f t="shared" si="28"/>
        <v>2.19</v>
      </c>
      <c r="R99" s="69">
        <f t="shared" si="28"/>
        <v>2.04</v>
      </c>
      <c r="S99" s="69">
        <f t="shared" si="28"/>
        <v>1.73</v>
      </c>
      <c r="T99" s="69">
        <f t="shared" si="28"/>
        <v>1.2649999999999999</v>
      </c>
      <c r="U99" s="69">
        <f t="shared" si="28"/>
        <v>0.66</v>
      </c>
      <c r="V99" s="69">
        <f t="shared" si="28"/>
        <v>0.16</v>
      </c>
      <c r="W99" s="81">
        <f t="shared" si="28"/>
        <v>0</v>
      </c>
    </row>
    <row r="100" spans="1:23" x14ac:dyDescent="0.2">
      <c r="A100" s="80">
        <f>$A$99+1</f>
        <v>23</v>
      </c>
      <c r="B100" s="85">
        <f>$B$69</f>
        <v>2.2999999999999998</v>
      </c>
      <c r="C100" s="69">
        <f t="shared" ref="C100:W100" si="29">CUBIC($C$45:$W$45,$C$69:$W$69,C76)</f>
        <v>1.5144316709844559</v>
      </c>
      <c r="D100" s="69">
        <f t="shared" si="29"/>
        <v>1.8989899077606331</v>
      </c>
      <c r="E100" s="69">
        <f t="shared" si="29"/>
        <v>2.1256605728306668</v>
      </c>
      <c r="F100" s="69">
        <f t="shared" si="29"/>
        <v>2.2063564951887491</v>
      </c>
      <c r="G100" s="69">
        <f t="shared" si="29"/>
        <v>2.2476560347036383</v>
      </c>
      <c r="H100" s="69">
        <f t="shared" si="29"/>
        <v>2.2477598893981665</v>
      </c>
      <c r="I100" s="69">
        <f t="shared" si="29"/>
        <v>2.2501258754199167</v>
      </c>
      <c r="J100" s="69">
        <f t="shared" si="29"/>
        <v>2.2501258754199167</v>
      </c>
      <c r="K100" s="69">
        <f t="shared" si="29"/>
        <v>2.2501258754199167</v>
      </c>
      <c r="L100" s="69">
        <f t="shared" si="29"/>
        <v>2.2501258754199167</v>
      </c>
      <c r="M100" s="69">
        <f t="shared" si="29"/>
        <v>2.2501258754199167</v>
      </c>
      <c r="N100" s="69">
        <f t="shared" si="29"/>
        <v>2.2501258754199167</v>
      </c>
      <c r="O100" s="69">
        <f t="shared" si="29"/>
        <v>2.2501258754199167</v>
      </c>
      <c r="P100" s="69">
        <f t="shared" si="29"/>
        <v>2.2501258754199167</v>
      </c>
      <c r="Q100" s="69">
        <f t="shared" si="29"/>
        <v>2.1956364445140353</v>
      </c>
      <c r="R100" s="69">
        <f t="shared" si="29"/>
        <v>2.0417378366452201</v>
      </c>
      <c r="S100" s="69">
        <f t="shared" si="29"/>
        <v>1.7312041596680521</v>
      </c>
      <c r="T100" s="69">
        <f t="shared" si="29"/>
        <v>1.2658713799962988</v>
      </c>
      <c r="U100" s="69">
        <f t="shared" si="29"/>
        <v>0.6598383996185162</v>
      </c>
      <c r="V100" s="69">
        <f t="shared" si="29"/>
        <v>0.14637901234128567</v>
      </c>
      <c r="W100" s="81">
        <f t="shared" si="29"/>
        <v>0</v>
      </c>
    </row>
    <row r="101" spans="1:23" ht="13.5" thickBot="1" x14ac:dyDescent="0.25">
      <c r="A101" s="82">
        <f>$A$100+1</f>
        <v>24</v>
      </c>
      <c r="B101" s="89">
        <f>$B$70</f>
        <v>2.4</v>
      </c>
      <c r="C101" s="90">
        <f t="shared" ref="C101:W101" si="30">CUBIC($C$45:$W$45,$C$70:$W$70,C76)</f>
        <v>1.54</v>
      </c>
      <c r="D101" s="90">
        <f t="shared" si="30"/>
        <v>1.92</v>
      </c>
      <c r="E101" s="90">
        <f t="shared" si="30"/>
        <v>2.145</v>
      </c>
      <c r="F101" s="90">
        <f t="shared" si="30"/>
        <v>2.2200000000000002</v>
      </c>
      <c r="G101" s="90">
        <f t="shared" si="30"/>
        <v>2.25</v>
      </c>
      <c r="H101" s="90">
        <f t="shared" si="30"/>
        <v>2.25</v>
      </c>
      <c r="I101" s="90">
        <f t="shared" si="30"/>
        <v>2.25</v>
      </c>
      <c r="J101" s="90">
        <f t="shared" si="30"/>
        <v>2.25</v>
      </c>
      <c r="K101" s="90">
        <f t="shared" si="30"/>
        <v>2.25</v>
      </c>
      <c r="L101" s="90">
        <f t="shared" si="30"/>
        <v>2.25</v>
      </c>
      <c r="M101" s="90">
        <f t="shared" si="30"/>
        <v>2.25</v>
      </c>
      <c r="N101" s="90">
        <f t="shared" si="30"/>
        <v>2.25</v>
      </c>
      <c r="O101" s="90">
        <f t="shared" si="30"/>
        <v>2.25</v>
      </c>
      <c r="P101" s="90">
        <f t="shared" si="30"/>
        <v>2.25</v>
      </c>
      <c r="Q101" s="90">
        <f t="shared" si="30"/>
        <v>2.2000000000000002</v>
      </c>
      <c r="R101" s="90">
        <f t="shared" si="30"/>
        <v>2.04</v>
      </c>
      <c r="S101" s="90">
        <f t="shared" si="30"/>
        <v>1.73</v>
      </c>
      <c r="T101" s="90">
        <f t="shared" si="30"/>
        <v>1.2649999999999999</v>
      </c>
      <c r="U101" s="90">
        <f t="shared" si="30"/>
        <v>0.66</v>
      </c>
      <c r="V101" s="90">
        <f t="shared" si="30"/>
        <v>0.13</v>
      </c>
      <c r="W101" s="83">
        <f t="shared" si="30"/>
        <v>0</v>
      </c>
    </row>
    <row r="102" spans="1:23" x14ac:dyDescent="0.2">
      <c r="A102" s="67"/>
      <c r="B102" s="19"/>
      <c r="C102" s="19"/>
      <c r="D102" s="19"/>
      <c r="E102" s="19"/>
      <c r="F102" s="19"/>
      <c r="G102" s="19"/>
      <c r="H102" s="19"/>
      <c r="I102" s="19"/>
      <c r="J102" s="19"/>
      <c r="K102" s="19"/>
      <c r="L102" s="19"/>
      <c r="M102" s="19"/>
      <c r="N102" s="19"/>
      <c r="O102" s="19"/>
      <c r="P102" s="19"/>
      <c r="Q102" s="19"/>
      <c r="R102" s="19"/>
      <c r="S102" s="19"/>
      <c r="T102" s="19"/>
      <c r="U102" s="19"/>
      <c r="V102" s="19"/>
    </row>
    <row r="103" spans="1:23" ht="13.5" thickBot="1" x14ac:dyDescent="0.25">
      <c r="A103" s="67" t="s">
        <v>4</v>
      </c>
      <c r="B103" s="19"/>
      <c r="C103" s="19"/>
      <c r="D103" s="19"/>
      <c r="E103" s="19"/>
      <c r="F103" s="19"/>
      <c r="G103" s="19"/>
      <c r="H103" s="19"/>
      <c r="I103" s="19"/>
      <c r="J103" s="19"/>
      <c r="K103" s="19"/>
      <c r="L103" s="19"/>
      <c r="M103" s="19"/>
      <c r="N103" s="19"/>
      <c r="O103" s="19"/>
      <c r="P103" s="19"/>
      <c r="Q103" s="19"/>
      <c r="R103" s="19"/>
      <c r="S103" s="19"/>
      <c r="T103" s="19"/>
      <c r="U103" s="19"/>
      <c r="V103" s="19"/>
    </row>
    <row r="104" spans="1:23" x14ac:dyDescent="0.2">
      <c r="A104" s="86"/>
      <c r="B104" s="87"/>
      <c r="C104" s="72">
        <v>21</v>
      </c>
      <c r="D104" s="72">
        <v>20</v>
      </c>
      <c r="E104" s="72">
        <v>19</v>
      </c>
      <c r="F104" s="72">
        <v>18</v>
      </c>
      <c r="G104" s="72">
        <v>17</v>
      </c>
      <c r="H104" s="72">
        <v>16</v>
      </c>
      <c r="I104" s="72">
        <v>15</v>
      </c>
      <c r="J104" s="72">
        <v>14</v>
      </c>
      <c r="K104" s="72">
        <v>13</v>
      </c>
      <c r="L104" s="72">
        <v>12</v>
      </c>
      <c r="M104" s="72">
        <v>11</v>
      </c>
      <c r="N104" s="72">
        <v>10</v>
      </c>
      <c r="O104" s="72">
        <v>9</v>
      </c>
      <c r="P104" s="72">
        <v>8</v>
      </c>
      <c r="Q104" s="72">
        <v>7</v>
      </c>
      <c r="R104" s="72">
        <v>6</v>
      </c>
      <c r="S104" s="72">
        <v>5</v>
      </c>
      <c r="T104" s="72">
        <v>4</v>
      </c>
      <c r="U104" s="72">
        <v>3</v>
      </c>
      <c r="V104" s="72">
        <v>2</v>
      </c>
      <c r="W104" s="73">
        <v>1</v>
      </c>
    </row>
    <row r="105" spans="1:23" x14ac:dyDescent="0.2">
      <c r="A105" s="88" t="s">
        <v>53</v>
      </c>
      <c r="B105" s="56" t="s">
        <v>54</v>
      </c>
      <c r="C105" s="68">
        <v>0</v>
      </c>
      <c r="D105" s="68">
        <f t="shared" ref="D105:V105" si="31">C105+$W$76/20</f>
        <v>1.6175000000000002</v>
      </c>
      <c r="E105" s="68">
        <f t="shared" si="31"/>
        <v>3.2350000000000003</v>
      </c>
      <c r="F105" s="68">
        <f t="shared" si="31"/>
        <v>4.8525000000000009</v>
      </c>
      <c r="G105" s="68">
        <f t="shared" si="31"/>
        <v>6.4700000000000006</v>
      </c>
      <c r="H105" s="68">
        <f t="shared" si="31"/>
        <v>8.0875000000000004</v>
      </c>
      <c r="I105" s="68">
        <f t="shared" si="31"/>
        <v>9.7050000000000001</v>
      </c>
      <c r="J105" s="68">
        <f t="shared" si="31"/>
        <v>11.3225</v>
      </c>
      <c r="K105" s="68">
        <f t="shared" si="31"/>
        <v>12.94</v>
      </c>
      <c r="L105" s="68">
        <f t="shared" si="31"/>
        <v>14.557499999999999</v>
      </c>
      <c r="M105" s="68">
        <f t="shared" si="31"/>
        <v>16.175000000000001</v>
      </c>
      <c r="N105" s="68">
        <f t="shared" si="31"/>
        <v>17.7925</v>
      </c>
      <c r="O105" s="68">
        <f t="shared" si="31"/>
        <v>19.41</v>
      </c>
      <c r="P105" s="68">
        <f t="shared" si="31"/>
        <v>21.0275</v>
      </c>
      <c r="Q105" s="68">
        <f t="shared" si="31"/>
        <v>22.645</v>
      </c>
      <c r="R105" s="68">
        <f t="shared" si="31"/>
        <v>24.262499999999999</v>
      </c>
      <c r="S105" s="68">
        <f t="shared" si="31"/>
        <v>25.88</v>
      </c>
      <c r="T105" s="68">
        <f t="shared" si="31"/>
        <v>27.497499999999999</v>
      </c>
      <c r="U105" s="68">
        <f t="shared" si="31"/>
        <v>29.114999999999998</v>
      </c>
      <c r="V105" s="68">
        <f t="shared" si="31"/>
        <v>30.732499999999998</v>
      </c>
      <c r="W105" s="58">
        <f>E5</f>
        <v>32.35</v>
      </c>
    </row>
    <row r="106" spans="1:23" x14ac:dyDescent="0.2">
      <c r="A106" s="80">
        <f>$A$46</f>
        <v>0</v>
      </c>
      <c r="B106" s="85">
        <f>$B$46</f>
        <v>0</v>
      </c>
      <c r="C106" s="69">
        <v>0</v>
      </c>
      <c r="D106" s="69">
        <v>0</v>
      </c>
      <c r="E106" s="69">
        <v>0</v>
      </c>
      <c r="F106" s="69">
        <v>0</v>
      </c>
      <c r="G106" s="69">
        <v>0</v>
      </c>
      <c r="H106" s="69">
        <v>0</v>
      </c>
      <c r="I106" s="69">
        <v>0</v>
      </c>
      <c r="J106" s="69">
        <v>0</v>
      </c>
      <c r="K106" s="69">
        <v>0</v>
      </c>
      <c r="L106" s="69">
        <v>0</v>
      </c>
      <c r="M106" s="69">
        <v>0</v>
      </c>
      <c r="N106" s="69">
        <v>0</v>
      </c>
      <c r="O106" s="69">
        <v>0</v>
      </c>
      <c r="P106" s="69">
        <v>0</v>
      </c>
      <c r="Q106" s="69">
        <v>0</v>
      </c>
      <c r="R106" s="69">
        <v>0</v>
      </c>
      <c r="S106" s="69">
        <v>0</v>
      </c>
      <c r="T106" s="69">
        <v>0</v>
      </c>
      <c r="U106" s="69">
        <v>0</v>
      </c>
      <c r="V106" s="69">
        <v>0</v>
      </c>
      <c r="W106" s="69">
        <v>0</v>
      </c>
    </row>
    <row r="107" spans="1:23" x14ac:dyDescent="0.2">
      <c r="A107" s="80">
        <f>$A$47</f>
        <v>1</v>
      </c>
      <c r="B107" s="85">
        <f>$B$47</f>
        <v>9.9999999999999992E-2</v>
      </c>
      <c r="C107" s="69">
        <f t="shared" ref="C107:W107" si="32">h/12*(5*C77+8*C78-C79)</f>
        <v>3.7780656303972347E-6</v>
      </c>
      <c r="D107" s="69">
        <f t="shared" si="32"/>
        <v>3.1378466093492012E-5</v>
      </c>
      <c r="E107" s="69">
        <f t="shared" si="32"/>
        <v>3.5224086147013568E-5</v>
      </c>
      <c r="F107" s="69">
        <f t="shared" si="32"/>
        <v>-5.095669874167286E-4</v>
      </c>
      <c r="G107" s="69">
        <f t="shared" si="32"/>
        <v>2.2174535956271703E-3</v>
      </c>
      <c r="H107" s="69">
        <f t="shared" si="32"/>
        <v>8.1737362162880283E-3</v>
      </c>
      <c r="I107" s="69">
        <f t="shared" si="32"/>
        <v>8.6994173356867641E-3</v>
      </c>
      <c r="J107" s="69">
        <f t="shared" si="32"/>
        <v>8.6994173356867641E-3</v>
      </c>
      <c r="K107" s="69">
        <f t="shared" si="32"/>
        <v>8.6994173356867641E-3</v>
      </c>
      <c r="L107" s="69">
        <f t="shared" si="32"/>
        <v>8.6994173356867641E-3</v>
      </c>
      <c r="M107" s="69">
        <f t="shared" si="32"/>
        <v>8.6994173356867641E-3</v>
      </c>
      <c r="N107" s="69">
        <f t="shared" si="32"/>
        <v>8.6994173356867641E-3</v>
      </c>
      <c r="O107" s="69">
        <f t="shared" si="32"/>
        <v>8.6994173356867641E-3</v>
      </c>
      <c r="P107" s="69">
        <f t="shared" si="32"/>
        <v>8.6994173356867641E-3</v>
      </c>
      <c r="Q107" s="69">
        <f t="shared" si="32"/>
        <v>8.57063476247414E-3</v>
      </c>
      <c r="R107" s="69">
        <f t="shared" si="32"/>
        <v>1.958163468655696E-3</v>
      </c>
      <c r="S107" s="69">
        <f t="shared" si="32"/>
        <v>-6.270944836683182E-4</v>
      </c>
      <c r="T107" s="69">
        <f t="shared" si="32"/>
        <v>3.1008666419935707E-5</v>
      </c>
      <c r="U107" s="69">
        <f t="shared" si="32"/>
        <v>7.9611256619028606E-5</v>
      </c>
      <c r="V107" s="69">
        <f t="shared" si="32"/>
        <v>-3.530943365787925E-5</v>
      </c>
      <c r="W107" s="69">
        <f t="shared" si="32"/>
        <v>0</v>
      </c>
    </row>
    <row r="108" spans="1:23" x14ac:dyDescent="0.2">
      <c r="A108" s="80">
        <f>$A$48</f>
        <v>2</v>
      </c>
      <c r="B108" s="85">
        <f>$B$48</f>
        <v>0.19999999999999998</v>
      </c>
      <c r="C108" s="69">
        <f t="shared" ref="C108:W108" si="33">h/3*(C77+4*C78+C79)</f>
        <v>7.5561312607944693E-6</v>
      </c>
      <c r="D108" s="69">
        <f t="shared" si="33"/>
        <v>6.2756932186984024E-5</v>
      </c>
      <c r="E108" s="69">
        <f t="shared" si="33"/>
        <v>7.0448172294027136E-5</v>
      </c>
      <c r="F108" s="69">
        <f t="shared" si="33"/>
        <v>-1.0191339748334572E-3</v>
      </c>
      <c r="G108" s="69">
        <f t="shared" si="33"/>
        <v>8.1849071912543404E-3</v>
      </c>
      <c r="H108" s="69">
        <f t="shared" si="33"/>
        <v>1.6847472432576057E-2</v>
      </c>
      <c r="I108" s="69">
        <f t="shared" si="33"/>
        <v>1.7898834671373532E-2</v>
      </c>
      <c r="J108" s="69">
        <f t="shared" si="33"/>
        <v>1.7898834671373532E-2</v>
      </c>
      <c r="K108" s="69">
        <f t="shared" si="33"/>
        <v>1.7898834671373532E-2</v>
      </c>
      <c r="L108" s="69">
        <f t="shared" si="33"/>
        <v>1.7898834671373532E-2</v>
      </c>
      <c r="M108" s="69">
        <f t="shared" si="33"/>
        <v>1.7898834671373532E-2</v>
      </c>
      <c r="N108" s="69">
        <f t="shared" si="33"/>
        <v>1.7898834671373532E-2</v>
      </c>
      <c r="O108" s="69">
        <f t="shared" si="33"/>
        <v>1.7898834671373532E-2</v>
      </c>
      <c r="P108" s="69">
        <f t="shared" si="33"/>
        <v>1.7898834671373532E-2</v>
      </c>
      <c r="Q108" s="69">
        <f t="shared" si="33"/>
        <v>1.764126952494828E-2</v>
      </c>
      <c r="R108" s="69">
        <f t="shared" si="33"/>
        <v>6.9163269373113921E-3</v>
      </c>
      <c r="S108" s="69">
        <f t="shared" si="33"/>
        <v>-1.2541889673366364E-3</v>
      </c>
      <c r="T108" s="69">
        <f t="shared" si="33"/>
        <v>6.2017332839871413E-5</v>
      </c>
      <c r="U108" s="69">
        <f t="shared" si="33"/>
        <v>1.5922251323805721E-4</v>
      </c>
      <c r="V108" s="69">
        <f t="shared" si="33"/>
        <v>-7.0618867315758499E-5</v>
      </c>
      <c r="W108" s="69">
        <f t="shared" si="33"/>
        <v>0</v>
      </c>
    </row>
    <row r="109" spans="1:23" x14ac:dyDescent="0.2">
      <c r="A109" s="80">
        <f>$A$49</f>
        <v>3</v>
      </c>
      <c r="B109" s="85">
        <f>$B$49</f>
        <v>0.3</v>
      </c>
      <c r="C109" s="69">
        <f t="shared" ref="C109:W109" si="34">C107+h/3*(C78+4*C79+C80)</f>
        <v>0</v>
      </c>
      <c r="D109" s="69">
        <f t="shared" si="34"/>
        <v>0</v>
      </c>
      <c r="E109" s="69">
        <f t="shared" si="34"/>
        <v>0</v>
      </c>
      <c r="F109" s="69">
        <f t="shared" si="34"/>
        <v>4.1666666666666707E-4</v>
      </c>
      <c r="G109" s="69">
        <f t="shared" si="34"/>
        <v>1.6999999999999998E-2</v>
      </c>
      <c r="H109" s="69">
        <f t="shared" si="34"/>
        <v>2.6749999999999996E-2</v>
      </c>
      <c r="I109" s="69">
        <f t="shared" si="34"/>
        <v>2.6749999999999999E-2</v>
      </c>
      <c r="J109" s="69">
        <f t="shared" si="34"/>
        <v>2.6749999999999999E-2</v>
      </c>
      <c r="K109" s="69">
        <f t="shared" si="34"/>
        <v>2.6749999999999999E-2</v>
      </c>
      <c r="L109" s="69">
        <f t="shared" si="34"/>
        <v>2.6749999999999999E-2</v>
      </c>
      <c r="M109" s="69">
        <f t="shared" si="34"/>
        <v>2.6749999999999999E-2</v>
      </c>
      <c r="N109" s="69">
        <f t="shared" si="34"/>
        <v>2.6749999999999999E-2</v>
      </c>
      <c r="O109" s="69">
        <f t="shared" si="34"/>
        <v>2.6749999999999999E-2</v>
      </c>
      <c r="P109" s="69">
        <f t="shared" si="34"/>
        <v>2.6749999999999999E-2</v>
      </c>
      <c r="Q109" s="69">
        <f t="shared" si="34"/>
        <v>2.6749999999999996E-2</v>
      </c>
      <c r="R109" s="69">
        <f t="shared" si="34"/>
        <v>1.3708333333333336E-2</v>
      </c>
      <c r="S109" s="69">
        <f t="shared" si="34"/>
        <v>5.4166666666666686E-4</v>
      </c>
      <c r="T109" s="69">
        <f t="shared" si="34"/>
        <v>1.2500000000000022E-4</v>
      </c>
      <c r="U109" s="69">
        <f t="shared" si="34"/>
        <v>0</v>
      </c>
      <c r="V109" s="69">
        <f t="shared" si="34"/>
        <v>0</v>
      </c>
      <c r="W109" s="69">
        <f t="shared" si="34"/>
        <v>0</v>
      </c>
    </row>
    <row r="110" spans="1:23" x14ac:dyDescent="0.2">
      <c r="A110" s="80">
        <f>$A$50</f>
        <v>4</v>
      </c>
      <c r="B110" s="85">
        <f>$B$50</f>
        <v>0.39999999999999997</v>
      </c>
      <c r="C110" s="69">
        <f t="shared" ref="C110:W110" si="35">C108+h/3*(C79+4*C80+C81)</f>
        <v>-1.5112262521588944E-5</v>
      </c>
      <c r="D110" s="69">
        <f t="shared" si="35"/>
        <v>-1.2551386437396802E-4</v>
      </c>
      <c r="E110" s="69">
        <f t="shared" si="35"/>
        <v>-1.408963445880543E-4</v>
      </c>
      <c r="F110" s="69">
        <f t="shared" si="35"/>
        <v>7.0382679496669171E-3</v>
      </c>
      <c r="G110" s="69">
        <f t="shared" si="35"/>
        <v>3.0130185617491315E-2</v>
      </c>
      <c r="H110" s="69">
        <f t="shared" si="35"/>
        <v>4.2305055134847884E-2</v>
      </c>
      <c r="I110" s="69">
        <f t="shared" si="35"/>
        <v>4.0202330657252941E-2</v>
      </c>
      <c r="J110" s="69">
        <f t="shared" si="35"/>
        <v>4.0202330657252941E-2</v>
      </c>
      <c r="K110" s="69">
        <f t="shared" si="35"/>
        <v>4.0202330657252941E-2</v>
      </c>
      <c r="L110" s="69">
        <f t="shared" si="35"/>
        <v>4.0202330657252941E-2</v>
      </c>
      <c r="M110" s="69">
        <f t="shared" si="35"/>
        <v>4.0202330657252941E-2</v>
      </c>
      <c r="N110" s="69">
        <f t="shared" si="35"/>
        <v>4.0202330657252941E-2</v>
      </c>
      <c r="O110" s="69">
        <f t="shared" si="35"/>
        <v>4.0202330657252941E-2</v>
      </c>
      <c r="P110" s="69">
        <f t="shared" si="35"/>
        <v>4.0202330657252941E-2</v>
      </c>
      <c r="Q110" s="69">
        <f t="shared" si="35"/>
        <v>4.0717460950103437E-2</v>
      </c>
      <c r="R110" s="69">
        <f t="shared" si="35"/>
        <v>2.4667346125377219E-2</v>
      </c>
      <c r="S110" s="69">
        <f t="shared" si="35"/>
        <v>9.0083779346732742E-3</v>
      </c>
      <c r="T110" s="69">
        <f t="shared" si="35"/>
        <v>1.3759653343202582E-3</v>
      </c>
      <c r="U110" s="69">
        <f t="shared" si="35"/>
        <v>-3.1844502647611437E-4</v>
      </c>
      <c r="V110" s="69">
        <f t="shared" si="35"/>
        <v>1.4123773463151703E-4</v>
      </c>
      <c r="W110" s="69">
        <f t="shared" si="35"/>
        <v>0</v>
      </c>
    </row>
    <row r="111" spans="1:23" x14ac:dyDescent="0.2">
      <c r="A111" s="80">
        <f>$A$51</f>
        <v>5</v>
      </c>
      <c r="B111" s="85">
        <f>$B$51</f>
        <v>0.5</v>
      </c>
      <c r="C111" s="69">
        <f t="shared" ref="C111:W111" si="36">C109+h/3*(C80+4*C81+C82)</f>
        <v>1.5112262521588951E-5</v>
      </c>
      <c r="D111" s="69">
        <f t="shared" si="36"/>
        <v>1.255138643739681E-4</v>
      </c>
      <c r="E111" s="69">
        <f t="shared" si="36"/>
        <v>4.3256301125472113E-4</v>
      </c>
      <c r="F111" s="69">
        <f t="shared" si="36"/>
        <v>2.1503398716999751E-2</v>
      </c>
      <c r="G111" s="69">
        <f t="shared" si="36"/>
        <v>5.6515647715842013E-2</v>
      </c>
      <c r="H111" s="69">
        <f t="shared" si="36"/>
        <v>7.5236611531818792E-2</v>
      </c>
      <c r="I111" s="69">
        <f t="shared" si="36"/>
        <v>7.8172669342747067E-2</v>
      </c>
      <c r="J111" s="69">
        <f t="shared" si="36"/>
        <v>7.8172669342747067E-2</v>
      </c>
      <c r="K111" s="69">
        <f t="shared" si="36"/>
        <v>7.8172669342747067E-2</v>
      </c>
      <c r="L111" s="69">
        <f t="shared" si="36"/>
        <v>7.8172669342747067E-2</v>
      </c>
      <c r="M111" s="69">
        <f t="shared" si="36"/>
        <v>7.8172669342747067E-2</v>
      </c>
      <c r="N111" s="69">
        <f t="shared" si="36"/>
        <v>7.8172669342747067E-2</v>
      </c>
      <c r="O111" s="69">
        <f t="shared" si="36"/>
        <v>7.8172669342747067E-2</v>
      </c>
      <c r="P111" s="69">
        <f t="shared" si="36"/>
        <v>7.8172669342747067E-2</v>
      </c>
      <c r="Q111" s="69">
        <f t="shared" si="36"/>
        <v>7.7407539049896557E-2</v>
      </c>
      <c r="R111" s="69">
        <f t="shared" si="36"/>
        <v>5.262432054128946E-2</v>
      </c>
      <c r="S111" s="69">
        <f t="shared" si="36"/>
        <v>2.8074955398660062E-2</v>
      </c>
      <c r="T111" s="69">
        <f t="shared" si="36"/>
        <v>7.7073679990130777E-3</v>
      </c>
      <c r="U111" s="69">
        <f t="shared" si="36"/>
        <v>6.5177835980944807E-4</v>
      </c>
      <c r="V111" s="69">
        <f t="shared" si="36"/>
        <v>-1.4123773463151703E-4</v>
      </c>
      <c r="W111" s="69">
        <f t="shared" si="36"/>
        <v>0</v>
      </c>
    </row>
    <row r="112" spans="1:23" x14ac:dyDescent="0.2">
      <c r="A112" s="80">
        <f>$A$52</f>
        <v>6</v>
      </c>
      <c r="B112" s="85">
        <f>$B$52</f>
        <v>0.6</v>
      </c>
      <c r="C112" s="69">
        <f t="shared" ref="C112:W112" si="37">C110+h/3*(C81+4*C82+C83)</f>
        <v>6.8005181347150279E-5</v>
      </c>
      <c r="D112" s="69">
        <f t="shared" si="37"/>
        <v>5.6481238968285634E-4</v>
      </c>
      <c r="E112" s="69">
        <f t="shared" si="37"/>
        <v>4.1340335506462452E-3</v>
      </c>
      <c r="F112" s="69">
        <f t="shared" si="37"/>
        <v>4.8327794226498896E-2</v>
      </c>
      <c r="G112" s="69">
        <f t="shared" si="37"/>
        <v>0.10541416472128907</v>
      </c>
      <c r="H112" s="69">
        <f t="shared" si="37"/>
        <v>0.13712725189318456</v>
      </c>
      <c r="I112" s="69">
        <f t="shared" si="37"/>
        <v>0.15658951204236179</v>
      </c>
      <c r="J112" s="69">
        <f t="shared" si="37"/>
        <v>0.15658951204236179</v>
      </c>
      <c r="K112" s="69">
        <f t="shared" si="37"/>
        <v>0.15658951204236179</v>
      </c>
      <c r="L112" s="69">
        <f t="shared" si="37"/>
        <v>0.15658951204236179</v>
      </c>
      <c r="M112" s="69">
        <f t="shared" si="37"/>
        <v>0.15658951204236179</v>
      </c>
      <c r="N112" s="69">
        <f t="shared" si="37"/>
        <v>0.15658951204236179</v>
      </c>
      <c r="O112" s="69">
        <f t="shared" si="37"/>
        <v>0.15658951204236179</v>
      </c>
      <c r="P112" s="69">
        <f t="shared" si="37"/>
        <v>0.15658951204236179</v>
      </c>
      <c r="Q112" s="69">
        <f t="shared" si="37"/>
        <v>0.15127142572453456</v>
      </c>
      <c r="R112" s="69">
        <f t="shared" si="37"/>
        <v>0.10924694243580255</v>
      </c>
      <c r="S112" s="69">
        <f t="shared" si="37"/>
        <v>6.3212299293970292E-2</v>
      </c>
      <c r="T112" s="69">
        <f t="shared" si="37"/>
        <v>2.4058155995558852E-2</v>
      </c>
      <c r="U112" s="69">
        <f t="shared" si="37"/>
        <v>5.4330026191425169E-3</v>
      </c>
      <c r="V112" s="69">
        <f t="shared" si="37"/>
        <v>-6.3556980584182675E-4</v>
      </c>
      <c r="W112" s="69">
        <f t="shared" si="37"/>
        <v>0</v>
      </c>
    </row>
    <row r="113" spans="1:23" x14ac:dyDescent="0.2">
      <c r="A113" s="80">
        <f>$A$53</f>
        <v>7</v>
      </c>
      <c r="B113" s="85">
        <f>$B$53</f>
        <v>0.70000000000000007</v>
      </c>
      <c r="C113" s="69">
        <f t="shared" ref="C113:W113" si="38">C111+h/3*(C82+4*C83+C84)</f>
        <v>-4.1558721934369623E-5</v>
      </c>
      <c r="D113" s="69">
        <f t="shared" si="38"/>
        <v>-3.4516312702841242E-4</v>
      </c>
      <c r="E113" s="69">
        <f t="shared" si="38"/>
        <v>1.6654201719049522E-2</v>
      </c>
      <c r="F113" s="69">
        <f t="shared" si="38"/>
        <v>9.3855236861584007E-2</v>
      </c>
      <c r="G113" s="69">
        <f t="shared" si="38"/>
        <v>0.18112884378143446</v>
      </c>
      <c r="H113" s="69">
        <f t="shared" si="38"/>
        <v>0.23121390162083169</v>
      </c>
      <c r="I113" s="69">
        <f t="shared" si="38"/>
        <v>0.26993140930744558</v>
      </c>
      <c r="J113" s="69">
        <f t="shared" si="38"/>
        <v>0.26993140930744558</v>
      </c>
      <c r="K113" s="69">
        <f t="shared" si="38"/>
        <v>0.26993140930744558</v>
      </c>
      <c r="L113" s="69">
        <f t="shared" si="38"/>
        <v>0.26993140930744558</v>
      </c>
      <c r="M113" s="69">
        <f t="shared" si="38"/>
        <v>0.26993140930744558</v>
      </c>
      <c r="N113" s="69">
        <f t="shared" si="38"/>
        <v>0.26993140930744558</v>
      </c>
      <c r="O113" s="69">
        <f t="shared" si="38"/>
        <v>0.26993140930744558</v>
      </c>
      <c r="P113" s="69">
        <f t="shared" si="38"/>
        <v>0.26993140930744558</v>
      </c>
      <c r="Q113" s="69">
        <f t="shared" si="38"/>
        <v>0.25780635094611781</v>
      </c>
      <c r="R113" s="69">
        <f t="shared" si="38"/>
        <v>0.19550186851145404</v>
      </c>
      <c r="S113" s="69">
        <f t="shared" si="38"/>
        <v>0.11985637265368485</v>
      </c>
      <c r="T113" s="69">
        <f t="shared" si="38"/>
        <v>5.5033904669380719E-2</v>
      </c>
      <c r="U113" s="69">
        <f t="shared" si="38"/>
        <v>1.804094284385736E-2</v>
      </c>
      <c r="V113" s="69">
        <f t="shared" si="38"/>
        <v>8.4673710357000714E-4</v>
      </c>
      <c r="W113" s="69">
        <f t="shared" si="38"/>
        <v>0</v>
      </c>
    </row>
    <row r="114" spans="1:23" x14ac:dyDescent="0.2">
      <c r="A114" s="80">
        <f>$A$54</f>
        <v>8</v>
      </c>
      <c r="B114" s="85">
        <f>$B$54</f>
        <v>0.79999999999999993</v>
      </c>
      <c r="C114" s="69">
        <f t="shared" ref="C114:W114" si="39">C112+h/3*(C83+4*C84+C85)</f>
        <v>-2.4179620034542321E-4</v>
      </c>
      <c r="D114" s="69">
        <f t="shared" si="39"/>
        <v>-2.0082218299834905E-3</v>
      </c>
      <c r="E114" s="69">
        <f t="shared" si="39"/>
        <v>4.4745658486591164E-2</v>
      </c>
      <c r="F114" s="69">
        <f t="shared" si="39"/>
        <v>0.16411228719467064</v>
      </c>
      <c r="G114" s="69">
        <f t="shared" si="39"/>
        <v>0.28358296987986109</v>
      </c>
      <c r="H114" s="69">
        <f t="shared" si="39"/>
        <v>0.35488088215756619</v>
      </c>
      <c r="I114" s="69">
        <f t="shared" si="39"/>
        <v>0.40523729051604701</v>
      </c>
      <c r="J114" s="69">
        <f t="shared" si="39"/>
        <v>0.40523729051604701</v>
      </c>
      <c r="K114" s="69">
        <f t="shared" si="39"/>
        <v>0.40523729051604701</v>
      </c>
      <c r="L114" s="69">
        <f t="shared" si="39"/>
        <v>0.40523729051604701</v>
      </c>
      <c r="M114" s="69">
        <f t="shared" si="39"/>
        <v>0.40523729051604701</v>
      </c>
      <c r="N114" s="69">
        <f t="shared" si="39"/>
        <v>0.40523729051604701</v>
      </c>
      <c r="O114" s="69">
        <f t="shared" si="39"/>
        <v>0.40523729051604701</v>
      </c>
      <c r="P114" s="69">
        <f t="shared" si="39"/>
        <v>0.40523729051604701</v>
      </c>
      <c r="Q114" s="69">
        <f t="shared" si="39"/>
        <v>0.38597937520165504</v>
      </c>
      <c r="R114" s="69">
        <f t="shared" si="39"/>
        <v>0.30617753800603542</v>
      </c>
      <c r="S114" s="69">
        <f t="shared" si="39"/>
        <v>0.20113404695477241</v>
      </c>
      <c r="T114" s="69">
        <f t="shared" si="39"/>
        <v>0.10301544534912414</v>
      </c>
      <c r="U114" s="69">
        <f t="shared" si="39"/>
        <v>4.1904879576382177E-2</v>
      </c>
      <c r="V114" s="69">
        <f t="shared" si="39"/>
        <v>7.7598037541042799E-3</v>
      </c>
      <c r="W114" s="69">
        <f t="shared" si="39"/>
        <v>0</v>
      </c>
    </row>
    <row r="115" spans="1:23" x14ac:dyDescent="0.2">
      <c r="A115" s="80">
        <f>$A$55</f>
        <v>9</v>
      </c>
      <c r="B115" s="85">
        <f>$B$55</f>
        <v>0.89999999999999991</v>
      </c>
      <c r="C115" s="69">
        <f t="shared" ref="C115:W115" si="40">C113+h/3*(C84+4*C85+C86)</f>
        <v>1.7001295336787549E-4</v>
      </c>
      <c r="D115" s="69">
        <f t="shared" si="40"/>
        <v>2.6620309742071396E-3</v>
      </c>
      <c r="E115" s="69">
        <f t="shared" si="40"/>
        <v>9.4418417209948965E-2</v>
      </c>
      <c r="F115" s="69">
        <f t="shared" si="40"/>
        <v>0.25948615223291394</v>
      </c>
      <c r="G115" s="69">
        <f t="shared" si="40"/>
        <v>0.40968124513655602</v>
      </c>
      <c r="H115" s="69">
        <f t="shared" si="40"/>
        <v>0.50023479639962809</v>
      </c>
      <c r="I115" s="69">
        <f t="shared" si="40"/>
        <v>0.55680711343923783</v>
      </c>
      <c r="J115" s="69">
        <f t="shared" si="40"/>
        <v>0.55680711343923783</v>
      </c>
      <c r="K115" s="69">
        <f t="shared" si="40"/>
        <v>0.55680711343923783</v>
      </c>
      <c r="L115" s="69">
        <f t="shared" si="40"/>
        <v>0.55680711343923783</v>
      </c>
      <c r="M115" s="69">
        <f t="shared" si="40"/>
        <v>0.55680711343923783</v>
      </c>
      <c r="N115" s="69">
        <f t="shared" si="40"/>
        <v>0.55680711343923783</v>
      </c>
      <c r="O115" s="69">
        <f t="shared" si="40"/>
        <v>0.55680711343923783</v>
      </c>
      <c r="P115" s="69">
        <f t="shared" si="40"/>
        <v>0.55680711343923783</v>
      </c>
      <c r="Q115" s="69">
        <f t="shared" si="40"/>
        <v>0.53080356431133635</v>
      </c>
      <c r="R115" s="69">
        <f t="shared" si="40"/>
        <v>0.43549235608950643</v>
      </c>
      <c r="S115" s="69">
        <f t="shared" si="40"/>
        <v>0.301364081568259</v>
      </c>
      <c r="T115" s="69">
        <f t="shared" si="40"/>
        <v>0.16585372332223047</v>
      </c>
      <c r="U115" s="69">
        <f t="shared" si="40"/>
        <v>7.8040839881189636E-2</v>
      </c>
      <c r="V115" s="69">
        <f t="shared" si="40"/>
        <v>2.3952742152062102E-2</v>
      </c>
      <c r="W115" s="69">
        <f t="shared" si="40"/>
        <v>0</v>
      </c>
    </row>
    <row r="116" spans="1:23" x14ac:dyDescent="0.2">
      <c r="A116" s="80">
        <f>$A$56</f>
        <v>10</v>
      </c>
      <c r="B116" s="85">
        <f>$B$56</f>
        <v>1</v>
      </c>
      <c r="C116" s="69">
        <f t="shared" ref="C116:W116" si="41">C114+h/3*(C85+4*C86+C87)</f>
        <v>9.1429188255612976E-4</v>
      </c>
      <c r="D116" s="69">
        <f t="shared" si="41"/>
        <v>2.2593588794625072E-2</v>
      </c>
      <c r="E116" s="69">
        <f t="shared" si="41"/>
        <v>0.16952422884757734</v>
      </c>
      <c r="F116" s="69">
        <f t="shared" si="41"/>
        <v>0.37818478904515174</v>
      </c>
      <c r="G116" s="69">
        <f t="shared" si="41"/>
        <v>0.55462377014177533</v>
      </c>
      <c r="H116" s="69">
        <f t="shared" si="41"/>
        <v>0.65954416434170327</v>
      </c>
      <c r="I116" s="69">
        <f t="shared" si="41"/>
        <v>0.72175899523619735</v>
      </c>
      <c r="J116" s="69">
        <f t="shared" si="41"/>
        <v>0.72175899523619735</v>
      </c>
      <c r="K116" s="69">
        <f t="shared" si="41"/>
        <v>0.72175899523619735</v>
      </c>
      <c r="L116" s="69">
        <f t="shared" si="41"/>
        <v>0.72175899523619735</v>
      </c>
      <c r="M116" s="69">
        <f t="shared" si="41"/>
        <v>0.72175899523619735</v>
      </c>
      <c r="N116" s="69">
        <f t="shared" si="41"/>
        <v>0.72175899523619735</v>
      </c>
      <c r="O116" s="69">
        <f t="shared" si="41"/>
        <v>0.72175899523619735</v>
      </c>
      <c r="P116" s="69">
        <f t="shared" si="41"/>
        <v>0.72175899523619735</v>
      </c>
      <c r="Q116" s="69">
        <f t="shared" si="41"/>
        <v>0.68959361251874207</v>
      </c>
      <c r="R116" s="69">
        <f t="shared" si="41"/>
        <v>0.57787555941467861</v>
      </c>
      <c r="S116" s="69">
        <f t="shared" si="41"/>
        <v>0.41424313495226717</v>
      </c>
      <c r="T116" s="69">
        <f t="shared" si="41"/>
        <v>0.24000409727362454</v>
      </c>
      <c r="U116" s="69">
        <f t="shared" si="41"/>
        <v>0.12576592410180493</v>
      </c>
      <c r="V116" s="69">
        <f t="shared" si="41"/>
        <v>5.0455117054793233E-2</v>
      </c>
      <c r="W116" s="69">
        <f t="shared" si="41"/>
        <v>0</v>
      </c>
    </row>
    <row r="117" spans="1:23" x14ac:dyDescent="0.2">
      <c r="A117" s="80">
        <f>$A$57</f>
        <v>11</v>
      </c>
      <c r="B117" s="85">
        <f>$B$57</f>
        <v>1.0999999999999999</v>
      </c>
      <c r="C117" s="69">
        <f t="shared" ref="C117:W117" si="42">C115+h/3*(C86+4*C87+C88)</f>
        <v>-4.9460276338515188E-4</v>
      </c>
      <c r="D117" s="69">
        <f t="shared" si="42"/>
        <v>6.4437264894000659E-2</v>
      </c>
      <c r="E117" s="69">
        <f t="shared" si="42"/>
        <v>0.26980658320522316</v>
      </c>
      <c r="F117" s="69">
        <f t="shared" si="42"/>
        <v>0.51611065260301014</v>
      </c>
      <c r="G117" s="69">
        <f t="shared" si="42"/>
        <v>0.71435844365047729</v>
      </c>
      <c r="H117" s="69">
        <f t="shared" si="42"/>
        <v>0.82979892719542991</v>
      </c>
      <c r="I117" s="69">
        <f t="shared" si="42"/>
        <v>0.89800389028070382</v>
      </c>
      <c r="J117" s="69">
        <f t="shared" si="42"/>
        <v>0.89800389028070382</v>
      </c>
      <c r="K117" s="69">
        <f t="shared" si="42"/>
        <v>0.89800389028070382</v>
      </c>
      <c r="L117" s="69">
        <f t="shared" si="42"/>
        <v>0.89800389028070382</v>
      </c>
      <c r="M117" s="69">
        <f t="shared" si="42"/>
        <v>0.89800389028070382</v>
      </c>
      <c r="N117" s="69">
        <f t="shared" si="42"/>
        <v>0.89800389028070382</v>
      </c>
      <c r="O117" s="69">
        <f t="shared" si="42"/>
        <v>0.89800389028070382</v>
      </c>
      <c r="P117" s="69">
        <f t="shared" si="42"/>
        <v>0.89800389028070382</v>
      </c>
      <c r="Q117" s="69">
        <f t="shared" si="42"/>
        <v>0.85987423228757431</v>
      </c>
      <c r="R117" s="69">
        <f t="shared" si="42"/>
        <v>0.73086119114046577</v>
      </c>
      <c r="S117" s="69">
        <f t="shared" si="42"/>
        <v>0.53713516198827072</v>
      </c>
      <c r="T117" s="69">
        <f t="shared" si="42"/>
        <v>0.3233312453737972</v>
      </c>
      <c r="U117" s="69">
        <f t="shared" si="42"/>
        <v>0.183235420581146</v>
      </c>
      <c r="V117" s="69">
        <f t="shared" si="42"/>
        <v>8.145741378655888E-2</v>
      </c>
      <c r="W117" s="69">
        <f t="shared" si="42"/>
        <v>0</v>
      </c>
    </row>
    <row r="118" spans="1:23" x14ac:dyDescent="0.2">
      <c r="A118" s="80">
        <f>$A$58</f>
        <v>12</v>
      </c>
      <c r="B118" s="85">
        <f>$B$58</f>
        <v>1.2</v>
      </c>
      <c r="C118" s="69">
        <f t="shared" ref="C118:W118" si="43">C116+h/3*(C87+4*C88+C89)</f>
        <v>-1.9002590673575187E-3</v>
      </c>
      <c r="D118" s="69">
        <f t="shared" si="43"/>
        <v>0.13175938051585717</v>
      </c>
      <c r="E118" s="69">
        <f t="shared" si="43"/>
        <v>0.39229832246768781</v>
      </c>
      <c r="F118" s="69">
        <f t="shared" si="43"/>
        <v>0.66961028867505545</v>
      </c>
      <c r="G118" s="69">
        <f t="shared" si="43"/>
        <v>0.88529176393554632</v>
      </c>
      <c r="H118" s="69">
        <f t="shared" si="43"/>
        <v>1.0101374053407732</v>
      </c>
      <c r="I118" s="69">
        <f t="shared" si="43"/>
        <v>1.083024397881911</v>
      </c>
      <c r="J118" s="69">
        <f t="shared" si="43"/>
        <v>1.083024397881911</v>
      </c>
      <c r="K118" s="69">
        <f t="shared" si="43"/>
        <v>1.083024397881911</v>
      </c>
      <c r="L118" s="69">
        <f t="shared" si="43"/>
        <v>1.083024397881911</v>
      </c>
      <c r="M118" s="69">
        <f t="shared" si="43"/>
        <v>1.083024397881911</v>
      </c>
      <c r="N118" s="69">
        <f t="shared" si="43"/>
        <v>1.083024397881911</v>
      </c>
      <c r="O118" s="69">
        <f t="shared" si="43"/>
        <v>1.083024397881911</v>
      </c>
      <c r="P118" s="69">
        <f t="shared" si="43"/>
        <v>1.083024397881911</v>
      </c>
      <c r="Q118" s="69">
        <f t="shared" si="43"/>
        <v>1.0389287137732732</v>
      </c>
      <c r="R118" s="69">
        <f t="shared" si="43"/>
        <v>0.89265287820987305</v>
      </c>
      <c r="S118" s="69">
        <f t="shared" si="43"/>
        <v>0.66988503530148613</v>
      </c>
      <c r="T118" s="69">
        <f t="shared" si="43"/>
        <v>0.41459220022205778</v>
      </c>
      <c r="U118" s="69">
        <f t="shared" si="43"/>
        <v>0.2473498690428742</v>
      </c>
      <c r="V118" s="69">
        <f t="shared" si="43"/>
        <v>0.11077849029209134</v>
      </c>
      <c r="W118" s="69">
        <f t="shared" si="43"/>
        <v>0</v>
      </c>
    </row>
    <row r="119" spans="1:23" x14ac:dyDescent="0.2">
      <c r="A119" s="80">
        <f>$A$59</f>
        <v>13</v>
      </c>
      <c r="B119" s="85">
        <f>$B$59</f>
        <v>1.3</v>
      </c>
      <c r="C119" s="69">
        <f t="shared" ref="C119:W119" si="44">C117+h/3*(C88+4*C89+C90)</f>
        <v>1.1327288428324702E-2</v>
      </c>
      <c r="D119" s="69">
        <f t="shared" si="44"/>
        <v>0.22357913511359112</v>
      </c>
      <c r="E119" s="69">
        <f t="shared" si="44"/>
        <v>0.53203137039989379</v>
      </c>
      <c r="F119" s="69">
        <f t="shared" si="44"/>
        <v>0.83519006908462878</v>
      </c>
      <c r="G119" s="69">
        <f t="shared" si="44"/>
        <v>1.0659722482396705</v>
      </c>
      <c r="H119" s="69">
        <f t="shared" si="44"/>
        <v>1.1993548425667597</v>
      </c>
      <c r="I119" s="69">
        <f t="shared" si="44"/>
        <v>1.2755910787830478</v>
      </c>
      <c r="J119" s="69">
        <f t="shared" si="44"/>
        <v>1.2755910787830478</v>
      </c>
      <c r="K119" s="69">
        <f t="shared" si="44"/>
        <v>1.2755910787830478</v>
      </c>
      <c r="L119" s="69">
        <f t="shared" si="44"/>
        <v>1.2755910787830478</v>
      </c>
      <c r="M119" s="69">
        <f t="shared" si="44"/>
        <v>1.2755910787830478</v>
      </c>
      <c r="N119" s="69">
        <f t="shared" si="44"/>
        <v>1.2755910787830478</v>
      </c>
      <c r="O119" s="69">
        <f t="shared" si="44"/>
        <v>1.2755910787830478</v>
      </c>
      <c r="P119" s="69">
        <f t="shared" si="44"/>
        <v>1.2755910787830478</v>
      </c>
      <c r="Q119" s="69">
        <f t="shared" si="44"/>
        <v>1.2255110136840708</v>
      </c>
      <c r="R119" s="69">
        <f t="shared" si="44"/>
        <v>1.0625620300252425</v>
      </c>
      <c r="S119" s="69">
        <f t="shared" si="44"/>
        <v>0.81050146472698281</v>
      </c>
      <c r="T119" s="69">
        <f t="shared" si="44"/>
        <v>0.51314300518134714</v>
      </c>
      <c r="U119" s="69">
        <f t="shared" si="44"/>
        <v>0.31370720074398833</v>
      </c>
      <c r="V119" s="69">
        <f t="shared" si="44"/>
        <v>0.13791605553341307</v>
      </c>
      <c r="W119" s="69">
        <f t="shared" si="44"/>
        <v>0</v>
      </c>
    </row>
    <row r="120" spans="1:23" x14ac:dyDescent="0.2">
      <c r="A120" s="80">
        <f>$A$60</f>
        <v>14</v>
      </c>
      <c r="B120" s="85">
        <f>$B$60</f>
        <v>1.4000000000000001</v>
      </c>
      <c r="C120" s="69">
        <f t="shared" ref="C120:W120" si="45">C118+h/3*(C89+4*C90+C91)</f>
        <v>5.3201856649395564E-2</v>
      </c>
      <c r="D120" s="69">
        <f t="shared" si="45"/>
        <v>0.33649440300632005</v>
      </c>
      <c r="E120" s="69">
        <f t="shared" si="45"/>
        <v>0.68442337762625982</v>
      </c>
      <c r="F120" s="69">
        <f t="shared" si="45"/>
        <v>1.0108357883049592</v>
      </c>
      <c r="G120" s="69">
        <f t="shared" si="45"/>
        <v>1.255078988498548</v>
      </c>
      <c r="H120" s="69">
        <f t="shared" si="45"/>
        <v>1.396101159160356</v>
      </c>
      <c r="I120" s="69">
        <f t="shared" si="45"/>
        <v>1.4744410825789065</v>
      </c>
      <c r="J120" s="69">
        <f t="shared" si="45"/>
        <v>1.4744410825789065</v>
      </c>
      <c r="K120" s="69">
        <f t="shared" si="45"/>
        <v>1.4744410825789065</v>
      </c>
      <c r="L120" s="69">
        <f t="shared" si="45"/>
        <v>1.4744410825789065</v>
      </c>
      <c r="M120" s="69">
        <f t="shared" si="45"/>
        <v>1.4744410825789065</v>
      </c>
      <c r="N120" s="69">
        <f t="shared" si="45"/>
        <v>1.4744410825789065</v>
      </c>
      <c r="O120" s="69">
        <f t="shared" si="45"/>
        <v>1.4744410825789065</v>
      </c>
      <c r="P120" s="69">
        <f t="shared" si="45"/>
        <v>1.4744410825789065</v>
      </c>
      <c r="Q120" s="69">
        <f t="shared" si="45"/>
        <v>1.418474071438061</v>
      </c>
      <c r="R120" s="69">
        <f t="shared" si="45"/>
        <v>1.2393455816204522</v>
      </c>
      <c r="S120" s="69">
        <f t="shared" si="45"/>
        <v>0.9577083459071154</v>
      </c>
      <c r="T120" s="69">
        <f t="shared" si="45"/>
        <v>0.61825113650382435</v>
      </c>
      <c r="U120" s="69">
        <f t="shared" si="45"/>
        <v>0.37865304475317424</v>
      </c>
      <c r="V120" s="69">
        <f t="shared" si="45"/>
        <v>0.16428968404220998</v>
      </c>
      <c r="W120" s="69">
        <f t="shared" si="45"/>
        <v>0</v>
      </c>
    </row>
    <row r="121" spans="1:23" x14ac:dyDescent="0.2">
      <c r="A121" s="80">
        <f>$A$61</f>
        <v>15</v>
      </c>
      <c r="B121" s="85">
        <f>$B$61</f>
        <v>1.5</v>
      </c>
      <c r="C121" s="69">
        <f t="shared" ref="C121:W121" si="46">C119+h/3*(C90+4*C91+C92)</f>
        <v>0.12368350604490509</v>
      </c>
      <c r="D121" s="69">
        <f t="shared" si="46"/>
        <v>0.46606975364876929</v>
      </c>
      <c r="E121" s="69">
        <f t="shared" si="46"/>
        <v>0.84774405562593724</v>
      </c>
      <c r="F121" s="69">
        <f t="shared" si="46"/>
        <v>1.1948312361213917</v>
      </c>
      <c r="G121" s="69">
        <f t="shared" si="46"/>
        <v>1.4515064980356431</v>
      </c>
      <c r="H121" s="69">
        <f t="shared" si="46"/>
        <v>1.5989003836189717</v>
      </c>
      <c r="I121" s="69">
        <f t="shared" si="46"/>
        <v>1.6795038812655394</v>
      </c>
      <c r="J121" s="69">
        <f t="shared" si="46"/>
        <v>1.6795038812655394</v>
      </c>
      <c r="K121" s="69">
        <f t="shared" si="46"/>
        <v>1.6795038812655394</v>
      </c>
      <c r="L121" s="69">
        <f t="shared" si="46"/>
        <v>1.6795038812655394</v>
      </c>
      <c r="M121" s="69">
        <f t="shared" si="46"/>
        <v>1.6795038812655394</v>
      </c>
      <c r="N121" s="69">
        <f t="shared" si="46"/>
        <v>1.6795038812655394</v>
      </c>
      <c r="O121" s="69">
        <f t="shared" si="46"/>
        <v>1.6795038812655394</v>
      </c>
      <c r="P121" s="69">
        <f t="shared" si="46"/>
        <v>1.6795038812655394</v>
      </c>
      <c r="Q121" s="69">
        <f t="shared" si="46"/>
        <v>1.6172682201218471</v>
      </c>
      <c r="R121" s="69">
        <f t="shared" si="46"/>
        <v>1.422181506101843</v>
      </c>
      <c r="S121" s="69">
        <f t="shared" si="46"/>
        <v>1.1103485066854561</v>
      </c>
      <c r="T121" s="69">
        <f t="shared" si="46"/>
        <v>0.72866844389958052</v>
      </c>
      <c r="U121" s="69">
        <f t="shared" si="46"/>
        <v>0.44200049939266262</v>
      </c>
      <c r="V121" s="69">
        <f t="shared" si="46"/>
        <v>0.1896601502448329</v>
      </c>
      <c r="W121" s="69">
        <f t="shared" si="46"/>
        <v>0</v>
      </c>
    </row>
    <row r="122" spans="1:23" x14ac:dyDescent="0.2">
      <c r="A122" s="80">
        <f>$A$62</f>
        <v>16</v>
      </c>
      <c r="B122" s="85">
        <f>$B$62</f>
        <v>1.5999999999999999</v>
      </c>
      <c r="C122" s="69">
        <f t="shared" ref="C122:W122" si="47">C120+h/3*(C91+4*C92+C93)</f>
        <v>0.21635794473229716</v>
      </c>
      <c r="D122" s="69">
        <f t="shared" si="47"/>
        <v>0.60838852132323629</v>
      </c>
      <c r="E122" s="69">
        <f t="shared" si="47"/>
        <v>1.0211490633718614</v>
      </c>
      <c r="F122" s="69">
        <f t="shared" si="47"/>
        <v>1.3865082901554404</v>
      </c>
      <c r="G122" s="69">
        <f t="shared" si="47"/>
        <v>1.6537620964527699</v>
      </c>
      <c r="H122" s="69">
        <f t="shared" si="47"/>
        <v>1.8066529028829545</v>
      </c>
      <c r="I122" s="69">
        <f t="shared" si="47"/>
        <v>1.8900089411452108</v>
      </c>
      <c r="J122" s="69">
        <f t="shared" si="47"/>
        <v>1.8900089411452108</v>
      </c>
      <c r="K122" s="69">
        <f t="shared" si="47"/>
        <v>1.8900089411452108</v>
      </c>
      <c r="L122" s="69">
        <f t="shared" si="47"/>
        <v>1.8900089411452108</v>
      </c>
      <c r="M122" s="69">
        <f t="shared" si="47"/>
        <v>1.8900089411452108</v>
      </c>
      <c r="N122" s="69">
        <f t="shared" si="47"/>
        <v>1.8900089411452108</v>
      </c>
      <c r="O122" s="69">
        <f t="shared" si="47"/>
        <v>1.8900089411452108</v>
      </c>
      <c r="P122" s="69">
        <f t="shared" si="47"/>
        <v>1.8900089411452108</v>
      </c>
      <c r="Q122" s="69">
        <f t="shared" si="47"/>
        <v>1.8209575395243789</v>
      </c>
      <c r="R122" s="69">
        <f t="shared" si="47"/>
        <v>1.6097974491829414</v>
      </c>
      <c r="S122" s="69">
        <f t="shared" si="47"/>
        <v>1.2682732031353794</v>
      </c>
      <c r="T122" s="69">
        <f t="shared" si="47"/>
        <v>0.84302728842832475</v>
      </c>
      <c r="U122" s="69">
        <f t="shared" si="47"/>
        <v>0.50485639697090468</v>
      </c>
      <c r="V122" s="69">
        <f t="shared" si="47"/>
        <v>0.2134215358044374</v>
      </c>
      <c r="W122" s="69">
        <f t="shared" si="47"/>
        <v>0</v>
      </c>
    </row>
    <row r="123" spans="1:23" x14ac:dyDescent="0.2">
      <c r="A123" s="80">
        <f>$A$63</f>
        <v>17</v>
      </c>
      <c r="B123" s="85">
        <f>$B$63</f>
        <v>1.7</v>
      </c>
      <c r="C123" s="69">
        <f t="shared" ref="C123:W123" si="48">C121+h/3*(C92+4*C93+C94)</f>
        <v>0.32464507772020734</v>
      </c>
      <c r="D123" s="69">
        <f t="shared" si="48"/>
        <v>0.76167374262179965</v>
      </c>
      <c r="E123" s="69">
        <f t="shared" si="48"/>
        <v>1.2031685275270929</v>
      </c>
      <c r="F123" s="69">
        <f t="shared" si="48"/>
        <v>1.5844788181593883</v>
      </c>
      <c r="G123" s="69">
        <f t="shared" si="48"/>
        <v>1.8612973609292263</v>
      </c>
      <c r="H123" s="69">
        <f t="shared" si="48"/>
        <v>2.0187873040387938</v>
      </c>
      <c r="I123" s="69">
        <f t="shared" si="48"/>
        <v>2.1050363161665624</v>
      </c>
      <c r="J123" s="69">
        <f t="shared" si="48"/>
        <v>2.1050363161665624</v>
      </c>
      <c r="K123" s="69">
        <f t="shared" si="48"/>
        <v>2.1050363161665624</v>
      </c>
      <c r="L123" s="69">
        <f t="shared" si="48"/>
        <v>2.1050363161665624</v>
      </c>
      <c r="M123" s="69">
        <f t="shared" si="48"/>
        <v>2.1050363161665624</v>
      </c>
      <c r="N123" s="69">
        <f t="shared" si="48"/>
        <v>2.1050363161665624</v>
      </c>
      <c r="O123" s="69">
        <f t="shared" si="48"/>
        <v>2.1050363161665624</v>
      </c>
      <c r="P123" s="69">
        <f t="shared" si="48"/>
        <v>2.1050363161665624</v>
      </c>
      <c r="Q123" s="69">
        <f t="shared" si="48"/>
        <v>2.0290192796409117</v>
      </c>
      <c r="R123" s="69">
        <f t="shared" si="48"/>
        <v>1.802086096243998</v>
      </c>
      <c r="S123" s="69">
        <f t="shared" si="48"/>
        <v>1.429927369446184</v>
      </c>
      <c r="T123" s="69">
        <f t="shared" si="48"/>
        <v>0.96042159588576359</v>
      </c>
      <c r="U123" s="69">
        <f t="shared" si="48"/>
        <v>0.56827219130178974</v>
      </c>
      <c r="V123" s="69">
        <f t="shared" si="48"/>
        <v>0.23585012965229935</v>
      </c>
      <c r="W123" s="69">
        <f t="shared" si="48"/>
        <v>0</v>
      </c>
    </row>
    <row r="124" spans="1:23" x14ac:dyDescent="0.2">
      <c r="A124" s="80">
        <f>$A$64</f>
        <v>18</v>
      </c>
      <c r="B124" s="85">
        <f>$B$64</f>
        <v>1.7999999999999998</v>
      </c>
      <c r="C124" s="69">
        <f t="shared" ref="C124:W124" si="49">C122+h/3*(C93+4*C94+C95)</f>
        <v>0.4433814766839379</v>
      </c>
      <c r="D124" s="69">
        <f t="shared" si="49"/>
        <v>0.92457702556510846</v>
      </c>
      <c r="E124" s="69">
        <f t="shared" si="49"/>
        <v>1.3921212652308832</v>
      </c>
      <c r="F124" s="69">
        <f t="shared" si="49"/>
        <v>1.7880927831236122</v>
      </c>
      <c r="G124" s="69">
        <f t="shared" si="49"/>
        <v>2.0732424400728804</v>
      </c>
      <c r="H124" s="69">
        <f t="shared" si="49"/>
        <v>2.234982174172977</v>
      </c>
      <c r="I124" s="69">
        <f t="shared" si="49"/>
        <v>2.3230708221829985</v>
      </c>
      <c r="J124" s="69">
        <f t="shared" si="49"/>
        <v>2.3230708221829985</v>
      </c>
      <c r="K124" s="69">
        <f t="shared" si="49"/>
        <v>2.3230708221829985</v>
      </c>
      <c r="L124" s="69">
        <f t="shared" si="49"/>
        <v>2.3230708221829985</v>
      </c>
      <c r="M124" s="69">
        <f t="shared" si="49"/>
        <v>2.3230708221829985</v>
      </c>
      <c r="N124" s="69">
        <f t="shared" si="49"/>
        <v>2.3230708221829985</v>
      </c>
      <c r="O124" s="69">
        <f t="shared" si="49"/>
        <v>2.3230708221829985</v>
      </c>
      <c r="P124" s="69">
        <f t="shared" si="49"/>
        <v>2.3230708221829985</v>
      </c>
      <c r="Q124" s="69">
        <f t="shared" si="49"/>
        <v>2.2404783095143199</v>
      </c>
      <c r="R124" s="69">
        <f t="shared" si="49"/>
        <v>1.9982972755224051</v>
      </c>
      <c r="S124" s="69">
        <f t="shared" si="49"/>
        <v>1.5946904636166943</v>
      </c>
      <c r="T124" s="69">
        <f t="shared" si="49"/>
        <v>1.0802637444485568</v>
      </c>
      <c r="U124" s="69">
        <f t="shared" si="49"/>
        <v>0.6327398123896828</v>
      </c>
      <c r="V124" s="69">
        <f t="shared" si="49"/>
        <v>0.25738293500540915</v>
      </c>
      <c r="W124" s="69">
        <f t="shared" si="49"/>
        <v>0</v>
      </c>
    </row>
    <row r="125" spans="1:23" x14ac:dyDescent="0.2">
      <c r="A125" s="80">
        <f>$A$65</f>
        <v>19</v>
      </c>
      <c r="B125" s="85">
        <f>$B$65</f>
        <v>1.9000000000000001</v>
      </c>
      <c r="C125" s="69">
        <f t="shared" ref="C125:W125" si="50">C123+h/3*(C94+4*C95+C96)</f>
        <v>0.57015090673575142</v>
      </c>
      <c r="D125" s="69">
        <f t="shared" si="50"/>
        <v>1.0948505015278331</v>
      </c>
      <c r="E125" s="69">
        <f t="shared" si="50"/>
        <v>1.5868412880297595</v>
      </c>
      <c r="F125" s="69">
        <f t="shared" si="50"/>
        <v>1.9962473229706392</v>
      </c>
      <c r="G125" s="69">
        <f t="shared" si="50"/>
        <v>2.289016326225588</v>
      </c>
      <c r="H125" s="69">
        <f t="shared" si="50"/>
        <v>2.4545274146406273</v>
      </c>
      <c r="I125" s="69">
        <f t="shared" si="50"/>
        <v>2.543952107413312</v>
      </c>
      <c r="J125" s="69">
        <f t="shared" si="50"/>
        <v>2.543952107413312</v>
      </c>
      <c r="K125" s="69">
        <f t="shared" si="50"/>
        <v>2.543952107413312</v>
      </c>
      <c r="L125" s="69">
        <f t="shared" si="50"/>
        <v>2.543952107413312</v>
      </c>
      <c r="M125" s="69">
        <f t="shared" si="50"/>
        <v>2.543952107413312</v>
      </c>
      <c r="N125" s="69">
        <f t="shared" si="50"/>
        <v>2.543952107413312</v>
      </c>
      <c r="O125" s="69">
        <f t="shared" si="50"/>
        <v>2.543952107413312</v>
      </c>
      <c r="P125" s="69">
        <f t="shared" si="50"/>
        <v>2.543952107413312</v>
      </c>
      <c r="Q125" s="69">
        <f t="shared" si="50"/>
        <v>2.4547578351268764</v>
      </c>
      <c r="R125" s="69">
        <f t="shared" si="50"/>
        <v>2.1976815929321112</v>
      </c>
      <c r="S125" s="69">
        <f t="shared" si="50"/>
        <v>1.7619315431114653</v>
      </c>
      <c r="T125" s="69">
        <f t="shared" si="50"/>
        <v>1.2023835492227979</v>
      </c>
      <c r="U125" s="69">
        <f t="shared" si="50"/>
        <v>0.69814212501660688</v>
      </c>
      <c r="V125" s="69">
        <f t="shared" si="50"/>
        <v>0.27767945064434701</v>
      </c>
      <c r="W125" s="69">
        <f t="shared" si="50"/>
        <v>0</v>
      </c>
    </row>
    <row r="126" spans="1:23" x14ac:dyDescent="0.2">
      <c r="A126" s="80">
        <f>$A$66</f>
        <v>20</v>
      </c>
      <c r="B126" s="85">
        <f>$B$66</f>
        <v>2</v>
      </c>
      <c r="C126" s="69">
        <f t="shared" ref="C126:W126" si="51">C124+h/3*(C95+4*C96+C97)</f>
        <v>0.70388126079447333</v>
      </c>
      <c r="D126" s="69">
        <f t="shared" si="51"/>
        <v>1.2704288902807037</v>
      </c>
      <c r="E126" s="69">
        <f t="shared" si="51"/>
        <v>1.7865067720491945</v>
      </c>
      <c r="F126" s="69">
        <f t="shared" si="51"/>
        <v>2.2085823094004442</v>
      </c>
      <c r="G126" s="69">
        <f t="shared" si="51"/>
        <v>2.5076379576382166</v>
      </c>
      <c r="H126" s="69">
        <f t="shared" si="51"/>
        <v>2.676613345290288</v>
      </c>
      <c r="I126" s="69">
        <f t="shared" si="51"/>
        <v>2.7670054394655432</v>
      </c>
      <c r="J126" s="69">
        <f t="shared" si="51"/>
        <v>2.7670054394655432</v>
      </c>
      <c r="K126" s="69">
        <f t="shared" si="51"/>
        <v>2.7670054394655432</v>
      </c>
      <c r="L126" s="69">
        <f t="shared" si="51"/>
        <v>2.7670054394655432</v>
      </c>
      <c r="M126" s="69">
        <f t="shared" si="51"/>
        <v>2.7670054394655432</v>
      </c>
      <c r="N126" s="69">
        <f t="shared" si="51"/>
        <v>2.7670054394655432</v>
      </c>
      <c r="O126" s="69">
        <f t="shared" si="51"/>
        <v>2.7670054394655432</v>
      </c>
      <c r="P126" s="69">
        <f t="shared" si="51"/>
        <v>2.7670054394655432</v>
      </c>
      <c r="Q126" s="69">
        <f t="shared" si="51"/>
        <v>2.6709117614682381</v>
      </c>
      <c r="R126" s="69">
        <f t="shared" si="51"/>
        <v>2.3988461026020613</v>
      </c>
      <c r="S126" s="69">
        <f t="shared" si="51"/>
        <v>1.9319565644631709</v>
      </c>
      <c r="T126" s="69">
        <f t="shared" si="51"/>
        <v>1.3265417684431287</v>
      </c>
      <c r="U126" s="69">
        <f t="shared" si="51"/>
        <v>0.76400279849683983</v>
      </c>
      <c r="V126" s="69">
        <f t="shared" si="51"/>
        <v>0.29640548643929476</v>
      </c>
      <c r="W126" s="69">
        <f t="shared" si="51"/>
        <v>0</v>
      </c>
    </row>
    <row r="127" spans="1:23" x14ac:dyDescent="0.2">
      <c r="A127" s="80">
        <f>$A$67</f>
        <v>21</v>
      </c>
      <c r="B127" s="85">
        <f>$B$67</f>
        <v>2.1</v>
      </c>
      <c r="C127" s="69">
        <f t="shared" ref="C127:W127" si="52">C125+h/3*(C96+4*C97+C98)</f>
        <v>0.84395768566493978</v>
      </c>
      <c r="D127" s="69">
        <f t="shared" si="52"/>
        <v>1.4508311435973353</v>
      </c>
      <c r="E127" s="69">
        <f t="shared" si="52"/>
        <v>1.9907257741179374</v>
      </c>
      <c r="F127" s="69">
        <f t="shared" si="52"/>
        <v>2.4239840550209721</v>
      </c>
      <c r="G127" s="69">
        <f t="shared" si="52"/>
        <v>2.728891268813225</v>
      </c>
      <c r="H127" s="69">
        <f t="shared" si="52"/>
        <v>2.9002008851468051</v>
      </c>
      <c r="I127" s="69">
        <f t="shared" si="52"/>
        <v>2.991589840858623</v>
      </c>
      <c r="J127" s="69">
        <f t="shared" si="52"/>
        <v>2.991589840858623</v>
      </c>
      <c r="K127" s="69">
        <f t="shared" si="52"/>
        <v>2.991589840858623</v>
      </c>
      <c r="L127" s="69">
        <f t="shared" si="52"/>
        <v>2.991589840858623</v>
      </c>
      <c r="M127" s="69">
        <f t="shared" si="52"/>
        <v>2.991589840858623</v>
      </c>
      <c r="N127" s="69">
        <f t="shared" si="52"/>
        <v>2.991589840858623</v>
      </c>
      <c r="O127" s="69">
        <f t="shared" si="52"/>
        <v>2.991589840858623</v>
      </c>
      <c r="P127" s="69">
        <f t="shared" si="52"/>
        <v>2.991589840858623</v>
      </c>
      <c r="Q127" s="69">
        <f t="shared" si="52"/>
        <v>2.888594220330619</v>
      </c>
      <c r="R127" s="69">
        <f t="shared" si="52"/>
        <v>2.6015616827041699</v>
      </c>
      <c r="S127" s="69">
        <f t="shared" si="52"/>
        <v>2.1036276523562791</v>
      </c>
      <c r="T127" s="69">
        <f t="shared" si="52"/>
        <v>1.4521367505551444</v>
      </c>
      <c r="U127" s="69">
        <f t="shared" si="52"/>
        <v>0.83005736491487792</v>
      </c>
      <c r="V127" s="69">
        <f t="shared" si="52"/>
        <v>0.31383885393535649</v>
      </c>
      <c r="W127" s="69">
        <f t="shared" si="52"/>
        <v>0</v>
      </c>
    </row>
    <row r="128" spans="1:23" x14ac:dyDescent="0.2">
      <c r="A128" s="80">
        <f>$A$68</f>
        <v>22</v>
      </c>
      <c r="B128" s="85">
        <f>$B$68</f>
        <v>2.1999999999999997</v>
      </c>
      <c r="C128" s="69">
        <f t="shared" ref="C128:W128" si="53">C126+h/3*(C97+4*C98+C99)</f>
        <v>0.98960859240069099</v>
      </c>
      <c r="D128" s="69">
        <f t="shared" si="53"/>
        <v>1.6358329271764505</v>
      </c>
      <c r="E128" s="69">
        <f t="shared" si="53"/>
        <v>2.1989925429169279</v>
      </c>
      <c r="F128" s="69">
        <f t="shared" si="53"/>
        <v>2.6420397113249448</v>
      </c>
      <c r="G128" s="69">
        <f t="shared" si="53"/>
        <v>2.9520755437567612</v>
      </c>
      <c r="H128" s="69">
        <f t="shared" si="53"/>
        <v>3.1245093895310214</v>
      </c>
      <c r="I128" s="69">
        <f t="shared" si="53"/>
        <v>3.2164550892975763</v>
      </c>
      <c r="J128" s="69">
        <f t="shared" si="53"/>
        <v>3.2164550892975763</v>
      </c>
      <c r="K128" s="69">
        <f t="shared" si="53"/>
        <v>3.2164550892975763</v>
      </c>
      <c r="L128" s="69">
        <f t="shared" si="53"/>
        <v>3.2164550892975763</v>
      </c>
      <c r="M128" s="69">
        <f t="shared" si="53"/>
        <v>3.2164550892975763</v>
      </c>
      <c r="N128" s="69">
        <f t="shared" si="53"/>
        <v>3.2164550892975763</v>
      </c>
      <c r="O128" s="69">
        <f t="shared" si="53"/>
        <v>3.2164550892975763</v>
      </c>
      <c r="P128" s="69">
        <f t="shared" si="53"/>
        <v>3.2164550892975763</v>
      </c>
      <c r="Q128" s="69">
        <f t="shared" si="53"/>
        <v>3.1071571836626237</v>
      </c>
      <c r="R128" s="69">
        <f t="shared" si="53"/>
        <v>2.8051509679439732</v>
      </c>
      <c r="S128" s="69">
        <f t="shared" si="53"/>
        <v>2.2764749005959501</v>
      </c>
      <c r="T128" s="69">
        <f t="shared" si="53"/>
        <v>1.5784432164446089</v>
      </c>
      <c r="U128" s="69">
        <f t="shared" si="53"/>
        <v>0.89606743864943339</v>
      </c>
      <c r="V128" s="69">
        <f t="shared" si="53"/>
        <v>0.3303538815027805</v>
      </c>
      <c r="W128" s="69">
        <f t="shared" si="53"/>
        <v>0</v>
      </c>
    </row>
    <row r="129" spans="1:23" x14ac:dyDescent="0.2">
      <c r="A129" s="80">
        <f>$A$99+1</f>
        <v>23</v>
      </c>
      <c r="B129" s="85">
        <f>$B$69</f>
        <v>2.2999999999999998</v>
      </c>
      <c r="C129" s="69">
        <f t="shared" ref="C129:W129" si="54">C127+h/3*(C98+4*C99+C100)</f>
        <v>1.1394539075993093</v>
      </c>
      <c r="D129" s="69">
        <f t="shared" si="54"/>
        <v>1.8243984830799598</v>
      </c>
      <c r="E129" s="69">
        <f t="shared" si="54"/>
        <v>2.4103692359292261</v>
      </c>
      <c r="F129" s="69">
        <f t="shared" si="54"/>
        <v>2.8618102886750556</v>
      </c>
      <c r="G129" s="69">
        <f t="shared" si="54"/>
        <v>3.1765891998329825</v>
      </c>
      <c r="H129" s="69">
        <f t="shared" si="54"/>
        <v>3.3491418925202607</v>
      </c>
      <c r="I129" s="69">
        <f t="shared" si="54"/>
        <v>3.4415397824972951</v>
      </c>
      <c r="J129" s="69">
        <f t="shared" si="54"/>
        <v>3.4415397824972951</v>
      </c>
      <c r="K129" s="69">
        <f t="shared" si="54"/>
        <v>3.4415397824972951</v>
      </c>
      <c r="L129" s="69">
        <f t="shared" si="54"/>
        <v>3.4415397824972951</v>
      </c>
      <c r="M129" s="69">
        <f t="shared" si="54"/>
        <v>3.4415397824972951</v>
      </c>
      <c r="N129" s="69">
        <f t="shared" si="54"/>
        <v>3.4415397824972951</v>
      </c>
      <c r="O129" s="69">
        <f t="shared" si="54"/>
        <v>3.4415397824972951</v>
      </c>
      <c r="P129" s="69">
        <f t="shared" si="54"/>
        <v>3.4415397824972951</v>
      </c>
      <c r="Q129" s="69">
        <f t="shared" si="54"/>
        <v>3.3265101240296833</v>
      </c>
      <c r="R129" s="69">
        <f t="shared" si="54"/>
        <v>3.0093624935944887</v>
      </c>
      <c r="S129" s="69">
        <f t="shared" si="54"/>
        <v>2.4494640417117424</v>
      </c>
      <c r="T129" s="69">
        <f t="shared" si="54"/>
        <v>1.7050161585553911</v>
      </c>
      <c r="U129" s="69">
        <f t="shared" si="54"/>
        <v>0.96206813827364357</v>
      </c>
      <c r="V129" s="69">
        <f t="shared" si="54"/>
        <v>0.34570525311260414</v>
      </c>
      <c r="W129" s="69">
        <f t="shared" si="54"/>
        <v>0</v>
      </c>
    </row>
    <row r="130" spans="1:23" ht="13.5" thickBot="1" x14ac:dyDescent="0.25">
      <c r="A130" s="82">
        <f>$A$100+1</f>
        <v>24</v>
      </c>
      <c r="B130" s="89">
        <f>$B$70</f>
        <v>2.4</v>
      </c>
      <c r="C130" s="69">
        <f t="shared" ref="C130:W130" si="55">C128+h/3*(C99+4*C100+C101)</f>
        <v>1.2921994818652851</v>
      </c>
      <c r="D130" s="69">
        <f t="shared" si="55"/>
        <v>2.0153649148778681</v>
      </c>
      <c r="E130" s="69">
        <f t="shared" si="55"/>
        <v>2.6239139526276833</v>
      </c>
      <c r="F130" s="69">
        <f t="shared" si="55"/>
        <v>3.0832205773501111</v>
      </c>
      <c r="G130" s="69">
        <f t="shared" si="55"/>
        <v>3.4014296817172465</v>
      </c>
      <c r="H130" s="69">
        <f t="shared" si="55"/>
        <v>3.5740440414507768</v>
      </c>
      <c r="I130" s="69">
        <f t="shared" si="55"/>
        <v>3.6664718726868983</v>
      </c>
      <c r="J130" s="69">
        <f t="shared" si="55"/>
        <v>3.6664718726868983</v>
      </c>
      <c r="K130" s="69">
        <f t="shared" si="55"/>
        <v>3.6664718726868983</v>
      </c>
      <c r="L130" s="69">
        <f t="shared" si="55"/>
        <v>3.6664718726868983</v>
      </c>
      <c r="M130" s="69">
        <f t="shared" si="55"/>
        <v>3.6664718726868983</v>
      </c>
      <c r="N130" s="69">
        <f t="shared" si="55"/>
        <v>3.6664718726868983</v>
      </c>
      <c r="O130" s="69">
        <f t="shared" si="55"/>
        <v>3.6664718726868983</v>
      </c>
      <c r="P130" s="69">
        <f t="shared" si="55"/>
        <v>3.6664718726868983</v>
      </c>
      <c r="Q130" s="69">
        <f t="shared" si="55"/>
        <v>3.5462420429311616</v>
      </c>
      <c r="R130" s="69">
        <f t="shared" si="55"/>
        <v>3.2133826794966693</v>
      </c>
      <c r="S130" s="69">
        <f t="shared" si="55"/>
        <v>2.6226354552183571</v>
      </c>
      <c r="T130" s="69">
        <f t="shared" si="55"/>
        <v>1.8315594004441154</v>
      </c>
      <c r="U130" s="69">
        <f t="shared" si="55"/>
        <v>1.0280458919319022</v>
      </c>
      <c r="V130" s="69">
        <f t="shared" si="55"/>
        <v>0.3595377498149519</v>
      </c>
      <c r="W130" s="69">
        <f t="shared" si="55"/>
        <v>0</v>
      </c>
    </row>
    <row r="131" spans="1:23" ht="13.5" thickBot="1" x14ac:dyDescent="0.25">
      <c r="A131" s="91" t="s">
        <v>5</v>
      </c>
      <c r="B131" s="19"/>
      <c r="C131" s="19"/>
      <c r="D131" s="19"/>
      <c r="E131" s="19"/>
      <c r="F131" s="19"/>
      <c r="G131" s="19"/>
      <c r="H131" s="19"/>
      <c r="I131" s="19"/>
      <c r="J131" s="19"/>
      <c r="K131" s="19"/>
      <c r="L131" s="19"/>
      <c r="M131" s="19"/>
      <c r="N131" s="19"/>
      <c r="O131" s="19"/>
      <c r="P131" s="19"/>
      <c r="Q131" s="19"/>
      <c r="R131" s="19"/>
      <c r="S131" s="19"/>
      <c r="T131" s="19"/>
      <c r="U131" s="19"/>
      <c r="V131" s="19"/>
    </row>
    <row r="132" spans="1:23" x14ac:dyDescent="0.2">
      <c r="A132" s="86"/>
      <c r="B132" s="87"/>
      <c r="C132" s="72">
        <v>21</v>
      </c>
      <c r="D132" s="72">
        <v>20</v>
      </c>
      <c r="E132" s="72">
        <v>19</v>
      </c>
      <c r="F132" s="72">
        <v>18</v>
      </c>
      <c r="G132" s="72">
        <v>17</v>
      </c>
      <c r="H132" s="72">
        <v>16</v>
      </c>
      <c r="I132" s="72">
        <v>15</v>
      </c>
      <c r="J132" s="72">
        <v>14</v>
      </c>
      <c r="K132" s="72">
        <v>13</v>
      </c>
      <c r="L132" s="72">
        <v>12</v>
      </c>
      <c r="M132" s="72">
        <v>11</v>
      </c>
      <c r="N132" s="72">
        <v>10</v>
      </c>
      <c r="O132" s="72">
        <v>9</v>
      </c>
      <c r="P132" s="72">
        <v>8</v>
      </c>
      <c r="Q132" s="72">
        <v>7</v>
      </c>
      <c r="R132" s="72">
        <v>6</v>
      </c>
      <c r="S132" s="72">
        <v>5</v>
      </c>
      <c r="T132" s="72">
        <v>4</v>
      </c>
      <c r="U132" s="72">
        <v>3</v>
      </c>
      <c r="V132" s="72">
        <v>2</v>
      </c>
      <c r="W132" s="73">
        <v>1</v>
      </c>
    </row>
    <row r="133" spans="1:23" x14ac:dyDescent="0.2">
      <c r="A133" s="88" t="s">
        <v>53</v>
      </c>
      <c r="B133" s="56" t="s">
        <v>54</v>
      </c>
      <c r="C133" s="68">
        <v>0</v>
      </c>
      <c r="D133" s="68">
        <f t="shared" ref="D133:V133" si="56">C133+$W$76/20</f>
        <v>1.6175000000000002</v>
      </c>
      <c r="E133" s="68">
        <f t="shared" si="56"/>
        <v>3.2350000000000003</v>
      </c>
      <c r="F133" s="68">
        <f t="shared" si="56"/>
        <v>4.8525000000000009</v>
      </c>
      <c r="G133" s="68">
        <f t="shared" si="56"/>
        <v>6.4700000000000006</v>
      </c>
      <c r="H133" s="68">
        <f t="shared" si="56"/>
        <v>8.0875000000000004</v>
      </c>
      <c r="I133" s="68">
        <f t="shared" si="56"/>
        <v>9.7050000000000001</v>
      </c>
      <c r="J133" s="68">
        <f t="shared" si="56"/>
        <v>11.3225</v>
      </c>
      <c r="K133" s="68">
        <f t="shared" si="56"/>
        <v>12.94</v>
      </c>
      <c r="L133" s="68">
        <f t="shared" si="56"/>
        <v>14.557499999999999</v>
      </c>
      <c r="M133" s="68">
        <f t="shared" si="56"/>
        <v>16.175000000000001</v>
      </c>
      <c r="N133" s="68">
        <f t="shared" si="56"/>
        <v>17.7925</v>
      </c>
      <c r="O133" s="68">
        <f t="shared" si="56"/>
        <v>19.41</v>
      </c>
      <c r="P133" s="68">
        <f t="shared" si="56"/>
        <v>21.0275</v>
      </c>
      <c r="Q133" s="68">
        <f t="shared" si="56"/>
        <v>22.645</v>
      </c>
      <c r="R133" s="68">
        <f t="shared" si="56"/>
        <v>24.262499999999999</v>
      </c>
      <c r="S133" s="68">
        <f t="shared" si="56"/>
        <v>25.88</v>
      </c>
      <c r="T133" s="68">
        <f t="shared" si="56"/>
        <v>27.497499999999999</v>
      </c>
      <c r="U133" s="68">
        <f t="shared" si="56"/>
        <v>29.114999999999998</v>
      </c>
      <c r="V133" s="68">
        <f t="shared" si="56"/>
        <v>30.732499999999998</v>
      </c>
      <c r="W133" s="58">
        <f>E5</f>
        <v>32.35</v>
      </c>
    </row>
    <row r="134" spans="1:23" x14ac:dyDescent="0.2">
      <c r="A134" s="80">
        <f>$A$46</f>
        <v>0</v>
      </c>
      <c r="B134" s="85">
        <f>$B$46</f>
        <v>0</v>
      </c>
      <c r="C134" s="69">
        <v>0</v>
      </c>
      <c r="D134" s="69">
        <v>0</v>
      </c>
      <c r="E134" s="69">
        <v>0</v>
      </c>
      <c r="F134" s="69">
        <v>0</v>
      </c>
      <c r="G134" s="69">
        <v>0</v>
      </c>
      <c r="H134" s="69">
        <v>0</v>
      </c>
      <c r="I134" s="69">
        <v>0</v>
      </c>
      <c r="J134" s="69">
        <v>0</v>
      </c>
      <c r="K134" s="69">
        <v>0</v>
      </c>
      <c r="L134" s="69">
        <v>0</v>
      </c>
      <c r="M134" s="69">
        <v>0</v>
      </c>
      <c r="N134" s="69">
        <v>0</v>
      </c>
      <c r="O134" s="69">
        <v>0</v>
      </c>
      <c r="P134" s="69">
        <v>0</v>
      </c>
      <c r="Q134" s="69">
        <v>0</v>
      </c>
      <c r="R134" s="69">
        <v>0</v>
      </c>
      <c r="S134" s="69">
        <v>0</v>
      </c>
      <c r="T134" s="69">
        <v>0</v>
      </c>
      <c r="U134" s="69">
        <v>0</v>
      </c>
      <c r="V134" s="69">
        <v>0</v>
      </c>
      <c r="W134" s="69">
        <v>0</v>
      </c>
    </row>
    <row r="135" spans="1:23" x14ac:dyDescent="0.2">
      <c r="A135" s="80">
        <f>$A$47</f>
        <v>1</v>
      </c>
      <c r="B135" s="85">
        <f>$B$47</f>
        <v>9.9999999999999992E-2</v>
      </c>
      <c r="C135" s="69">
        <f t="shared" ref="C135:W135" si="57">h^2/24*(3*C77+10*C78-C79)</f>
        <v>2.3612910189982714E-7</v>
      </c>
      <c r="D135" s="69">
        <f t="shared" si="57"/>
        <v>1.9611541308432507E-6</v>
      </c>
      <c r="E135" s="69">
        <f t="shared" si="57"/>
        <v>2.2015053841883472E-6</v>
      </c>
      <c r="F135" s="69">
        <f t="shared" si="57"/>
        <v>-3.1847936713545538E-5</v>
      </c>
      <c r="G135" s="69">
        <f t="shared" si="57"/>
        <v>1.4640334972669812E-4</v>
      </c>
      <c r="H135" s="69">
        <f t="shared" si="57"/>
        <v>4.1190018018466838E-4</v>
      </c>
      <c r="I135" s="69">
        <f t="shared" si="57"/>
        <v>4.4475525014708937E-4</v>
      </c>
      <c r="J135" s="69">
        <f t="shared" si="57"/>
        <v>4.4475525014708937E-4</v>
      </c>
      <c r="K135" s="69">
        <f t="shared" si="57"/>
        <v>4.4475525014708937E-4</v>
      </c>
      <c r="L135" s="69">
        <f t="shared" si="57"/>
        <v>4.4475525014708937E-4</v>
      </c>
      <c r="M135" s="69">
        <f t="shared" si="57"/>
        <v>4.4475525014708937E-4</v>
      </c>
      <c r="N135" s="69">
        <f t="shared" si="57"/>
        <v>4.4475525014708937E-4</v>
      </c>
      <c r="O135" s="69">
        <f t="shared" si="57"/>
        <v>4.4475525014708937E-4</v>
      </c>
      <c r="P135" s="69">
        <f t="shared" si="57"/>
        <v>4.4475525014708937E-4</v>
      </c>
      <c r="Q135" s="69">
        <f t="shared" si="57"/>
        <v>4.3670633932130025E-4</v>
      </c>
      <c r="R135" s="69">
        <f t="shared" si="57"/>
        <v>1.2863521679098096E-4</v>
      </c>
      <c r="S135" s="69">
        <f t="shared" si="57"/>
        <v>-3.9193405229269874E-5</v>
      </c>
      <c r="T135" s="69">
        <f t="shared" si="57"/>
        <v>1.9380416512459812E-6</v>
      </c>
      <c r="U135" s="69">
        <f t="shared" si="57"/>
        <v>4.975703538689287E-6</v>
      </c>
      <c r="V135" s="69">
        <f t="shared" si="57"/>
        <v>-2.2068396036174531E-6</v>
      </c>
      <c r="W135" s="69">
        <f t="shared" si="57"/>
        <v>0</v>
      </c>
    </row>
    <row r="136" spans="1:23" x14ac:dyDescent="0.2">
      <c r="A136" s="80">
        <f>$A$48</f>
        <v>2</v>
      </c>
      <c r="B136" s="85">
        <f>$B$48</f>
        <v>0.19999999999999998</v>
      </c>
      <c r="C136" s="69">
        <f t="shared" ref="C136:W136" si="58">h/3*($B77*C77+4*$B78*C78+$B79*C79)</f>
        <v>7.5561312607944691E-7</v>
      </c>
      <c r="D136" s="69">
        <f t="shared" si="58"/>
        <v>6.2756932186984029E-6</v>
      </c>
      <c r="E136" s="69">
        <f t="shared" si="58"/>
        <v>7.0448172294027129E-6</v>
      </c>
      <c r="F136" s="69">
        <f t="shared" si="58"/>
        <v>-1.0191339748334571E-4</v>
      </c>
      <c r="G136" s="69">
        <f t="shared" si="58"/>
        <v>1.068490719125434E-3</v>
      </c>
      <c r="H136" s="69">
        <f t="shared" si="58"/>
        <v>1.7180805765909389E-3</v>
      </c>
      <c r="I136" s="69">
        <f t="shared" si="58"/>
        <v>1.8232168004706862E-3</v>
      </c>
      <c r="J136" s="69">
        <f t="shared" si="58"/>
        <v>1.8232168004706862E-3</v>
      </c>
      <c r="K136" s="69">
        <f t="shared" si="58"/>
        <v>1.8232168004706862E-3</v>
      </c>
      <c r="L136" s="69">
        <f t="shared" si="58"/>
        <v>1.8232168004706862E-3</v>
      </c>
      <c r="M136" s="69">
        <f t="shared" si="58"/>
        <v>1.8232168004706862E-3</v>
      </c>
      <c r="N136" s="69">
        <f t="shared" si="58"/>
        <v>1.8232168004706862E-3</v>
      </c>
      <c r="O136" s="69">
        <f t="shared" si="58"/>
        <v>1.8232168004706862E-3</v>
      </c>
      <c r="P136" s="69">
        <f t="shared" si="58"/>
        <v>1.8232168004706862E-3</v>
      </c>
      <c r="Q136" s="69">
        <f t="shared" si="58"/>
        <v>1.7974602858281613E-3</v>
      </c>
      <c r="R136" s="69">
        <f t="shared" si="58"/>
        <v>8.91632693731139E-4</v>
      </c>
      <c r="S136" s="69">
        <f t="shared" si="58"/>
        <v>-1.2541889673366361E-4</v>
      </c>
      <c r="T136" s="69">
        <f t="shared" si="58"/>
        <v>6.2017332839871407E-6</v>
      </c>
      <c r="U136" s="69">
        <f t="shared" si="58"/>
        <v>1.5922251323805721E-5</v>
      </c>
      <c r="V136" s="69">
        <f t="shared" si="58"/>
        <v>-7.0618867315758498E-6</v>
      </c>
      <c r="W136" s="69">
        <f t="shared" si="58"/>
        <v>0</v>
      </c>
    </row>
    <row r="137" spans="1:23" x14ac:dyDescent="0.2">
      <c r="A137" s="80">
        <f>$A$49</f>
        <v>3</v>
      </c>
      <c r="B137" s="85">
        <f>$B$49</f>
        <v>0.3</v>
      </c>
      <c r="C137" s="69">
        <f t="shared" ref="C137:W137" si="59">C135+h/3*($B78*C78+4*$B79*C79+$B80*C80)</f>
        <v>-1.2750971502590671E-6</v>
      </c>
      <c r="D137" s="69">
        <f t="shared" si="59"/>
        <v>-1.0590232306553551E-5</v>
      </c>
      <c r="E137" s="69">
        <f t="shared" si="59"/>
        <v>-1.1888129074617082E-5</v>
      </c>
      <c r="F137" s="69">
        <f t="shared" si="59"/>
        <v>2.96978858253146E-4</v>
      </c>
      <c r="G137" s="69">
        <f t="shared" si="59"/>
        <v>3.2969219114758292E-3</v>
      </c>
      <c r="H137" s="69">
        <f t="shared" si="59"/>
        <v>4.2257390270027898E-3</v>
      </c>
      <c r="I137" s="69">
        <f t="shared" si="59"/>
        <v>4.0483216492057167E-3</v>
      </c>
      <c r="J137" s="69">
        <f t="shared" si="59"/>
        <v>4.0483216492057167E-3</v>
      </c>
      <c r="K137" s="69">
        <f t="shared" si="59"/>
        <v>4.0483216492057167E-3</v>
      </c>
      <c r="L137" s="69">
        <f t="shared" si="59"/>
        <v>4.0483216492057167E-3</v>
      </c>
      <c r="M137" s="69">
        <f t="shared" si="59"/>
        <v>4.0483216492057167E-3</v>
      </c>
      <c r="N137" s="69">
        <f t="shared" si="59"/>
        <v>4.0483216492057167E-3</v>
      </c>
      <c r="O137" s="69">
        <f t="shared" si="59"/>
        <v>4.0483216492057167E-3</v>
      </c>
      <c r="P137" s="69">
        <f t="shared" si="59"/>
        <v>4.0483216492057167E-3</v>
      </c>
      <c r="Q137" s="69">
        <f t="shared" si="59"/>
        <v>4.0917857676649773E-3</v>
      </c>
      <c r="R137" s="69">
        <f t="shared" si="59"/>
        <v>2.6078698293287021E-3</v>
      </c>
      <c r="S137" s="69">
        <f t="shared" si="59"/>
        <v>3.7414438823805745E-4</v>
      </c>
      <c r="T137" s="69">
        <f t="shared" si="59"/>
        <v>2.7034575083271764E-5</v>
      </c>
      <c r="U137" s="69">
        <f t="shared" si="59"/>
        <v>-2.6868799108922155E-5</v>
      </c>
      <c r="V137" s="69">
        <f t="shared" si="59"/>
        <v>1.1916933859534249E-5</v>
      </c>
      <c r="W137" s="69">
        <f t="shared" si="59"/>
        <v>0</v>
      </c>
    </row>
    <row r="138" spans="1:23" x14ac:dyDescent="0.2">
      <c r="A138" s="80">
        <f>$A$50</f>
        <v>4</v>
      </c>
      <c r="B138" s="85">
        <f>$B$50</f>
        <v>0.39999999999999997</v>
      </c>
      <c r="C138" s="69">
        <f t="shared" ref="C138:W138" si="60">C136+h/3*($B79*C79+4*$B80*C80+$B81*C81)</f>
        <v>-6.044905008635577E-6</v>
      </c>
      <c r="D138" s="69">
        <f t="shared" si="60"/>
        <v>-5.0205545749587209E-5</v>
      </c>
      <c r="E138" s="69">
        <f t="shared" si="60"/>
        <v>-5.6358537835221717E-5</v>
      </c>
      <c r="F138" s="69">
        <f t="shared" si="60"/>
        <v>2.6486405132000999E-3</v>
      </c>
      <c r="G138" s="69">
        <f t="shared" si="60"/>
        <v>8.0020742469965253E-3</v>
      </c>
      <c r="H138" s="69">
        <f t="shared" si="60"/>
        <v>9.7886887206058201E-3</v>
      </c>
      <c r="I138" s="69">
        <f t="shared" si="60"/>
        <v>8.9475989295678422E-3</v>
      </c>
      <c r="J138" s="69">
        <f t="shared" si="60"/>
        <v>8.9475989295678422E-3</v>
      </c>
      <c r="K138" s="69">
        <f t="shared" si="60"/>
        <v>8.9475989295678422E-3</v>
      </c>
      <c r="L138" s="69">
        <f t="shared" si="60"/>
        <v>8.9475989295678422E-3</v>
      </c>
      <c r="M138" s="69">
        <f t="shared" si="60"/>
        <v>8.9475989295678422E-3</v>
      </c>
      <c r="N138" s="69">
        <f t="shared" si="60"/>
        <v>8.9475989295678422E-3</v>
      </c>
      <c r="O138" s="69">
        <f t="shared" si="60"/>
        <v>8.9475989295678422E-3</v>
      </c>
      <c r="P138" s="69">
        <f t="shared" si="60"/>
        <v>8.9475989295678422E-3</v>
      </c>
      <c r="Q138" s="69">
        <f t="shared" si="60"/>
        <v>9.1536510467080424E-3</v>
      </c>
      <c r="R138" s="69">
        <f t="shared" si="60"/>
        <v>6.5836051168175541E-3</v>
      </c>
      <c r="S138" s="69">
        <f t="shared" si="60"/>
        <v>3.3866845072026428E-3</v>
      </c>
      <c r="T138" s="69">
        <f t="shared" si="60"/>
        <v>5.0038613372810315E-4</v>
      </c>
      <c r="U138" s="69">
        <f t="shared" si="60"/>
        <v>-1.2737801059044577E-4</v>
      </c>
      <c r="V138" s="69">
        <f t="shared" si="60"/>
        <v>5.6495093852606812E-5</v>
      </c>
      <c r="W138" s="69">
        <f t="shared" si="60"/>
        <v>0</v>
      </c>
    </row>
    <row r="139" spans="1:23" x14ac:dyDescent="0.2">
      <c r="A139" s="80">
        <f>$A$51</f>
        <v>5</v>
      </c>
      <c r="B139" s="85">
        <f>$B$51</f>
        <v>0.5</v>
      </c>
      <c r="C139" s="69">
        <f t="shared" ref="C139:W139" si="61">C137+h/3*($B80*C80+4*$B81*C81+$B82*C82)</f>
        <v>7.4144537996545791E-6</v>
      </c>
      <c r="D139" s="69">
        <f t="shared" si="61"/>
        <v>6.1580239708478087E-5</v>
      </c>
      <c r="E139" s="69">
        <f t="shared" si="61"/>
        <v>2.1496060239684756E-4</v>
      </c>
      <c r="F139" s="69">
        <f t="shared" si="61"/>
        <v>9.2708081205280044E-3</v>
      </c>
      <c r="G139" s="69">
        <f t="shared" si="61"/>
        <v>1.9982481848084988E-2</v>
      </c>
      <c r="H139" s="69">
        <f t="shared" si="61"/>
        <v>2.4779498991131924E-2</v>
      </c>
      <c r="I139" s="69">
        <f t="shared" si="61"/>
        <v>2.6227814854618614E-2</v>
      </c>
      <c r="J139" s="69">
        <f t="shared" si="61"/>
        <v>2.6227814854618614E-2</v>
      </c>
      <c r="K139" s="69">
        <f t="shared" si="61"/>
        <v>2.6227814854618614E-2</v>
      </c>
      <c r="L139" s="69">
        <f t="shared" si="61"/>
        <v>2.6227814854618614E-2</v>
      </c>
      <c r="M139" s="69">
        <f t="shared" si="61"/>
        <v>2.6227814854618614E-2</v>
      </c>
      <c r="N139" s="69">
        <f t="shared" si="61"/>
        <v>2.6227814854618614E-2</v>
      </c>
      <c r="O139" s="69">
        <f t="shared" si="61"/>
        <v>2.6227814854618614E-2</v>
      </c>
      <c r="P139" s="69">
        <f t="shared" si="61"/>
        <v>2.6227814854618614E-2</v>
      </c>
      <c r="Q139" s="69">
        <f t="shared" si="61"/>
        <v>2.5850079054688831E-2</v>
      </c>
      <c r="R139" s="69">
        <f t="shared" si="61"/>
        <v>1.9294979140570139E-2</v>
      </c>
      <c r="S139" s="69">
        <f t="shared" si="61"/>
        <v>1.2110993742467593E-2</v>
      </c>
      <c r="T139" s="69">
        <f t="shared" si="61"/>
        <v>3.4025211745157911E-3</v>
      </c>
      <c r="U139" s="69">
        <f t="shared" si="61"/>
        <v>3.2290375778151043E-4</v>
      </c>
      <c r="V139" s="69">
        <f t="shared" si="61"/>
        <v>-6.9294763553588064E-5</v>
      </c>
      <c r="W139" s="69">
        <f t="shared" si="61"/>
        <v>0</v>
      </c>
    </row>
    <row r="140" spans="1:23" x14ac:dyDescent="0.2">
      <c r="A140" s="80">
        <f>$A$52</f>
        <v>6</v>
      </c>
      <c r="B140" s="85">
        <f>$B$52</f>
        <v>0.6</v>
      </c>
      <c r="C140" s="69">
        <f t="shared" ref="C140:W140" si="62">C138+h/3*($B81*C81+4*$B82*C82+$B83*C83)</f>
        <v>3.5513816925734034E-5</v>
      </c>
      <c r="D140" s="69">
        <f t="shared" si="62"/>
        <v>2.9495758127882498E-4</v>
      </c>
      <c r="E140" s="69">
        <f t="shared" si="62"/>
        <v>2.3144397431152618E-3</v>
      </c>
      <c r="F140" s="69">
        <f t="shared" si="62"/>
        <v>2.412673698494942E-2</v>
      </c>
      <c r="G140" s="69">
        <f t="shared" si="62"/>
        <v>4.7110730465562065E-2</v>
      </c>
      <c r="H140" s="69">
        <f t="shared" si="62"/>
        <v>5.9066453766440825E-2</v>
      </c>
      <c r="I140" s="69">
        <f t="shared" si="62"/>
        <v>6.9674522955455606E-2</v>
      </c>
      <c r="J140" s="69">
        <f t="shared" si="62"/>
        <v>6.9674522955455606E-2</v>
      </c>
      <c r="K140" s="69">
        <f t="shared" si="62"/>
        <v>6.9674522955455606E-2</v>
      </c>
      <c r="L140" s="69">
        <f t="shared" si="62"/>
        <v>6.9674522955455606E-2</v>
      </c>
      <c r="M140" s="69">
        <f t="shared" si="62"/>
        <v>6.9674522955455606E-2</v>
      </c>
      <c r="N140" s="69">
        <f t="shared" si="62"/>
        <v>6.9674522955455606E-2</v>
      </c>
      <c r="O140" s="69">
        <f t="shared" si="62"/>
        <v>6.9674522955455606E-2</v>
      </c>
      <c r="P140" s="69">
        <f t="shared" si="62"/>
        <v>6.9674522955455606E-2</v>
      </c>
      <c r="Q140" s="69">
        <f t="shared" si="62"/>
        <v>6.6763966767256933E-2</v>
      </c>
      <c r="R140" s="69">
        <f t="shared" si="62"/>
        <v>5.0706736605363553E-2</v>
      </c>
      <c r="S140" s="69">
        <f t="shared" si="62"/>
        <v>3.1555311853517815E-2</v>
      </c>
      <c r="T140" s="69">
        <f t="shared" si="62"/>
        <v>1.2508148131014066E-2</v>
      </c>
      <c r="U140" s="69">
        <f t="shared" si="62"/>
        <v>3.0150124788855363E-3</v>
      </c>
      <c r="V140" s="69">
        <f t="shared" si="62"/>
        <v>-3.3190867638406503E-4</v>
      </c>
      <c r="W140" s="69">
        <f t="shared" si="62"/>
        <v>0</v>
      </c>
    </row>
    <row r="141" spans="1:23" x14ac:dyDescent="0.2">
      <c r="A141" s="80">
        <f>$A$53</f>
        <v>7</v>
      </c>
      <c r="B141" s="85">
        <f>$B$53</f>
        <v>0.70000000000000007</v>
      </c>
      <c r="C141" s="69">
        <f t="shared" ref="C141:W141" si="63">C139+h/3*($B82*C82+4*$B83*C83+$B84*C84)</f>
        <v>-3.6411107512953388E-5</v>
      </c>
      <c r="D141" s="69">
        <f t="shared" si="63"/>
        <v>-3.0240996697602953E-4</v>
      </c>
      <c r="E141" s="69">
        <f t="shared" si="63"/>
        <v>1.0539694536424829E-2</v>
      </c>
      <c r="F141" s="69">
        <f t="shared" si="63"/>
        <v>5.3935951841228721E-2</v>
      </c>
      <c r="G141" s="69">
        <f t="shared" si="63"/>
        <v>9.6514186805476479E-2</v>
      </c>
      <c r="H141" s="69">
        <f t="shared" si="63"/>
        <v>0.12048915888219079</v>
      </c>
      <c r="I141" s="69">
        <f t="shared" si="63"/>
        <v>0.14357290709398546</v>
      </c>
      <c r="J141" s="69">
        <f t="shared" si="63"/>
        <v>0.14357290709398546</v>
      </c>
      <c r="K141" s="69">
        <f t="shared" si="63"/>
        <v>0.14357290709398546</v>
      </c>
      <c r="L141" s="69">
        <f t="shared" si="63"/>
        <v>0.14357290709398546</v>
      </c>
      <c r="M141" s="69">
        <f t="shared" si="63"/>
        <v>0.14357290709398546</v>
      </c>
      <c r="N141" s="69">
        <f t="shared" si="63"/>
        <v>0.14357290709398546</v>
      </c>
      <c r="O141" s="69">
        <f t="shared" si="63"/>
        <v>0.14357290709398546</v>
      </c>
      <c r="P141" s="69">
        <f t="shared" si="63"/>
        <v>0.14357290709398546</v>
      </c>
      <c r="Q141" s="69">
        <f t="shared" si="63"/>
        <v>0.13623488247665547</v>
      </c>
      <c r="R141" s="69">
        <f t="shared" si="63"/>
        <v>0.10696361623749741</v>
      </c>
      <c r="S141" s="69">
        <f t="shared" si="63"/>
        <v>6.8614456419686748E-2</v>
      </c>
      <c r="T141" s="69">
        <f t="shared" si="63"/>
        <v>3.2763653977377877E-2</v>
      </c>
      <c r="U141" s="69">
        <f t="shared" si="63"/>
        <v>1.1274413181000781E-2</v>
      </c>
      <c r="V141" s="69">
        <f t="shared" si="63"/>
        <v>6.6112800021114607E-4</v>
      </c>
      <c r="W141" s="69">
        <f t="shared" si="63"/>
        <v>0</v>
      </c>
    </row>
    <row r="142" spans="1:23" x14ac:dyDescent="0.2">
      <c r="A142" s="80">
        <f>$A$54</f>
        <v>8</v>
      </c>
      <c r="B142" s="85">
        <f>$B$54</f>
        <v>0.79999999999999993</v>
      </c>
      <c r="C142" s="69">
        <f t="shared" ref="C142:W142" si="64">C140+h/3*($B83*C83+4*$B84*C84+$B85*C85)</f>
        <v>-1.8134715025906745E-4</v>
      </c>
      <c r="D142" s="69">
        <f t="shared" si="64"/>
        <v>-1.5061663724876178E-3</v>
      </c>
      <c r="E142" s="69">
        <f t="shared" si="64"/>
        <v>3.1775910531610031E-2</v>
      </c>
      <c r="F142" s="69">
        <f t="shared" si="64"/>
        <v>0.10677588206266965</v>
      </c>
      <c r="G142" s="69">
        <f t="shared" si="64"/>
        <v>0.17359556074322913</v>
      </c>
      <c r="H142" s="69">
        <f t="shared" si="64"/>
        <v>0.21342732828484129</v>
      </c>
      <c r="I142" s="69">
        <f t="shared" si="64"/>
        <v>0.2452613012203686</v>
      </c>
      <c r="J142" s="69">
        <f t="shared" si="64"/>
        <v>0.2452613012203686</v>
      </c>
      <c r="K142" s="69">
        <f t="shared" si="64"/>
        <v>0.2452613012203686</v>
      </c>
      <c r="L142" s="69">
        <f t="shared" si="64"/>
        <v>0.2452613012203686</v>
      </c>
      <c r="M142" s="69">
        <f t="shared" si="64"/>
        <v>0.2452613012203686</v>
      </c>
      <c r="N142" s="69">
        <f t="shared" si="64"/>
        <v>0.2452613012203686</v>
      </c>
      <c r="O142" s="69">
        <f t="shared" si="64"/>
        <v>0.2452613012203686</v>
      </c>
      <c r="P142" s="69">
        <f t="shared" si="64"/>
        <v>0.2452613012203686</v>
      </c>
      <c r="Q142" s="69">
        <f t="shared" si="64"/>
        <v>0.2325595314012413</v>
      </c>
      <c r="R142" s="69">
        <f t="shared" si="64"/>
        <v>0.19019148683785991</v>
      </c>
      <c r="S142" s="69">
        <f t="shared" si="64"/>
        <v>0.12966720188274594</v>
      </c>
      <c r="T142" s="69">
        <f t="shared" si="64"/>
        <v>6.8878250678509778E-2</v>
      </c>
      <c r="U142" s="69">
        <f t="shared" si="64"/>
        <v>2.9278659682286639E-2</v>
      </c>
      <c r="V142" s="69">
        <f t="shared" si="64"/>
        <v>5.9115194822448773E-3</v>
      </c>
      <c r="W142" s="69">
        <f t="shared" si="64"/>
        <v>0</v>
      </c>
    </row>
    <row r="143" spans="1:23" x14ac:dyDescent="0.2">
      <c r="A143" s="80">
        <f>$A$55</f>
        <v>9</v>
      </c>
      <c r="B143" s="85">
        <f>$B$55</f>
        <v>0.89999999999999991</v>
      </c>
      <c r="C143" s="69">
        <f t="shared" ref="C143:W143" si="65">C141+h/3*($B84*C84+4*$B85*C85+$B86*C86)</f>
        <v>1.6949346934369585E-4</v>
      </c>
      <c r="D143" s="69">
        <f t="shared" si="65"/>
        <v>2.5327164351192843E-3</v>
      </c>
      <c r="E143" s="69">
        <f t="shared" si="65"/>
        <v>7.4180240564770406E-2</v>
      </c>
      <c r="F143" s="69">
        <f t="shared" si="65"/>
        <v>0.18811455102701702</v>
      </c>
      <c r="G143" s="69">
        <f t="shared" si="65"/>
        <v>0.28091957443382393</v>
      </c>
      <c r="H143" s="69">
        <f t="shared" si="65"/>
        <v>0.33715361600322175</v>
      </c>
      <c r="I143" s="69">
        <f t="shared" si="65"/>
        <v>0.37416198522224753</v>
      </c>
      <c r="J143" s="69">
        <f t="shared" si="65"/>
        <v>0.37416198522224753</v>
      </c>
      <c r="K143" s="69">
        <f t="shared" si="65"/>
        <v>0.37416198522224753</v>
      </c>
      <c r="L143" s="69">
        <f t="shared" si="65"/>
        <v>0.37416198522224753</v>
      </c>
      <c r="M143" s="69">
        <f t="shared" si="65"/>
        <v>0.37416198522224753</v>
      </c>
      <c r="N143" s="69">
        <f t="shared" si="65"/>
        <v>0.37416198522224753</v>
      </c>
      <c r="O143" s="69">
        <f t="shared" si="65"/>
        <v>0.37416198522224753</v>
      </c>
      <c r="P143" s="69">
        <f t="shared" si="65"/>
        <v>0.37416198522224753</v>
      </c>
      <c r="Q143" s="69">
        <f t="shared" si="65"/>
        <v>0.35574697703149616</v>
      </c>
      <c r="R143" s="69">
        <f t="shared" si="65"/>
        <v>0.3001918586125662</v>
      </c>
      <c r="S143" s="69">
        <f t="shared" si="65"/>
        <v>0.21509197372643007</v>
      </c>
      <c r="T143" s="69">
        <f t="shared" si="65"/>
        <v>0.12240362629726438</v>
      </c>
      <c r="U143" s="69">
        <f t="shared" si="65"/>
        <v>6.0084060000071174E-2</v>
      </c>
      <c r="V143" s="69">
        <f t="shared" si="65"/>
        <v>1.9753430532523392E-2</v>
      </c>
      <c r="W143" s="69">
        <f t="shared" si="65"/>
        <v>0</v>
      </c>
    </row>
    <row r="144" spans="1:23" x14ac:dyDescent="0.2">
      <c r="A144" s="80">
        <f>$A$56</f>
        <v>10</v>
      </c>
      <c r="B144" s="85">
        <f>$B$56</f>
        <v>1</v>
      </c>
      <c r="C144" s="69">
        <f t="shared" ref="C144:R144" si="66">C142+h/3*($B85*C85+4*$B86*C86+$B87*C87)</f>
        <v>8.5913212435232995E-4</v>
      </c>
      <c r="D144" s="69">
        <f t="shared" si="66"/>
        <v>2.163546318966009E-2</v>
      </c>
      <c r="E144" s="69">
        <f t="shared" si="66"/>
        <v>0.14574329052316423</v>
      </c>
      <c r="F144" s="69">
        <f t="shared" si="66"/>
        <v>0.30097446706143599</v>
      </c>
      <c r="G144" s="69">
        <f t="shared" si="66"/>
        <v>0.41879894764561854</v>
      </c>
      <c r="H144" s="69">
        <f t="shared" si="66"/>
        <v>0.48859094891723132</v>
      </c>
      <c r="I144" s="69">
        <f t="shared" si="66"/>
        <v>0.53103083546850394</v>
      </c>
      <c r="J144" s="69">
        <f t="shared" si="66"/>
        <v>0.53103083546850394</v>
      </c>
      <c r="K144" s="69">
        <f t="shared" si="66"/>
        <v>0.53103083546850394</v>
      </c>
      <c r="L144" s="69">
        <f t="shared" si="66"/>
        <v>0.53103083546850394</v>
      </c>
      <c r="M144" s="69">
        <f t="shared" si="66"/>
        <v>0.53103083546850394</v>
      </c>
      <c r="N144" s="69">
        <f t="shared" si="66"/>
        <v>0.53103083546850394</v>
      </c>
      <c r="O144" s="69">
        <f t="shared" si="66"/>
        <v>0.53103083546850394</v>
      </c>
      <c r="P144" s="69">
        <f t="shared" si="66"/>
        <v>0.53103083546850394</v>
      </c>
      <c r="Q144" s="69">
        <f t="shared" si="66"/>
        <v>0.50674567831995287</v>
      </c>
      <c r="R144" s="69">
        <f t="shared" si="66"/>
        <v>0.43561970610563872</v>
      </c>
      <c r="S144" s="69">
        <f>S142+h/3*($B85*S85+4*$B86*S86+$B87*S87)</f>
        <v>0.32233204774715785</v>
      </c>
      <c r="T144" s="69">
        <f>T142+h/3*($B85*T85+4*$B86*T86+$B87*T87)</f>
        <v>0.19293470407722679</v>
      </c>
      <c r="U144" s="69">
        <f>U142+h/3*($B85*U85+4*$B86*U86+$B87*U87)</f>
        <v>0.10552026642183379</v>
      </c>
      <c r="V144" s="69">
        <f>V142+h/3*($B85*V85+4*$B86*V86+$B87*V87)</f>
        <v>4.4970634786198255E-2</v>
      </c>
      <c r="W144" s="69">
        <f>W142+h/3*($B85*W85+4*$B86*W86+$B87*W87)</f>
        <v>0</v>
      </c>
    </row>
    <row r="145" spans="1:23" x14ac:dyDescent="0.2">
      <c r="A145" s="80">
        <f>$A$57</f>
        <v>11</v>
      </c>
      <c r="B145" s="85">
        <f>$B$57</f>
        <v>1.0999999999999999</v>
      </c>
      <c r="C145" s="69">
        <f t="shared" ref="C145:W145" si="67">C143+h/3*($B86*C86+4*$B87*C87+$B88*C88)</f>
        <v>-6.1938822322971142E-4</v>
      </c>
      <c r="D145" s="69">
        <f t="shared" si="67"/>
        <v>6.5755383215661725E-2</v>
      </c>
      <c r="E145" s="69">
        <f t="shared" si="67"/>
        <v>0.25123496130818934</v>
      </c>
      <c r="F145" s="69">
        <f t="shared" si="67"/>
        <v>0.44603120967493215</v>
      </c>
      <c r="G145" s="69">
        <f t="shared" si="67"/>
        <v>0.58657911945270835</v>
      </c>
      <c r="H145" s="69">
        <f t="shared" si="67"/>
        <v>0.66745766243606353</v>
      </c>
      <c r="I145" s="69">
        <f t="shared" si="67"/>
        <v>0.71610235451185256</v>
      </c>
      <c r="J145" s="69">
        <f t="shared" si="67"/>
        <v>0.71610235451185256</v>
      </c>
      <c r="K145" s="69">
        <f t="shared" si="67"/>
        <v>0.71610235451185256</v>
      </c>
      <c r="L145" s="69">
        <f t="shared" si="67"/>
        <v>0.71610235451185256</v>
      </c>
      <c r="M145" s="69">
        <f t="shared" si="67"/>
        <v>0.71610235451185256</v>
      </c>
      <c r="N145" s="69">
        <f t="shared" si="67"/>
        <v>0.71610235451185256</v>
      </c>
      <c r="O145" s="69">
        <f t="shared" si="67"/>
        <v>0.71610235451185256</v>
      </c>
      <c r="P145" s="69">
        <f t="shared" si="67"/>
        <v>0.71610235451185256</v>
      </c>
      <c r="Q145" s="69">
        <f t="shared" si="67"/>
        <v>0.68557733327283688</v>
      </c>
      <c r="R145" s="69">
        <f t="shared" si="67"/>
        <v>0.59626267609818939</v>
      </c>
      <c r="S145" s="69">
        <f t="shared" si="67"/>
        <v>0.45155137445523491</v>
      </c>
      <c r="T145" s="69">
        <f t="shared" si="67"/>
        <v>0.28049613462442946</v>
      </c>
      <c r="U145" s="69">
        <f t="shared" si="67"/>
        <v>0.16592171321041871</v>
      </c>
      <c r="V145" s="69">
        <f t="shared" si="67"/>
        <v>7.7557136998768719E-2</v>
      </c>
      <c r="W145" s="69">
        <f t="shared" si="67"/>
        <v>0</v>
      </c>
    </row>
    <row r="146" spans="1:23" x14ac:dyDescent="0.2">
      <c r="A146" s="80">
        <f>$A$58</f>
        <v>12</v>
      </c>
      <c r="B146" s="85">
        <f>$B$58</f>
        <v>1.2</v>
      </c>
      <c r="C146" s="69">
        <f t="shared" ref="C146:W146" si="68">C144+h/3*($B87*C87+4*$B88*C88+$B89*C89)</f>
        <v>-2.1368739205526823E-3</v>
      </c>
      <c r="D146" s="69">
        <f t="shared" si="68"/>
        <v>0.14338450074968206</v>
      </c>
      <c r="E146" s="69">
        <f t="shared" si="68"/>
        <v>0.39226146017195235</v>
      </c>
      <c r="F146" s="69">
        <f t="shared" si="68"/>
        <v>0.62257584998766347</v>
      </c>
      <c r="G146" s="69">
        <f t="shared" si="68"/>
        <v>0.78330040748543328</v>
      </c>
      <c r="H146" s="69">
        <f t="shared" si="68"/>
        <v>0.87491018068287496</v>
      </c>
      <c r="I146" s="69">
        <f t="shared" si="68"/>
        <v>0.92902277837878877</v>
      </c>
      <c r="J146" s="69">
        <f t="shared" si="68"/>
        <v>0.92902277837878877</v>
      </c>
      <c r="K146" s="69">
        <f t="shared" si="68"/>
        <v>0.92902277837878877</v>
      </c>
      <c r="L146" s="69">
        <f t="shared" si="68"/>
        <v>0.92902277837878877</v>
      </c>
      <c r="M146" s="69">
        <f t="shared" si="68"/>
        <v>0.92902277837878877</v>
      </c>
      <c r="N146" s="69">
        <f t="shared" si="68"/>
        <v>0.92902277837878877</v>
      </c>
      <c r="O146" s="69">
        <f t="shared" si="68"/>
        <v>0.92902277837878877</v>
      </c>
      <c r="P146" s="69">
        <f t="shared" si="68"/>
        <v>0.92902277837878877</v>
      </c>
      <c r="Q146" s="69">
        <f t="shared" si="68"/>
        <v>0.89161428969993728</v>
      </c>
      <c r="R146" s="69">
        <f t="shared" si="68"/>
        <v>0.7824747567803525</v>
      </c>
      <c r="S146" s="69">
        <f t="shared" si="68"/>
        <v>0.60417147146463202</v>
      </c>
      <c r="T146" s="69">
        <f t="shared" si="68"/>
        <v>0.38551495065383667</v>
      </c>
      <c r="U146" s="69">
        <f t="shared" si="68"/>
        <v>0.23969593919034335</v>
      </c>
      <c r="V146" s="69">
        <f t="shared" si="68"/>
        <v>0.11125967868055951</v>
      </c>
      <c r="W146" s="69">
        <f t="shared" si="68"/>
        <v>0</v>
      </c>
    </row>
    <row r="147" spans="1:23" x14ac:dyDescent="0.2">
      <c r="A147" s="80">
        <f>$A$59</f>
        <v>13</v>
      </c>
      <c r="B147" s="85">
        <f>$B$59</f>
        <v>1.3</v>
      </c>
      <c r="C147" s="69">
        <f t="shared" ref="C147:W147" si="69">C145+h/3*($B88*C88+4*$B89*C89+$B90*C90)</f>
        <v>1.4539797873488781E-2</v>
      </c>
      <c r="D147" s="69">
        <f t="shared" si="69"/>
        <v>0.25834819158173433</v>
      </c>
      <c r="E147" s="69">
        <f t="shared" si="69"/>
        <v>0.56705514664692225</v>
      </c>
      <c r="F147" s="69">
        <f t="shared" si="69"/>
        <v>0.82974650945287443</v>
      </c>
      <c r="G147" s="69">
        <f t="shared" si="69"/>
        <v>1.0091603323956377</v>
      </c>
      <c r="H147" s="69">
        <f t="shared" si="69"/>
        <v>1.1115173570355057</v>
      </c>
      <c r="I147" s="69">
        <f t="shared" si="69"/>
        <v>1.1697024294326139</v>
      </c>
      <c r="J147" s="69">
        <f t="shared" si="69"/>
        <v>1.1697024294326139</v>
      </c>
      <c r="K147" s="69">
        <f t="shared" si="69"/>
        <v>1.1697024294326139</v>
      </c>
      <c r="L147" s="69">
        <f t="shared" si="69"/>
        <v>1.1697024294326139</v>
      </c>
      <c r="M147" s="69">
        <f t="shared" si="69"/>
        <v>1.1697024294326139</v>
      </c>
      <c r="N147" s="69">
        <f t="shared" si="69"/>
        <v>1.1697024294326139</v>
      </c>
      <c r="O147" s="69">
        <f t="shared" si="69"/>
        <v>1.1697024294326139</v>
      </c>
      <c r="P147" s="69">
        <f t="shared" si="69"/>
        <v>1.1697024294326139</v>
      </c>
      <c r="Q147" s="69">
        <f t="shared" si="69"/>
        <v>1.1248383940255557</v>
      </c>
      <c r="R147" s="69">
        <f t="shared" si="69"/>
        <v>0.99483490070863934</v>
      </c>
      <c r="S147" s="69">
        <f t="shared" si="69"/>
        <v>0.780128806331433</v>
      </c>
      <c r="T147" s="69">
        <f t="shared" si="69"/>
        <v>0.50875535056015608</v>
      </c>
      <c r="U147" s="69">
        <f t="shared" si="69"/>
        <v>0.32263916350839361</v>
      </c>
      <c r="V147" s="69">
        <f t="shared" si="69"/>
        <v>0.14517053594114759</v>
      </c>
      <c r="W147" s="69">
        <f t="shared" si="69"/>
        <v>0</v>
      </c>
    </row>
    <row r="148" spans="1:23" x14ac:dyDescent="0.2">
      <c r="A148" s="80">
        <f>$A$60</f>
        <v>14</v>
      </c>
      <c r="B148" s="85">
        <f>$B$60</f>
        <v>1.4000000000000001</v>
      </c>
      <c r="C148" s="69">
        <f t="shared" ref="C148:W148" si="70">C146+h/3*($B89*C89+4*$B90*C90+$B91*C91)</f>
        <v>7.1295876511226333E-2</v>
      </c>
      <c r="D148" s="69">
        <f t="shared" si="70"/>
        <v>0.41094002998728391</v>
      </c>
      <c r="E148" s="69">
        <f t="shared" si="70"/>
        <v>0.77289069854476256</v>
      </c>
      <c r="F148" s="69">
        <f t="shared" si="70"/>
        <v>1.066835666173205</v>
      </c>
      <c r="G148" s="69">
        <f t="shared" si="70"/>
        <v>1.2645904660840022</v>
      </c>
      <c r="H148" s="69">
        <f t="shared" si="70"/>
        <v>1.3771630606483327</v>
      </c>
      <c r="I148" s="69">
        <f t="shared" si="70"/>
        <v>1.4382978018182162</v>
      </c>
      <c r="J148" s="69">
        <f t="shared" si="70"/>
        <v>1.4382978018182162</v>
      </c>
      <c r="K148" s="69">
        <f t="shared" si="70"/>
        <v>1.4382978018182162</v>
      </c>
      <c r="L148" s="69">
        <f t="shared" si="70"/>
        <v>1.4382978018182162</v>
      </c>
      <c r="M148" s="69">
        <f t="shared" si="70"/>
        <v>1.4382978018182162</v>
      </c>
      <c r="N148" s="69">
        <f t="shared" si="70"/>
        <v>1.4382978018182162</v>
      </c>
      <c r="O148" s="69">
        <f t="shared" si="70"/>
        <v>1.4382978018182162</v>
      </c>
      <c r="P148" s="69">
        <f t="shared" si="70"/>
        <v>1.4382978018182162</v>
      </c>
      <c r="Q148" s="69">
        <f t="shared" si="70"/>
        <v>1.3854565879974947</v>
      </c>
      <c r="R148" s="69">
        <f t="shared" si="70"/>
        <v>1.2336419378807719</v>
      </c>
      <c r="S148" s="69">
        <f t="shared" si="70"/>
        <v>0.97877510858528338</v>
      </c>
      <c r="T148" s="69">
        <f t="shared" si="70"/>
        <v>0.65070490115346669</v>
      </c>
      <c r="U148" s="69">
        <f t="shared" si="70"/>
        <v>0.41032340094706676</v>
      </c>
      <c r="V148" s="69">
        <f t="shared" si="70"/>
        <v>0.18075756388904707</v>
      </c>
      <c r="W148" s="69">
        <f t="shared" si="70"/>
        <v>0</v>
      </c>
    </row>
    <row r="149" spans="1:23" x14ac:dyDescent="0.2">
      <c r="A149" s="80">
        <f>$A$61</f>
        <v>15</v>
      </c>
      <c r="B149" s="85">
        <f>$B$61</f>
        <v>1.5</v>
      </c>
      <c r="C149" s="69">
        <f t="shared" ref="C149:W149" si="71">C147+h/3*($B90*C90+4*$B91*C91+$B92*C92)</f>
        <v>0.17371901851252172</v>
      </c>
      <c r="D149" s="69">
        <f t="shared" si="71"/>
        <v>0.59894736825997841</v>
      </c>
      <c r="E149" s="69">
        <f t="shared" si="71"/>
        <v>1.0097845883947256</v>
      </c>
      <c r="F149" s="69">
        <f t="shared" si="71"/>
        <v>1.3338136516931902</v>
      </c>
      <c r="G149" s="69">
        <f t="shared" si="71"/>
        <v>1.5493890125281133</v>
      </c>
      <c r="H149" s="69">
        <f t="shared" si="71"/>
        <v>1.6712874809228446</v>
      </c>
      <c r="I149" s="69">
        <f t="shared" si="71"/>
        <v>1.7355841322548349</v>
      </c>
      <c r="J149" s="69">
        <f t="shared" si="71"/>
        <v>1.7355841322548349</v>
      </c>
      <c r="K149" s="69">
        <f t="shared" si="71"/>
        <v>1.7355841322548349</v>
      </c>
      <c r="L149" s="69">
        <f t="shared" si="71"/>
        <v>1.7355841322548349</v>
      </c>
      <c r="M149" s="69">
        <f t="shared" si="71"/>
        <v>1.7355841322548349</v>
      </c>
      <c r="N149" s="69">
        <f t="shared" si="71"/>
        <v>1.7355841322548349</v>
      </c>
      <c r="O149" s="69">
        <f t="shared" si="71"/>
        <v>1.7355841322548349</v>
      </c>
      <c r="P149" s="69">
        <f t="shared" si="71"/>
        <v>1.7355841322548349</v>
      </c>
      <c r="Q149" s="69">
        <f t="shared" si="71"/>
        <v>1.6736802691323143</v>
      </c>
      <c r="R149" s="69">
        <f t="shared" si="71"/>
        <v>1.4986961463196777</v>
      </c>
      <c r="S149" s="69">
        <f t="shared" si="71"/>
        <v>1.2002915370721947</v>
      </c>
      <c r="T149" s="69">
        <f t="shared" si="71"/>
        <v>0.81084389515675126</v>
      </c>
      <c r="U149" s="69">
        <f t="shared" si="71"/>
        <v>0.50214728602922343</v>
      </c>
      <c r="V149" s="69">
        <f t="shared" si="71"/>
        <v>0.21754445165410477</v>
      </c>
      <c r="W149" s="69">
        <f t="shared" si="71"/>
        <v>0</v>
      </c>
    </row>
    <row r="150" spans="1:23" x14ac:dyDescent="0.2">
      <c r="A150" s="80">
        <f>$A$62</f>
        <v>16</v>
      </c>
      <c r="B150" s="85">
        <f>$B$62</f>
        <v>1.5999999999999999</v>
      </c>
      <c r="C150" s="69">
        <f t="shared" ref="C150:W150" si="72">C148+h/3*($B91*C91+4*$B92*C92+$B93*C93)</f>
        <v>0.31751334196891207</v>
      </c>
      <c r="D150" s="69">
        <f t="shared" si="72"/>
        <v>0.81964787412932494</v>
      </c>
      <c r="E150" s="69">
        <f t="shared" si="72"/>
        <v>1.2786458938298315</v>
      </c>
      <c r="F150" s="69">
        <f t="shared" si="72"/>
        <v>1.6308444189489268</v>
      </c>
      <c r="G150" s="69">
        <f t="shared" si="72"/>
        <v>1.8630151280153351</v>
      </c>
      <c r="H150" s="69">
        <f t="shared" si="72"/>
        <v>1.993324009565564</v>
      </c>
      <c r="I150" s="69">
        <f t="shared" si="72"/>
        <v>2.0620162563343394</v>
      </c>
      <c r="J150" s="69">
        <f t="shared" si="72"/>
        <v>2.0620162563343394</v>
      </c>
      <c r="K150" s="69">
        <f t="shared" si="72"/>
        <v>2.0620162563343394</v>
      </c>
      <c r="L150" s="69">
        <f t="shared" si="72"/>
        <v>2.0620162563343394</v>
      </c>
      <c r="M150" s="69">
        <f t="shared" si="72"/>
        <v>2.0620162563343394</v>
      </c>
      <c r="N150" s="69">
        <f t="shared" si="72"/>
        <v>2.0620162563343394</v>
      </c>
      <c r="O150" s="69">
        <f t="shared" si="72"/>
        <v>2.0620162563343394</v>
      </c>
      <c r="P150" s="69">
        <f t="shared" si="72"/>
        <v>2.0620162563343394</v>
      </c>
      <c r="Q150" s="69">
        <f t="shared" si="72"/>
        <v>1.9895151234603046</v>
      </c>
      <c r="R150" s="69">
        <f t="shared" si="72"/>
        <v>1.7896530725578392</v>
      </c>
      <c r="S150" s="69">
        <f t="shared" si="72"/>
        <v>1.4449557277610126</v>
      </c>
      <c r="T150" s="69">
        <f t="shared" si="72"/>
        <v>0.98813579570688392</v>
      </c>
      <c r="U150" s="69">
        <f t="shared" si="72"/>
        <v>0.59959509594032911</v>
      </c>
      <c r="V150" s="69">
        <f t="shared" si="72"/>
        <v>0.2543553415323882</v>
      </c>
      <c r="W150" s="69">
        <f t="shared" si="72"/>
        <v>0</v>
      </c>
    </row>
    <row r="151" spans="1:23" x14ac:dyDescent="0.2">
      <c r="A151" s="80">
        <f>$A$63</f>
        <v>17</v>
      </c>
      <c r="B151" s="85">
        <f>$B$63</f>
        <v>1.7</v>
      </c>
      <c r="C151" s="69">
        <f t="shared" ref="C151:W151" si="73">C149+h/3*($B92*C92+4*$B93*C93+$B94*C94)</f>
        <v>0.49630421928972379</v>
      </c>
      <c r="D151" s="69">
        <f t="shared" si="73"/>
        <v>1.0726461102649509</v>
      </c>
      <c r="E151" s="69">
        <f t="shared" si="73"/>
        <v>1.5790365730060771</v>
      </c>
      <c r="F151" s="69">
        <f t="shared" si="73"/>
        <v>1.9576809160652602</v>
      </c>
      <c r="G151" s="69">
        <f t="shared" si="73"/>
        <v>2.2053993240494933</v>
      </c>
      <c r="H151" s="69">
        <f t="shared" si="73"/>
        <v>2.3434009917837453</v>
      </c>
      <c r="I151" s="69">
        <f t="shared" si="73"/>
        <v>2.4167275453249255</v>
      </c>
      <c r="J151" s="69">
        <f t="shared" si="73"/>
        <v>2.4167275453249255</v>
      </c>
      <c r="K151" s="69">
        <f t="shared" si="73"/>
        <v>2.4167275453249255</v>
      </c>
      <c r="L151" s="69">
        <f t="shared" si="73"/>
        <v>2.4167275453249255</v>
      </c>
      <c r="M151" s="69">
        <f t="shared" si="73"/>
        <v>2.4167275453249255</v>
      </c>
      <c r="N151" s="69">
        <f t="shared" si="73"/>
        <v>2.4167275453249255</v>
      </c>
      <c r="O151" s="69">
        <f t="shared" si="73"/>
        <v>2.4167275453249255</v>
      </c>
      <c r="P151" s="69">
        <f t="shared" si="73"/>
        <v>2.4167275453249255</v>
      </c>
      <c r="Q151" s="69">
        <f t="shared" si="73"/>
        <v>2.3327662302437417</v>
      </c>
      <c r="R151" s="69">
        <f t="shared" si="73"/>
        <v>2.1068446895165498</v>
      </c>
      <c r="S151" s="69">
        <f t="shared" si="73"/>
        <v>1.7118806942373523</v>
      </c>
      <c r="T151" s="69">
        <f t="shared" si="73"/>
        <v>1.181852112603704</v>
      </c>
      <c r="U151" s="69">
        <f t="shared" si="73"/>
        <v>0.70421566133051972</v>
      </c>
      <c r="V151" s="69">
        <f t="shared" si="73"/>
        <v>0.29136082405868635</v>
      </c>
      <c r="W151" s="69">
        <f t="shared" si="73"/>
        <v>0</v>
      </c>
    </row>
    <row r="152" spans="1:23" x14ac:dyDescent="0.2">
      <c r="A152" s="80">
        <f>$A$64</f>
        <v>18</v>
      </c>
      <c r="B152" s="85">
        <f>$B$64</f>
        <v>1.7999999999999998</v>
      </c>
      <c r="C152" s="69">
        <f t="shared" ref="C152:W152" si="74">C150+h/3*($B93*C93+4*$B94*C94+$B95*C95)</f>
        <v>0.70417001295336801</v>
      </c>
      <c r="D152" s="69">
        <f t="shared" si="74"/>
        <v>1.3578016646738409</v>
      </c>
      <c r="E152" s="69">
        <f t="shared" si="74"/>
        <v>1.9097653036568354</v>
      </c>
      <c r="F152" s="69">
        <f t="shared" si="74"/>
        <v>2.3139047236614854</v>
      </c>
      <c r="G152" s="69">
        <f t="shared" si="74"/>
        <v>2.5764317121695228</v>
      </c>
      <c r="H152" s="69">
        <f t="shared" si="74"/>
        <v>2.721750437425269</v>
      </c>
      <c r="I152" s="69">
        <f t="shared" si="74"/>
        <v>2.7984381207652449</v>
      </c>
      <c r="J152" s="69">
        <f t="shared" si="74"/>
        <v>2.7984381207652449</v>
      </c>
      <c r="K152" s="69">
        <f t="shared" si="74"/>
        <v>2.7984381207652449</v>
      </c>
      <c r="L152" s="69">
        <f t="shared" si="74"/>
        <v>2.7984381207652449</v>
      </c>
      <c r="M152" s="69">
        <f t="shared" si="74"/>
        <v>2.7984381207652449</v>
      </c>
      <c r="N152" s="69">
        <f t="shared" si="74"/>
        <v>2.7984381207652449</v>
      </c>
      <c r="O152" s="69">
        <f t="shared" si="74"/>
        <v>2.7984381207652449</v>
      </c>
      <c r="P152" s="69">
        <f t="shared" si="74"/>
        <v>2.7984381207652449</v>
      </c>
      <c r="Q152" s="69">
        <f t="shared" si="74"/>
        <v>2.7029337657765375</v>
      </c>
      <c r="R152" s="69">
        <f t="shared" si="74"/>
        <v>2.450369444001594</v>
      </c>
      <c r="S152" s="69">
        <f t="shared" si="74"/>
        <v>2.000065070579248</v>
      </c>
      <c r="T152" s="69">
        <f t="shared" si="74"/>
        <v>1.3916044376079448</v>
      </c>
      <c r="U152" s="69">
        <f t="shared" si="74"/>
        <v>0.81706356881891862</v>
      </c>
      <c r="V152" s="69">
        <f t="shared" si="74"/>
        <v>0.32902305350737349</v>
      </c>
      <c r="W152" s="69">
        <f t="shared" si="74"/>
        <v>0</v>
      </c>
    </row>
    <row r="153" spans="1:23" x14ac:dyDescent="0.2">
      <c r="A153" s="80">
        <f>$A$65</f>
        <v>19</v>
      </c>
      <c r="B153" s="85">
        <f>$B$65</f>
        <v>1.9000000000000001</v>
      </c>
      <c r="C153" s="69">
        <f t="shared" ref="C153:W153" si="75">C151+h/3*($B94*C94+4*$B95*C95+$B96*C96)</f>
        <v>0.93875578448834207</v>
      </c>
      <c r="D153" s="69">
        <f t="shared" si="75"/>
        <v>1.6728558603076542</v>
      </c>
      <c r="E153" s="69">
        <f t="shared" si="75"/>
        <v>2.2700328745348592</v>
      </c>
      <c r="F153" s="69">
        <f t="shared" si="75"/>
        <v>2.6991785172248948</v>
      </c>
      <c r="G153" s="69">
        <f t="shared" si="75"/>
        <v>2.9755413409315752</v>
      </c>
      <c r="H153" s="69">
        <f t="shared" si="75"/>
        <v>3.1279574050293943</v>
      </c>
      <c r="I153" s="69">
        <f t="shared" si="75"/>
        <v>3.2069561213085271</v>
      </c>
      <c r="J153" s="69">
        <f t="shared" si="75"/>
        <v>3.2069561213085271</v>
      </c>
      <c r="K153" s="69">
        <f t="shared" si="75"/>
        <v>3.2069561213085271</v>
      </c>
      <c r="L153" s="69">
        <f t="shared" si="75"/>
        <v>3.2069561213085271</v>
      </c>
      <c r="M153" s="69">
        <f t="shared" si="75"/>
        <v>3.2069561213085271</v>
      </c>
      <c r="N153" s="69">
        <f t="shared" si="75"/>
        <v>3.2069561213085271</v>
      </c>
      <c r="O153" s="69">
        <f t="shared" si="75"/>
        <v>3.2069561213085271</v>
      </c>
      <c r="P153" s="69">
        <f t="shared" si="75"/>
        <v>3.2069561213085271</v>
      </c>
      <c r="Q153" s="69">
        <f t="shared" si="75"/>
        <v>3.0992767805009112</v>
      </c>
      <c r="R153" s="69">
        <f t="shared" si="75"/>
        <v>2.8191178085736586</v>
      </c>
      <c r="S153" s="69">
        <f t="shared" si="75"/>
        <v>2.3096677611773209</v>
      </c>
      <c r="T153" s="69">
        <f t="shared" si="75"/>
        <v>1.6175346678097242</v>
      </c>
      <c r="U153" s="69">
        <f t="shared" si="75"/>
        <v>0.93804103128440008</v>
      </c>
      <c r="V153" s="69">
        <f t="shared" si="75"/>
        <v>0.36657179731686168</v>
      </c>
      <c r="W153" s="69">
        <f t="shared" si="75"/>
        <v>0</v>
      </c>
    </row>
    <row r="154" spans="1:23" x14ac:dyDescent="0.2">
      <c r="A154" s="80">
        <f>$A$66</f>
        <v>20</v>
      </c>
      <c r="B154" s="85">
        <f>$B$66</f>
        <v>2</v>
      </c>
      <c r="C154" s="69">
        <f t="shared" ref="C154:W154" si="76">C152+h/3*($B95*C95+4*$B96*C96+$B97*C97)</f>
        <v>1.1995862694300521</v>
      </c>
      <c r="D154" s="69">
        <f t="shared" si="76"/>
        <v>2.0152868743001386</v>
      </c>
      <c r="E154" s="69">
        <f t="shared" si="76"/>
        <v>2.65943109994496</v>
      </c>
      <c r="F154" s="69">
        <f t="shared" si="76"/>
        <v>3.1131014902541327</v>
      </c>
      <c r="G154" s="69">
        <f t="shared" si="76"/>
        <v>3.4019831955436617</v>
      </c>
      <c r="H154" s="69">
        <f t="shared" si="76"/>
        <v>3.5610163292148265</v>
      </c>
      <c r="I154" s="69">
        <f t="shared" si="76"/>
        <v>3.6420638936020802</v>
      </c>
      <c r="J154" s="69">
        <f t="shared" si="76"/>
        <v>3.6420638936020802</v>
      </c>
      <c r="K154" s="69">
        <f t="shared" si="76"/>
        <v>3.6420638936020802</v>
      </c>
      <c r="L154" s="69">
        <f t="shared" si="76"/>
        <v>3.6420638936020802</v>
      </c>
      <c r="M154" s="69">
        <f t="shared" si="76"/>
        <v>3.6420638936020802</v>
      </c>
      <c r="N154" s="69">
        <f t="shared" si="76"/>
        <v>3.6420638936020802</v>
      </c>
      <c r="O154" s="69">
        <f t="shared" si="76"/>
        <v>3.6420638936020802</v>
      </c>
      <c r="P154" s="69">
        <f t="shared" si="76"/>
        <v>3.6420638936020802</v>
      </c>
      <c r="Q154" s="69">
        <f t="shared" si="76"/>
        <v>3.5208906578223154</v>
      </c>
      <c r="R154" s="69">
        <f t="shared" si="76"/>
        <v>3.2115455487862739</v>
      </c>
      <c r="S154" s="69">
        <f t="shared" si="76"/>
        <v>2.6410373288542202</v>
      </c>
      <c r="T154" s="69">
        <f t="shared" si="76"/>
        <v>1.8596660165309649</v>
      </c>
      <c r="U154" s="69">
        <f t="shared" si="76"/>
        <v>1.0664965757558504</v>
      </c>
      <c r="V154" s="69">
        <f t="shared" si="76"/>
        <v>0.40306590123175617</v>
      </c>
      <c r="W154" s="69">
        <f t="shared" si="76"/>
        <v>0</v>
      </c>
    </row>
    <row r="155" spans="1:23" x14ac:dyDescent="0.2">
      <c r="A155" s="80">
        <f>$A$67</f>
        <v>21</v>
      </c>
      <c r="B155" s="85">
        <f>$B$67</f>
        <v>2.1</v>
      </c>
      <c r="C155" s="69">
        <f t="shared" ref="C155:W155" si="77">C153+h/3*($B96*C96+4*$B97*C97+$B98*C98)</f>
        <v>1.4867916977007773</v>
      </c>
      <c r="D155" s="69">
        <f t="shared" si="77"/>
        <v>2.3851392820844959</v>
      </c>
      <c r="E155" s="69">
        <f t="shared" si="77"/>
        <v>3.0781043533124506</v>
      </c>
      <c r="F155" s="69">
        <f t="shared" si="77"/>
        <v>3.5548678448834194</v>
      </c>
      <c r="G155" s="69">
        <f t="shared" si="77"/>
        <v>3.8554589444873457</v>
      </c>
      <c r="H155" s="69">
        <f t="shared" si="77"/>
        <v>4.0194068012031687</v>
      </c>
      <c r="I155" s="69">
        <f t="shared" si="77"/>
        <v>4.1023236306795532</v>
      </c>
      <c r="J155" s="69">
        <f t="shared" si="77"/>
        <v>4.1023236306795532</v>
      </c>
      <c r="K155" s="69">
        <f t="shared" si="77"/>
        <v>4.1023236306795532</v>
      </c>
      <c r="L155" s="69">
        <f t="shared" si="77"/>
        <v>4.1023236306795532</v>
      </c>
      <c r="M155" s="69">
        <f t="shared" si="77"/>
        <v>4.1023236306795532</v>
      </c>
      <c r="N155" s="69">
        <f t="shared" si="77"/>
        <v>4.1023236306795532</v>
      </c>
      <c r="O155" s="69">
        <f t="shared" si="77"/>
        <v>4.1023236306795532</v>
      </c>
      <c r="P155" s="69">
        <f t="shared" si="77"/>
        <v>4.1023236306795532</v>
      </c>
      <c r="Q155" s="69">
        <f t="shared" si="77"/>
        <v>3.9670448501644082</v>
      </c>
      <c r="R155" s="69">
        <f t="shared" si="77"/>
        <v>3.6269718890743325</v>
      </c>
      <c r="S155" s="69">
        <f t="shared" si="77"/>
        <v>2.9931829522157729</v>
      </c>
      <c r="T155" s="69">
        <f t="shared" si="77"/>
        <v>2.1171358227412562</v>
      </c>
      <c r="U155" s="69">
        <f t="shared" si="77"/>
        <v>1.2018832190987447</v>
      </c>
      <c r="V155" s="69">
        <f t="shared" si="77"/>
        <v>0.43880541665628736</v>
      </c>
      <c r="W155" s="69">
        <f t="shared" si="77"/>
        <v>0</v>
      </c>
    </row>
    <row r="156" spans="1:23" x14ac:dyDescent="0.2">
      <c r="A156" s="80">
        <f>$A$68</f>
        <v>22</v>
      </c>
      <c r="B156" s="85">
        <f>$B$68</f>
        <v>2.1999999999999997</v>
      </c>
      <c r="C156" s="69">
        <f t="shared" ref="C156:W156" si="78">C154+h/3*($B97*C97+4*$B98*C98+$B99*C99)</f>
        <v>1.7999803324697758</v>
      </c>
      <c r="D156" s="69">
        <f t="shared" si="78"/>
        <v>2.782935351781207</v>
      </c>
      <c r="E156" s="69">
        <f t="shared" si="78"/>
        <v>3.5259178854338664</v>
      </c>
      <c r="F156" s="69">
        <f t="shared" si="78"/>
        <v>4.0235287009622507</v>
      </c>
      <c r="G156" s="69">
        <f t="shared" si="78"/>
        <v>4.3354354597259395</v>
      </c>
      <c r="H156" s="69">
        <f t="shared" si="78"/>
        <v>4.5016480221203663</v>
      </c>
      <c r="I156" s="69">
        <f t="shared" si="78"/>
        <v>4.585941491582683</v>
      </c>
      <c r="J156" s="69">
        <f t="shared" si="78"/>
        <v>4.585941491582683</v>
      </c>
      <c r="K156" s="69">
        <f t="shared" si="78"/>
        <v>4.585941491582683</v>
      </c>
      <c r="L156" s="69">
        <f t="shared" si="78"/>
        <v>4.585941491582683</v>
      </c>
      <c r="M156" s="69">
        <f t="shared" si="78"/>
        <v>4.585941491582683</v>
      </c>
      <c r="N156" s="69">
        <f t="shared" si="78"/>
        <v>4.585941491582683</v>
      </c>
      <c r="O156" s="69">
        <f t="shared" si="78"/>
        <v>4.585941491582683</v>
      </c>
      <c r="P156" s="69">
        <f t="shared" si="78"/>
        <v>4.585941491582683</v>
      </c>
      <c r="Q156" s="69">
        <f t="shared" si="78"/>
        <v>4.4370727110971924</v>
      </c>
      <c r="R156" s="69">
        <f t="shared" si="78"/>
        <v>4.0648524326709561</v>
      </c>
      <c r="S156" s="69">
        <f t="shared" si="78"/>
        <v>3.3645925013997231</v>
      </c>
      <c r="T156" s="69">
        <f t="shared" si="78"/>
        <v>2.3887090573340739</v>
      </c>
      <c r="U156" s="69">
        <f t="shared" si="78"/>
        <v>1.3438323200762969</v>
      </c>
      <c r="V156" s="69">
        <f t="shared" si="78"/>
        <v>0.47429086419840955</v>
      </c>
      <c r="W156" s="69">
        <f t="shared" si="78"/>
        <v>0</v>
      </c>
    </row>
    <row r="157" spans="1:23" x14ac:dyDescent="0.2">
      <c r="A157" s="80">
        <f>$A$99+1</f>
        <v>23</v>
      </c>
      <c r="B157" s="85">
        <f>$B$69</f>
        <v>2.2999999999999998</v>
      </c>
      <c r="C157" s="69">
        <f t="shared" ref="C157:W157" si="79">C155+h/3*($B98*C98+4*$B99*C99+$B100*C100)</f>
        <v>2.1371633082361834</v>
      </c>
      <c r="D157" s="69">
        <f t="shared" si="79"/>
        <v>3.2072239610497446</v>
      </c>
      <c r="E157" s="69">
        <f t="shared" si="79"/>
        <v>4.0015266936016953</v>
      </c>
      <c r="F157" s="69">
        <f t="shared" si="79"/>
        <v>4.5182119788582531</v>
      </c>
      <c r="G157" s="69">
        <f t="shared" si="79"/>
        <v>4.8404756398601938</v>
      </c>
      <c r="H157" s="69">
        <f t="shared" si="79"/>
        <v>5.0071013159500799</v>
      </c>
      <c r="I157" s="69">
        <f t="shared" si="79"/>
        <v>5.0922193472902304</v>
      </c>
      <c r="J157" s="69">
        <f t="shared" si="79"/>
        <v>5.0922193472902304</v>
      </c>
      <c r="K157" s="69">
        <f t="shared" si="79"/>
        <v>5.0922193472902304</v>
      </c>
      <c r="L157" s="69">
        <f t="shared" si="79"/>
        <v>5.0922193472902304</v>
      </c>
      <c r="M157" s="69">
        <f t="shared" si="79"/>
        <v>5.0922193472902304</v>
      </c>
      <c r="N157" s="69">
        <f t="shared" si="79"/>
        <v>5.0922193472902304</v>
      </c>
      <c r="O157" s="69">
        <f t="shared" si="79"/>
        <v>5.0922193472902304</v>
      </c>
      <c r="P157" s="69">
        <f t="shared" si="79"/>
        <v>5.0922193472902304</v>
      </c>
      <c r="Q157" s="69">
        <f t="shared" si="79"/>
        <v>4.9305058242292032</v>
      </c>
      <c r="R157" s="69">
        <f t="shared" si="79"/>
        <v>4.5241651775216365</v>
      </c>
      <c r="S157" s="69">
        <f t="shared" si="79"/>
        <v>3.7540473975933657</v>
      </c>
      <c r="T157" s="69">
        <f t="shared" si="79"/>
        <v>2.6734883887417498</v>
      </c>
      <c r="U157" s="69">
        <f t="shared" si="79"/>
        <v>1.4923047658162758</v>
      </c>
      <c r="V157" s="69">
        <f t="shared" si="79"/>
        <v>0.50883404834411594</v>
      </c>
      <c r="W157" s="69">
        <f t="shared" si="79"/>
        <v>0</v>
      </c>
    </row>
    <row r="158" spans="1:23" ht="13.5" thickBot="1" x14ac:dyDescent="0.25">
      <c r="A158" s="82">
        <f>$A$100+1</f>
        <v>24</v>
      </c>
      <c r="B158" s="89">
        <f>$B$70</f>
        <v>2.4</v>
      </c>
      <c r="C158" s="69">
        <f t="shared" ref="C158:W158" si="80">C156+h/3*($B99*C99+4*$B100*C100+$B101*C101)</f>
        <v>2.4961393782383423</v>
      </c>
      <c r="D158" s="69">
        <f t="shared" si="80"/>
        <v>3.6560255901611347</v>
      </c>
      <c r="E158" s="69">
        <f t="shared" si="80"/>
        <v>4.5033871277686046</v>
      </c>
      <c r="F158" s="69">
        <f t="shared" si="80"/>
        <v>5.0383446928201341</v>
      </c>
      <c r="G158" s="69">
        <f t="shared" si="80"/>
        <v>5.3689833103683888</v>
      </c>
      <c r="H158" s="69">
        <f t="shared" si="80"/>
        <v>5.5355943882024707</v>
      </c>
      <c r="I158" s="69">
        <f t="shared" si="80"/>
        <v>5.6209800933781242</v>
      </c>
      <c r="J158" s="69">
        <f t="shared" si="80"/>
        <v>5.6209800933781242</v>
      </c>
      <c r="K158" s="69">
        <f t="shared" si="80"/>
        <v>5.6209800933781242</v>
      </c>
      <c r="L158" s="69">
        <f t="shared" si="80"/>
        <v>5.6209800933781242</v>
      </c>
      <c r="M158" s="69">
        <f t="shared" si="80"/>
        <v>5.6209800933781242</v>
      </c>
      <c r="N158" s="69">
        <f t="shared" si="80"/>
        <v>5.6209800933781242</v>
      </c>
      <c r="O158" s="69">
        <f t="shared" si="80"/>
        <v>5.6209800933781242</v>
      </c>
      <c r="P158" s="69">
        <f t="shared" si="80"/>
        <v>5.6209800933781242</v>
      </c>
      <c r="Q158" s="69">
        <f t="shared" si="80"/>
        <v>5.4470012207481631</v>
      </c>
      <c r="R158" s="69">
        <f t="shared" si="80"/>
        <v>5.0037853692421566</v>
      </c>
      <c r="S158" s="69">
        <f t="shared" si="80"/>
        <v>4.1607617770312588</v>
      </c>
      <c r="T158" s="69">
        <f t="shared" si="80"/>
        <v>2.9708762805329387</v>
      </c>
      <c r="U158" s="69">
        <f t="shared" si="80"/>
        <v>1.6473827626259752</v>
      </c>
      <c r="V158" s="69">
        <f t="shared" si="80"/>
        <v>0.54131376131640385</v>
      </c>
      <c r="W158" s="69">
        <f t="shared" si="80"/>
        <v>0</v>
      </c>
    </row>
    <row r="159" spans="1:23" x14ac:dyDescent="0.2">
      <c r="A159" s="67"/>
      <c r="B159" s="19"/>
      <c r="C159" s="19"/>
      <c r="D159" s="19"/>
      <c r="E159" s="19"/>
      <c r="F159" s="19"/>
      <c r="G159" s="19"/>
      <c r="H159" s="19"/>
      <c r="I159" s="19"/>
      <c r="J159" s="19"/>
      <c r="K159" s="19"/>
      <c r="L159" s="19"/>
      <c r="M159" s="19"/>
      <c r="N159" s="19"/>
      <c r="O159" s="19"/>
      <c r="P159" s="19"/>
      <c r="Q159" s="19"/>
      <c r="R159" s="19"/>
      <c r="S159" s="19"/>
      <c r="T159" s="19"/>
      <c r="U159" s="19"/>
      <c r="V159" s="19"/>
    </row>
    <row r="160" spans="1:23" ht="13.5" thickBot="1" x14ac:dyDescent="0.25">
      <c r="A160" s="91" t="s">
        <v>6</v>
      </c>
      <c r="B160" s="19"/>
      <c r="C160" s="19"/>
      <c r="D160" s="19"/>
      <c r="E160" s="19"/>
      <c r="F160" s="19"/>
      <c r="G160" s="19"/>
      <c r="H160" s="19"/>
      <c r="I160" s="19"/>
      <c r="J160" s="19"/>
      <c r="K160" s="19"/>
      <c r="L160" s="19"/>
      <c r="M160" s="19"/>
      <c r="N160" s="19"/>
      <c r="O160" s="19"/>
      <c r="P160" s="19"/>
      <c r="Q160" s="19"/>
      <c r="R160" s="19"/>
      <c r="S160" s="19"/>
      <c r="T160" s="19"/>
      <c r="U160" s="19"/>
      <c r="V160" s="19"/>
    </row>
    <row r="161" spans="1:23" x14ac:dyDescent="0.2">
      <c r="A161" s="86"/>
      <c r="B161" s="87"/>
      <c r="C161" s="72">
        <v>21</v>
      </c>
      <c r="D161" s="72">
        <v>20</v>
      </c>
      <c r="E161" s="72">
        <v>19</v>
      </c>
      <c r="F161" s="72">
        <v>18</v>
      </c>
      <c r="G161" s="72">
        <v>17</v>
      </c>
      <c r="H161" s="72">
        <v>16</v>
      </c>
      <c r="I161" s="72">
        <v>15</v>
      </c>
      <c r="J161" s="72">
        <v>14</v>
      </c>
      <c r="K161" s="72">
        <v>13</v>
      </c>
      <c r="L161" s="72">
        <v>12</v>
      </c>
      <c r="M161" s="72">
        <v>11</v>
      </c>
      <c r="N161" s="72">
        <v>10</v>
      </c>
      <c r="O161" s="72">
        <v>9</v>
      </c>
      <c r="P161" s="72">
        <v>8</v>
      </c>
      <c r="Q161" s="72">
        <v>7</v>
      </c>
      <c r="R161" s="72">
        <v>6</v>
      </c>
      <c r="S161" s="72">
        <v>5</v>
      </c>
      <c r="T161" s="72">
        <v>4</v>
      </c>
      <c r="U161" s="72">
        <v>3</v>
      </c>
      <c r="V161" s="72">
        <v>2</v>
      </c>
      <c r="W161" s="73">
        <v>1</v>
      </c>
    </row>
    <row r="162" spans="1:23" x14ac:dyDescent="0.2">
      <c r="A162" s="88" t="s">
        <v>53</v>
      </c>
      <c r="B162" s="56" t="s">
        <v>54</v>
      </c>
      <c r="C162" s="68">
        <v>0</v>
      </c>
      <c r="D162" s="68">
        <f t="shared" ref="D162:V162" si="81">C162+$W$76/20</f>
        <v>1.6175000000000002</v>
      </c>
      <c r="E162" s="68">
        <f t="shared" si="81"/>
        <v>3.2350000000000003</v>
      </c>
      <c r="F162" s="68">
        <f t="shared" si="81"/>
        <v>4.8525000000000009</v>
      </c>
      <c r="G162" s="68">
        <f t="shared" si="81"/>
        <v>6.4700000000000006</v>
      </c>
      <c r="H162" s="68">
        <f t="shared" si="81"/>
        <v>8.0875000000000004</v>
      </c>
      <c r="I162" s="68">
        <f t="shared" si="81"/>
        <v>9.7050000000000001</v>
      </c>
      <c r="J162" s="68">
        <f t="shared" si="81"/>
        <v>11.3225</v>
      </c>
      <c r="K162" s="68">
        <f t="shared" si="81"/>
        <v>12.94</v>
      </c>
      <c r="L162" s="68">
        <f t="shared" si="81"/>
        <v>14.557499999999999</v>
      </c>
      <c r="M162" s="68">
        <f t="shared" si="81"/>
        <v>16.175000000000001</v>
      </c>
      <c r="N162" s="68">
        <f t="shared" si="81"/>
        <v>17.7925</v>
      </c>
      <c r="O162" s="68">
        <f t="shared" si="81"/>
        <v>19.41</v>
      </c>
      <c r="P162" s="68">
        <f t="shared" si="81"/>
        <v>21.0275</v>
      </c>
      <c r="Q162" s="68">
        <f t="shared" si="81"/>
        <v>22.645</v>
      </c>
      <c r="R162" s="68">
        <f t="shared" si="81"/>
        <v>24.262499999999999</v>
      </c>
      <c r="S162" s="68">
        <f t="shared" si="81"/>
        <v>25.88</v>
      </c>
      <c r="T162" s="68">
        <f t="shared" si="81"/>
        <v>27.497499999999999</v>
      </c>
      <c r="U162" s="68">
        <f t="shared" si="81"/>
        <v>29.114999999999998</v>
      </c>
      <c r="V162" s="68">
        <f t="shared" si="81"/>
        <v>30.732499999999998</v>
      </c>
      <c r="W162" s="58">
        <f>E5</f>
        <v>32.35</v>
      </c>
    </row>
    <row r="163" spans="1:23" x14ac:dyDescent="0.2">
      <c r="A163" s="80">
        <f>$A$46</f>
        <v>0</v>
      </c>
      <c r="B163" s="85">
        <f>$B$46</f>
        <v>0</v>
      </c>
      <c r="C163" s="69">
        <v>0</v>
      </c>
      <c r="D163" s="69">
        <v>0</v>
      </c>
      <c r="E163" s="69">
        <v>0</v>
      </c>
      <c r="F163" s="69">
        <v>0</v>
      </c>
      <c r="G163" s="69">
        <v>0</v>
      </c>
      <c r="H163" s="69">
        <v>0</v>
      </c>
      <c r="I163" s="69">
        <v>0</v>
      </c>
      <c r="J163" s="69">
        <v>0</v>
      </c>
      <c r="K163" s="69">
        <v>0</v>
      </c>
      <c r="L163" s="69">
        <v>0</v>
      </c>
      <c r="M163" s="69">
        <v>0</v>
      </c>
      <c r="N163" s="69">
        <v>0</v>
      </c>
      <c r="O163" s="69">
        <v>0</v>
      </c>
      <c r="P163" s="69">
        <v>0</v>
      </c>
      <c r="Q163" s="69">
        <v>0</v>
      </c>
      <c r="R163" s="69">
        <v>0</v>
      </c>
      <c r="S163" s="69">
        <v>0</v>
      </c>
      <c r="T163" s="69">
        <v>0</v>
      </c>
      <c r="U163" s="69">
        <v>0</v>
      </c>
      <c r="V163" s="69">
        <v>0</v>
      </c>
      <c r="W163" s="69">
        <v>0</v>
      </c>
    </row>
    <row r="164" spans="1:23" x14ac:dyDescent="0.2">
      <c r="A164" s="80">
        <f>$A$47</f>
        <v>1</v>
      </c>
      <c r="B164" s="85">
        <f>$B$47</f>
        <v>9.9999999999999992E-2</v>
      </c>
      <c r="C164" s="69">
        <f t="shared" ref="C164:W164" si="82">C77/2*(C77*h)+(C77+(C78-C77)/3)*((h*(C78-C77))/2)</f>
        <v>5.3526674653458209E-11</v>
      </c>
      <c r="D164" s="69">
        <f t="shared" si="82"/>
        <v>3.692280503926605E-9</v>
      </c>
      <c r="E164" s="69">
        <f t="shared" si="82"/>
        <v>4.6527609183458736E-9</v>
      </c>
      <c r="F164" s="69">
        <f t="shared" si="82"/>
        <v>9.7371942999360179E-7</v>
      </c>
      <c r="G164" s="69">
        <f t="shared" si="82"/>
        <v>3.0298284162351859E-5</v>
      </c>
      <c r="H164" s="69">
        <f t="shared" si="82"/>
        <v>3.3567199080231623E-4</v>
      </c>
      <c r="I164" s="69">
        <f t="shared" si="82"/>
        <v>3.6926265992814872E-4</v>
      </c>
      <c r="J164" s="69">
        <f t="shared" si="82"/>
        <v>3.6926265992814872E-4</v>
      </c>
      <c r="K164" s="69">
        <f t="shared" si="82"/>
        <v>3.6926265992814872E-4</v>
      </c>
      <c r="L164" s="69">
        <f t="shared" si="82"/>
        <v>3.6926265992814872E-4</v>
      </c>
      <c r="M164" s="69">
        <f t="shared" si="82"/>
        <v>3.6926265992814872E-4</v>
      </c>
      <c r="N164" s="69">
        <f t="shared" si="82"/>
        <v>3.6926265992814872E-4</v>
      </c>
      <c r="O164" s="69">
        <f t="shared" si="82"/>
        <v>3.6926265992814872E-4</v>
      </c>
      <c r="P164" s="69">
        <f t="shared" si="82"/>
        <v>3.6926265992814872E-4</v>
      </c>
      <c r="Q164" s="69">
        <f t="shared" si="82"/>
        <v>3.6084186426220112E-4</v>
      </c>
      <c r="R164" s="69">
        <f t="shared" si="82"/>
        <v>2.2659628644875259E-5</v>
      </c>
      <c r="S164" s="69">
        <f t="shared" si="82"/>
        <v>1.4746780929271294E-6</v>
      </c>
      <c r="T164" s="69">
        <f t="shared" si="82"/>
        <v>3.6057652242856809E-9</v>
      </c>
      <c r="U164" s="69">
        <f t="shared" si="82"/>
        <v>2.3767320676728096E-8</v>
      </c>
      <c r="V164" s="69">
        <f t="shared" si="82"/>
        <v>4.6753353946506601E-9</v>
      </c>
      <c r="W164" s="69">
        <f t="shared" si="82"/>
        <v>0</v>
      </c>
    </row>
    <row r="165" spans="1:23" x14ac:dyDescent="0.2">
      <c r="A165" s="80">
        <f>$A$48</f>
        <v>2</v>
      </c>
      <c r="B165" s="85">
        <f>$B$48</f>
        <v>0.19999999999999998</v>
      </c>
      <c r="C165" s="69">
        <f t="shared" ref="C165:W165" si="83">h/6*(C77^2+4*C78^2+C79^2)</f>
        <v>2.1410669861383281E-10</v>
      </c>
      <c r="D165" s="69">
        <f t="shared" si="83"/>
        <v>1.476912201570642E-8</v>
      </c>
      <c r="E165" s="69">
        <f t="shared" si="83"/>
        <v>1.8611043673383491E-8</v>
      </c>
      <c r="F165" s="69">
        <f t="shared" si="83"/>
        <v>3.894877719974408E-6</v>
      </c>
      <c r="G165" s="69">
        <f t="shared" si="83"/>
        <v>2.1494313664940747E-4</v>
      </c>
      <c r="H165" s="69">
        <f t="shared" si="83"/>
        <v>7.1045573257288931E-4</v>
      </c>
      <c r="I165" s="69">
        <f t="shared" si="83"/>
        <v>8.0276391952432014E-4</v>
      </c>
      <c r="J165" s="69">
        <f t="shared" si="83"/>
        <v>8.0276391952432014E-4</v>
      </c>
      <c r="K165" s="69">
        <f t="shared" si="83"/>
        <v>8.0276391952432014E-4</v>
      </c>
      <c r="L165" s="69">
        <f t="shared" si="83"/>
        <v>8.0276391952432014E-4</v>
      </c>
      <c r="M165" s="69">
        <f t="shared" si="83"/>
        <v>8.0276391952432014E-4</v>
      </c>
      <c r="N165" s="69">
        <f t="shared" si="83"/>
        <v>8.0276391952432014E-4</v>
      </c>
      <c r="O165" s="69">
        <f t="shared" si="83"/>
        <v>8.0276391952432014E-4</v>
      </c>
      <c r="P165" s="69">
        <f t="shared" si="83"/>
        <v>8.0276391952432014E-4</v>
      </c>
      <c r="Q165" s="69">
        <f t="shared" si="83"/>
        <v>7.7938334271753992E-4</v>
      </c>
      <c r="R165" s="69">
        <f t="shared" si="83"/>
        <v>1.5063851457950106E-4</v>
      </c>
      <c r="S165" s="69">
        <f t="shared" si="83"/>
        <v>5.8987123717085177E-6</v>
      </c>
      <c r="T165" s="69">
        <f t="shared" si="83"/>
        <v>1.4423060897142727E-8</v>
      </c>
      <c r="U165" s="69">
        <f t="shared" si="83"/>
        <v>9.5069282706912396E-8</v>
      </c>
      <c r="V165" s="69">
        <f t="shared" si="83"/>
        <v>1.870134157860264E-8</v>
      </c>
      <c r="W165" s="69">
        <f t="shared" si="83"/>
        <v>0</v>
      </c>
    </row>
    <row r="166" spans="1:23" x14ac:dyDescent="0.2">
      <c r="A166" s="80">
        <f>$A$49</f>
        <v>3</v>
      </c>
      <c r="B166" s="85">
        <f>$B$49</f>
        <v>0.3</v>
      </c>
      <c r="C166" s="69">
        <f t="shared" ref="C166:W166" si="84">C164+h/6*(C78^2+4*C79^2+C80^2)</f>
        <v>5.8879342118804056E-10</v>
      </c>
      <c r="D166" s="69">
        <f t="shared" si="84"/>
        <v>4.0615085543192641E-8</v>
      </c>
      <c r="E166" s="69">
        <f t="shared" si="84"/>
        <v>5.1180370101804623E-8</v>
      </c>
      <c r="F166" s="69">
        <f t="shared" si="84"/>
        <v>2.2869461410659965E-5</v>
      </c>
      <c r="G166" s="69">
        <f t="shared" si="84"/>
        <v>6.0507361078629765E-4</v>
      </c>
      <c r="H166" s="69">
        <f t="shared" si="84"/>
        <v>1.2073157438168437E-3</v>
      </c>
      <c r="I166" s="69">
        <f t="shared" si="84"/>
        <v>1.1838664674504455E-3</v>
      </c>
      <c r="J166" s="69">
        <f t="shared" si="84"/>
        <v>1.1838664674504455E-3</v>
      </c>
      <c r="K166" s="69">
        <f t="shared" si="84"/>
        <v>1.1838664674504455E-3</v>
      </c>
      <c r="L166" s="69">
        <f t="shared" si="84"/>
        <v>1.1838664674504455E-3</v>
      </c>
      <c r="M166" s="69">
        <f t="shared" si="84"/>
        <v>1.1838664674504455E-3</v>
      </c>
      <c r="N166" s="69">
        <f t="shared" si="84"/>
        <v>1.1838664674504455E-3</v>
      </c>
      <c r="O166" s="69">
        <f t="shared" si="84"/>
        <v>1.1838664674504455E-3</v>
      </c>
      <c r="P166" s="69">
        <f t="shared" si="84"/>
        <v>1.1838664674504455E-3</v>
      </c>
      <c r="Q166" s="69">
        <f t="shared" si="84"/>
        <v>1.1875026886014591E-3</v>
      </c>
      <c r="R166" s="69">
        <f t="shared" si="84"/>
        <v>3.8065753770460953E-4</v>
      </c>
      <c r="S166" s="69">
        <f t="shared" si="84"/>
        <v>3.5907928728280357E-5</v>
      </c>
      <c r="T166" s="69">
        <f t="shared" si="84"/>
        <v>9.9614668855004661E-8</v>
      </c>
      <c r="U166" s="69">
        <f t="shared" si="84"/>
        <v>2.6144052744400906E-7</v>
      </c>
      <c r="V166" s="69">
        <f t="shared" si="84"/>
        <v>5.142868934115727E-8</v>
      </c>
      <c r="W166" s="69">
        <f t="shared" si="84"/>
        <v>0</v>
      </c>
    </row>
    <row r="167" spans="1:23" x14ac:dyDescent="0.2">
      <c r="A167" s="80">
        <f>$A$50</f>
        <v>4</v>
      </c>
      <c r="B167" s="85">
        <f>$B$50</f>
        <v>0.39999999999999997</v>
      </c>
      <c r="C167" s="69">
        <f t="shared" ref="C167:W167" si="85">C165+h/6*(C79^2+4*C80^2+C81^2)</f>
        <v>2.1410669861383288E-9</v>
      </c>
      <c r="D167" s="69">
        <f t="shared" si="85"/>
        <v>1.4769122015706415E-7</v>
      </c>
      <c r="E167" s="69">
        <f t="shared" si="85"/>
        <v>1.86110436733835E-7</v>
      </c>
      <c r="F167" s="69">
        <f t="shared" si="85"/>
        <v>2.542496345893321E-4</v>
      </c>
      <c r="G167" s="69">
        <f t="shared" si="85"/>
        <v>1.526601306495783E-3</v>
      </c>
      <c r="H167" s="69">
        <f t="shared" si="85"/>
        <v>2.5099083453914428E-3</v>
      </c>
      <c r="I167" s="69">
        <f t="shared" si="85"/>
        <v>2.2817485634225206E-3</v>
      </c>
      <c r="J167" s="69">
        <f t="shared" si="85"/>
        <v>2.2817485634225206E-3</v>
      </c>
      <c r="K167" s="69">
        <f t="shared" si="85"/>
        <v>2.2817485634225206E-3</v>
      </c>
      <c r="L167" s="69">
        <f t="shared" si="85"/>
        <v>2.2817485634225206E-3</v>
      </c>
      <c r="M167" s="69">
        <f t="shared" si="85"/>
        <v>2.2817485634225206E-3</v>
      </c>
      <c r="N167" s="69">
        <f t="shared" si="85"/>
        <v>2.2817485634225206E-3</v>
      </c>
      <c r="O167" s="69">
        <f t="shared" si="85"/>
        <v>2.2817485634225206E-3</v>
      </c>
      <c r="P167" s="69">
        <f t="shared" si="85"/>
        <v>2.2817485634225206E-3</v>
      </c>
      <c r="Q167" s="69">
        <f t="shared" si="85"/>
        <v>2.3299766306903655E-3</v>
      </c>
      <c r="R167" s="69">
        <f t="shared" si="85"/>
        <v>1.0736583029056039E-3</v>
      </c>
      <c r="S167" s="69">
        <f t="shared" si="85"/>
        <v>4.1939966920807962E-4</v>
      </c>
      <c r="T167" s="69">
        <f t="shared" si="85"/>
        <v>1.5384035614522874E-5</v>
      </c>
      <c r="U167" s="69">
        <f t="shared" si="85"/>
        <v>9.5069282706912391E-7</v>
      </c>
      <c r="V167" s="69">
        <f t="shared" si="85"/>
        <v>1.8701341578602644E-7</v>
      </c>
      <c r="W167" s="69">
        <f t="shared" si="85"/>
        <v>0</v>
      </c>
    </row>
    <row r="168" spans="1:23" x14ac:dyDescent="0.2">
      <c r="A168" s="80">
        <f>$A$51</f>
        <v>5</v>
      </c>
      <c r="B168" s="85">
        <f>$B$51</f>
        <v>0.5</v>
      </c>
      <c r="C168" s="69">
        <f t="shared" ref="C168:W168" si="86">C166+h/6*(C80^2+4*C81^2+C82^2)</f>
        <v>7.5472611261376155E-9</v>
      </c>
      <c r="D168" s="69">
        <f t="shared" si="86"/>
        <v>5.206115510536514E-7</v>
      </c>
      <c r="E168" s="69">
        <f t="shared" si="86"/>
        <v>3.6272401019784661E-6</v>
      </c>
      <c r="F168" s="69">
        <f t="shared" si="86"/>
        <v>1.3584011429969734E-3</v>
      </c>
      <c r="G168" s="69">
        <f t="shared" si="86"/>
        <v>5.1504660300694116E-3</v>
      </c>
      <c r="H168" s="69">
        <f t="shared" si="86"/>
        <v>8.1930042019890247E-3</v>
      </c>
      <c r="I168" s="69">
        <f t="shared" si="86"/>
        <v>1.0015176515888921E-2</v>
      </c>
      <c r="J168" s="69">
        <f t="shared" si="86"/>
        <v>1.0015176515888921E-2</v>
      </c>
      <c r="K168" s="69">
        <f t="shared" si="86"/>
        <v>1.0015176515888921E-2</v>
      </c>
      <c r="L168" s="69">
        <f t="shared" si="86"/>
        <v>1.0015176515888921E-2</v>
      </c>
      <c r="M168" s="69">
        <f t="shared" si="86"/>
        <v>1.0015176515888921E-2</v>
      </c>
      <c r="N168" s="69">
        <f t="shared" si="86"/>
        <v>1.0015176515888921E-2</v>
      </c>
      <c r="O168" s="69">
        <f t="shared" si="86"/>
        <v>1.0015176515888921E-2</v>
      </c>
      <c r="P168" s="69">
        <f t="shared" si="86"/>
        <v>1.0015176515888921E-2</v>
      </c>
      <c r="Q168" s="69">
        <f t="shared" si="86"/>
        <v>9.5014739523034668E-3</v>
      </c>
      <c r="R168" s="69">
        <f t="shared" si="86"/>
        <v>5.2296279617177512E-3</v>
      </c>
      <c r="S168" s="69">
        <f t="shared" si="86"/>
        <v>2.3354937078840744E-3</v>
      </c>
      <c r="T168" s="69">
        <f t="shared" si="86"/>
        <v>2.4434974859703152E-4</v>
      </c>
      <c r="U168" s="69">
        <f t="shared" si="86"/>
        <v>9.3964779961319092E-6</v>
      </c>
      <c r="V168" s="69">
        <f t="shared" si="86"/>
        <v>6.5922229064574345E-7</v>
      </c>
      <c r="W168" s="69">
        <f t="shared" si="86"/>
        <v>0</v>
      </c>
    </row>
    <row r="169" spans="1:23" x14ac:dyDescent="0.2">
      <c r="A169" s="80">
        <f>$A$52</f>
        <v>6</v>
      </c>
      <c r="B169" s="85">
        <f>$B$52</f>
        <v>0.6</v>
      </c>
      <c r="C169" s="69">
        <f t="shared" ref="C169:W169" si="87">C167+h/6*(C81^2+4*C82^2+C83^2)</f>
        <v>2.8047977518412136E-8</v>
      </c>
      <c r="D169" s="69">
        <f t="shared" si="87"/>
        <v>1.9347549840575413E-6</v>
      </c>
      <c r="E169" s="69">
        <f t="shared" si="87"/>
        <v>9.5989516637846699E-5</v>
      </c>
      <c r="F169" s="69">
        <f t="shared" si="87"/>
        <v>5.054354937398562E-3</v>
      </c>
      <c r="G169" s="69">
        <f t="shared" si="87"/>
        <v>1.7336929480448529E-2</v>
      </c>
      <c r="H169" s="69">
        <f t="shared" si="87"/>
        <v>2.7634876231928285E-2</v>
      </c>
      <c r="I169" s="69">
        <f t="shared" si="87"/>
        <v>4.0976337446611555E-2</v>
      </c>
      <c r="J169" s="69">
        <f t="shared" si="87"/>
        <v>4.0976337446611555E-2</v>
      </c>
      <c r="K169" s="69">
        <f t="shared" si="87"/>
        <v>4.0976337446611555E-2</v>
      </c>
      <c r="L169" s="69">
        <f t="shared" si="87"/>
        <v>4.0976337446611555E-2</v>
      </c>
      <c r="M169" s="69">
        <f t="shared" si="87"/>
        <v>4.0976337446611555E-2</v>
      </c>
      <c r="N169" s="69">
        <f t="shared" si="87"/>
        <v>4.0976337446611555E-2</v>
      </c>
      <c r="O169" s="69">
        <f t="shared" si="87"/>
        <v>4.0976337446611555E-2</v>
      </c>
      <c r="P169" s="69">
        <f t="shared" si="87"/>
        <v>4.0976337446611555E-2</v>
      </c>
      <c r="Q169" s="69">
        <f t="shared" si="87"/>
        <v>3.6983601730858913E-2</v>
      </c>
      <c r="R169" s="69">
        <f t="shared" si="87"/>
        <v>2.1503186877298734E-2</v>
      </c>
      <c r="S169" s="69">
        <f t="shared" si="87"/>
        <v>8.6359084956615529E-3</v>
      </c>
      <c r="T169" s="69">
        <f t="shared" si="87"/>
        <v>1.6486816254402696E-3</v>
      </c>
      <c r="U169" s="69">
        <f t="shared" si="87"/>
        <v>1.4330188582412518E-4</v>
      </c>
      <c r="V169" s="69">
        <f t="shared" si="87"/>
        <v>2.449875746796947E-6</v>
      </c>
      <c r="W169" s="69">
        <f t="shared" si="87"/>
        <v>0</v>
      </c>
    </row>
    <row r="170" spans="1:23" x14ac:dyDescent="0.2">
      <c r="A170" s="80">
        <f>$A$53</f>
        <v>7</v>
      </c>
      <c r="B170" s="85">
        <f>$B$53</f>
        <v>0.70000000000000007</v>
      </c>
      <c r="C170" s="69">
        <f t="shared" ref="C170:W170" si="88">C168+h/6*(C82^2+4*C83^2+C84^2)</f>
        <v>1.0400232885166947E-7</v>
      </c>
      <c r="D170" s="69">
        <f t="shared" si="88"/>
        <v>7.1741010191294013E-6</v>
      </c>
      <c r="E170" s="69">
        <f t="shared" si="88"/>
        <v>9.4878621527055211E-4</v>
      </c>
      <c r="F170" s="69">
        <f t="shared" si="88"/>
        <v>1.5652491873449689E-2</v>
      </c>
      <c r="G170" s="69">
        <f t="shared" si="88"/>
        <v>4.6306676938796691E-2</v>
      </c>
      <c r="H170" s="69">
        <f t="shared" si="88"/>
        <v>7.2396551400746897E-2</v>
      </c>
      <c r="I170" s="69">
        <f t="shared" si="88"/>
        <v>0.10596620762369645</v>
      </c>
      <c r="J170" s="69">
        <f t="shared" si="88"/>
        <v>0.10596620762369645</v>
      </c>
      <c r="K170" s="69">
        <f t="shared" si="88"/>
        <v>0.10596620762369645</v>
      </c>
      <c r="L170" s="69">
        <f t="shared" si="88"/>
        <v>0.10596620762369645</v>
      </c>
      <c r="M170" s="69">
        <f t="shared" si="88"/>
        <v>0.10596620762369645</v>
      </c>
      <c r="N170" s="69">
        <f t="shared" si="88"/>
        <v>0.10596620762369645</v>
      </c>
      <c r="O170" s="69">
        <f t="shared" si="88"/>
        <v>0.10596620762369645</v>
      </c>
      <c r="P170" s="69">
        <f t="shared" si="88"/>
        <v>0.10596620762369645</v>
      </c>
      <c r="Q170" s="69">
        <f t="shared" si="88"/>
        <v>9.4378075159452623E-2</v>
      </c>
      <c r="R170" s="69">
        <f t="shared" si="88"/>
        <v>5.9099750269325402E-2</v>
      </c>
      <c r="S170" s="69">
        <f t="shared" si="88"/>
        <v>2.4954516718988108E-2</v>
      </c>
      <c r="T170" s="69">
        <f t="shared" si="88"/>
        <v>6.5513748465715685E-3</v>
      </c>
      <c r="U170" s="69">
        <f t="shared" si="88"/>
        <v>9.7625431091264846E-4</v>
      </c>
      <c r="V170" s="69">
        <f t="shared" si="88"/>
        <v>2.218806495078769E-5</v>
      </c>
      <c r="W170" s="69">
        <f t="shared" si="88"/>
        <v>0</v>
      </c>
    </row>
    <row r="171" spans="1:23" x14ac:dyDescent="0.2">
      <c r="A171" s="80">
        <f>$A$54</f>
        <v>8</v>
      </c>
      <c r="B171" s="85">
        <f>$B$54</f>
        <v>0.79999999999999993</v>
      </c>
      <c r="C171" s="69">
        <f t="shared" ref="C171:W171" si="89">C169+h/6*(C83^2+4*C84^2+C85^2)</f>
        <v>3.8796133788826568E-7</v>
      </c>
      <c r="D171" s="69">
        <f t="shared" si="89"/>
        <v>2.6761649092460062E-5</v>
      </c>
      <c r="E171" s="69">
        <f t="shared" si="89"/>
        <v>5.0441553444443609E-3</v>
      </c>
      <c r="F171" s="69">
        <f t="shared" si="89"/>
        <v>4.049561255640019E-2</v>
      </c>
      <c r="G171" s="69">
        <f t="shared" si="89"/>
        <v>9.9039778274738227E-2</v>
      </c>
      <c r="H171" s="69">
        <f t="shared" si="89"/>
        <v>0.14899743047375627</v>
      </c>
      <c r="I171" s="69">
        <f t="shared" si="89"/>
        <v>0.19735920632798595</v>
      </c>
      <c r="J171" s="69">
        <f t="shared" si="89"/>
        <v>0.19735920632798595</v>
      </c>
      <c r="K171" s="69">
        <f t="shared" si="89"/>
        <v>0.19735920632798595</v>
      </c>
      <c r="L171" s="69">
        <f t="shared" si="89"/>
        <v>0.19735920632798595</v>
      </c>
      <c r="M171" s="69">
        <f t="shared" si="89"/>
        <v>0.19735920632798595</v>
      </c>
      <c r="N171" s="69">
        <f t="shared" si="89"/>
        <v>0.19735920632798595</v>
      </c>
      <c r="O171" s="69">
        <f t="shared" si="89"/>
        <v>0.19735920632798595</v>
      </c>
      <c r="P171" s="69">
        <f t="shared" si="89"/>
        <v>0.19735920632798595</v>
      </c>
      <c r="Q171" s="69">
        <f t="shared" si="89"/>
        <v>0.17643138145928702</v>
      </c>
      <c r="R171" s="69">
        <f t="shared" si="89"/>
        <v>0.12047748086666957</v>
      </c>
      <c r="S171" s="69">
        <f t="shared" si="89"/>
        <v>5.8033825046957553E-2</v>
      </c>
      <c r="T171" s="69">
        <f t="shared" si="89"/>
        <v>1.8141817760846009E-2</v>
      </c>
      <c r="U171" s="69">
        <f t="shared" si="89"/>
        <v>3.8750486911598016E-3</v>
      </c>
      <c r="V171" s="69">
        <f t="shared" si="89"/>
        <v>2.8796905072302041E-4</v>
      </c>
      <c r="W171" s="69">
        <f t="shared" si="89"/>
        <v>0</v>
      </c>
    </row>
    <row r="172" spans="1:23" x14ac:dyDescent="0.2">
      <c r="A172" s="80">
        <f>$A$55</f>
        <v>9</v>
      </c>
      <c r="B172" s="85">
        <f>$B$55</f>
        <v>0.89999999999999991</v>
      </c>
      <c r="C172" s="69">
        <f t="shared" ref="C172:W172" si="90">C170+h/6*(C84^2+4*C85^2+C86^2)</f>
        <v>1.4469865959069362E-6</v>
      </c>
      <c r="D172" s="69">
        <f t="shared" si="90"/>
        <v>2.1326789346835307E-4</v>
      </c>
      <c r="E172" s="69">
        <f t="shared" si="90"/>
        <v>1.7614434484626202E-2</v>
      </c>
      <c r="F172" s="69">
        <f t="shared" si="90"/>
        <v>8.6338546078502831E-2</v>
      </c>
      <c r="G172" s="69">
        <f t="shared" si="90"/>
        <v>0.17874097578720369</v>
      </c>
      <c r="H172" s="69">
        <f t="shared" si="90"/>
        <v>0.25494349745874023</v>
      </c>
      <c r="I172" s="69">
        <f t="shared" si="90"/>
        <v>0.31260535027210945</v>
      </c>
      <c r="J172" s="69">
        <f t="shared" si="90"/>
        <v>0.31260535027210945</v>
      </c>
      <c r="K172" s="69">
        <f t="shared" si="90"/>
        <v>0.31260535027210945</v>
      </c>
      <c r="L172" s="69">
        <f t="shared" si="90"/>
        <v>0.31260535027210945</v>
      </c>
      <c r="M172" s="69">
        <f t="shared" si="90"/>
        <v>0.31260535027210945</v>
      </c>
      <c r="N172" s="69">
        <f t="shared" si="90"/>
        <v>0.31260535027210945</v>
      </c>
      <c r="O172" s="69">
        <f t="shared" si="90"/>
        <v>0.31260535027210945</v>
      </c>
      <c r="P172" s="69">
        <f t="shared" si="90"/>
        <v>0.31260535027210945</v>
      </c>
      <c r="Q172" s="69">
        <f t="shared" si="90"/>
        <v>0.28163308758074368</v>
      </c>
      <c r="R172" s="69">
        <f t="shared" si="90"/>
        <v>0.20425402449404245</v>
      </c>
      <c r="S172" s="69">
        <f t="shared" si="90"/>
        <v>0.10856044373256965</v>
      </c>
      <c r="T172" s="69">
        <f t="shared" si="90"/>
        <v>3.7987284791462794E-2</v>
      </c>
      <c r="U172" s="69">
        <f t="shared" si="90"/>
        <v>1.0467969442079268E-2</v>
      </c>
      <c r="V172" s="69">
        <f t="shared" si="90"/>
        <v>1.639813788760093E-3</v>
      </c>
      <c r="W172" s="69">
        <f t="shared" si="90"/>
        <v>0</v>
      </c>
    </row>
    <row r="173" spans="1:23" x14ac:dyDescent="0.2">
      <c r="A173" s="80">
        <f>$A$56</f>
        <v>10</v>
      </c>
      <c r="B173" s="85">
        <f>$B$56</f>
        <v>1</v>
      </c>
      <c r="C173" s="69">
        <f t="shared" ref="C173:R173" si="91">C171+h/6*(C85^2+4*C86^2+C87^2)</f>
        <v>5.3999850457394799E-6</v>
      </c>
      <c r="D173" s="69">
        <f t="shared" si="91"/>
        <v>2.326309924780954E-3</v>
      </c>
      <c r="E173" s="69">
        <f t="shared" si="91"/>
        <v>4.605358259406047E-2</v>
      </c>
      <c r="F173" s="69">
        <f t="shared" si="91"/>
        <v>0.15683190509094447</v>
      </c>
      <c r="G173" s="69">
        <f t="shared" si="91"/>
        <v>0.28391245820740979</v>
      </c>
      <c r="H173" s="69">
        <f t="shared" si="91"/>
        <v>0.38176432713056818</v>
      </c>
      <c r="I173" s="69">
        <f t="shared" si="91"/>
        <v>0.44843457470693016</v>
      </c>
      <c r="J173" s="69">
        <f t="shared" si="91"/>
        <v>0.44843457470693016</v>
      </c>
      <c r="K173" s="69">
        <f t="shared" si="91"/>
        <v>0.44843457470693016</v>
      </c>
      <c r="L173" s="69">
        <f t="shared" si="91"/>
        <v>0.44843457470693016</v>
      </c>
      <c r="M173" s="69">
        <f t="shared" si="91"/>
        <v>0.44843457470693016</v>
      </c>
      <c r="N173" s="69">
        <f t="shared" si="91"/>
        <v>0.44843457470693016</v>
      </c>
      <c r="O173" s="69">
        <f t="shared" si="91"/>
        <v>0.44843457470693016</v>
      </c>
      <c r="P173" s="69">
        <f t="shared" si="91"/>
        <v>0.44843457470693016</v>
      </c>
      <c r="Q173" s="69">
        <f t="shared" si="91"/>
        <v>0.40754198474935632</v>
      </c>
      <c r="R173" s="69">
        <f t="shared" si="91"/>
        <v>0.30564361710950028</v>
      </c>
      <c r="S173" s="69">
        <f>S171+h/6*(S85^2+4*S86^2+S87^2)</f>
        <v>0.17214794988332097</v>
      </c>
      <c r="T173" s="69">
        <f>T171+h/6*(T85^2+4*T86^2+T87^2)</f>
        <v>6.5502321405005171E-2</v>
      </c>
      <c r="U173" s="69">
        <f>U171+h/6*(U85^2+4*U86^2+U87^2)</f>
        <v>2.1898495743823937E-2</v>
      </c>
      <c r="V173" s="69">
        <f>V171+h/6*(V85^2+4*V86^2+V87^2)</f>
        <v>5.1496194376506859E-3</v>
      </c>
      <c r="W173" s="69">
        <f>W171+h/6*(W85^2+4*W86^2+W87^2)</f>
        <v>0</v>
      </c>
    </row>
    <row r="174" spans="1:23" x14ac:dyDescent="0.2">
      <c r="A174" s="80">
        <f>$A$57</f>
        <v>11</v>
      </c>
      <c r="B174" s="85">
        <f>$B$57</f>
        <v>1.0999999999999999</v>
      </c>
      <c r="C174" s="69">
        <f t="shared" ref="C174:W174" si="92">C172+h/6*(C86^2+4*C87^2+C88^2)</f>
        <v>1.6341366538013904E-5</v>
      </c>
      <c r="D174" s="69">
        <f t="shared" si="92"/>
        <v>1.1340770400213158E-2</v>
      </c>
      <c r="E174" s="69">
        <f t="shared" si="92"/>
        <v>9.6601881663260461E-2</v>
      </c>
      <c r="F174" s="69">
        <f t="shared" si="92"/>
        <v>0.25224059631136792</v>
      </c>
      <c r="G174" s="69">
        <f t="shared" si="92"/>
        <v>0.41154396653364994</v>
      </c>
      <c r="H174" s="69">
        <f t="shared" si="92"/>
        <v>0.52688634449898908</v>
      </c>
      <c r="I174" s="69">
        <f t="shared" si="92"/>
        <v>0.60406137472353139</v>
      </c>
      <c r="J174" s="69">
        <f t="shared" si="92"/>
        <v>0.60406137472353139</v>
      </c>
      <c r="K174" s="69">
        <f t="shared" si="92"/>
        <v>0.60406137472353139</v>
      </c>
      <c r="L174" s="69">
        <f t="shared" si="92"/>
        <v>0.60406137472353139</v>
      </c>
      <c r="M174" s="69">
        <f t="shared" si="92"/>
        <v>0.60406137472353139</v>
      </c>
      <c r="N174" s="69">
        <f t="shared" si="92"/>
        <v>0.60406137472353139</v>
      </c>
      <c r="O174" s="69">
        <f t="shared" si="92"/>
        <v>0.60406137472353139</v>
      </c>
      <c r="P174" s="69">
        <f t="shared" si="92"/>
        <v>0.60406137472353139</v>
      </c>
      <c r="Q174" s="69">
        <f t="shared" si="92"/>
        <v>0.55278901187171536</v>
      </c>
      <c r="R174" s="69">
        <f t="shared" si="92"/>
        <v>0.42273247264234148</v>
      </c>
      <c r="S174" s="69">
        <f t="shared" si="92"/>
        <v>0.24788605029511207</v>
      </c>
      <c r="T174" s="69">
        <f t="shared" si="92"/>
        <v>0.10027023067563076</v>
      </c>
      <c r="U174" s="69">
        <f t="shared" si="92"/>
        <v>3.8446119155138347E-2</v>
      </c>
      <c r="V174" s="69">
        <f t="shared" si="92"/>
        <v>1.0004981629445929E-2</v>
      </c>
      <c r="W174" s="69">
        <f t="shared" si="92"/>
        <v>0</v>
      </c>
    </row>
    <row r="175" spans="1:23" x14ac:dyDescent="0.2">
      <c r="A175" s="80">
        <f>$A$58</f>
        <v>12</v>
      </c>
      <c r="B175" s="85">
        <f>$B$58</f>
        <v>1.2</v>
      </c>
      <c r="C175" s="69">
        <f t="shared" ref="C175:W175" si="93">C173+h/6*(C87^2+4*C88^2+C89^2)</f>
        <v>7.4965481106316147E-5</v>
      </c>
      <c r="D175" s="69">
        <f t="shared" si="93"/>
        <v>3.420343834273832E-2</v>
      </c>
      <c r="E175" s="69">
        <f t="shared" si="93"/>
        <v>0.17174727739231457</v>
      </c>
      <c r="F175" s="69">
        <f t="shared" si="93"/>
        <v>0.36996214682119372</v>
      </c>
      <c r="G175" s="69">
        <f t="shared" si="93"/>
        <v>0.55771007459385658</v>
      </c>
      <c r="H175" s="69">
        <f t="shared" si="93"/>
        <v>0.6893871519680852</v>
      </c>
      <c r="I175" s="69">
        <f t="shared" si="93"/>
        <v>0.77498830413367359</v>
      </c>
      <c r="J175" s="69">
        <f t="shared" si="93"/>
        <v>0.77498830413367359</v>
      </c>
      <c r="K175" s="69">
        <f t="shared" si="93"/>
        <v>0.77498830413367359</v>
      </c>
      <c r="L175" s="69">
        <f t="shared" si="93"/>
        <v>0.77498830413367359</v>
      </c>
      <c r="M175" s="69">
        <f t="shared" si="93"/>
        <v>0.77498830413367359</v>
      </c>
      <c r="N175" s="69">
        <f t="shared" si="93"/>
        <v>0.77498830413367359</v>
      </c>
      <c r="O175" s="69">
        <f t="shared" si="93"/>
        <v>0.77498830413367359</v>
      </c>
      <c r="P175" s="69">
        <f t="shared" si="93"/>
        <v>0.77498830413367359</v>
      </c>
      <c r="Q175" s="69">
        <f t="shared" si="93"/>
        <v>0.71290174528984029</v>
      </c>
      <c r="R175" s="69">
        <f t="shared" si="93"/>
        <v>0.55362627345986559</v>
      </c>
      <c r="S175" s="69">
        <f t="shared" si="93"/>
        <v>0.33583125129712726</v>
      </c>
      <c r="T175" s="69">
        <f t="shared" si="93"/>
        <v>0.14191860129751777</v>
      </c>
      <c r="U175" s="69">
        <f t="shared" si="93"/>
        <v>5.9004314210062789E-2</v>
      </c>
      <c r="V175" s="69">
        <f t="shared" si="93"/>
        <v>1.4256973746799694E-2</v>
      </c>
      <c r="W175" s="69">
        <f t="shared" si="93"/>
        <v>0</v>
      </c>
    </row>
    <row r="176" spans="1:23" x14ac:dyDescent="0.2">
      <c r="A176" s="80">
        <f>$A$59</f>
        <v>13</v>
      </c>
      <c r="B176" s="85">
        <f>$B$59</f>
        <v>1.3</v>
      </c>
      <c r="C176" s="69">
        <f t="shared" ref="C176:W176" si="94">C174+h/6*(C88^2+4*C89^2+C90^2)</f>
        <v>1.2451313603584603E-3</v>
      </c>
      <c r="D176" s="69">
        <f t="shared" si="94"/>
        <v>7.6634325176482943E-2</v>
      </c>
      <c r="E176" s="69">
        <f t="shared" si="94"/>
        <v>0.2695148714760191</v>
      </c>
      <c r="F176" s="69">
        <f t="shared" si="94"/>
        <v>0.50727831873706497</v>
      </c>
      <c r="G176" s="69">
        <f t="shared" si="94"/>
        <v>0.72093705894980176</v>
      </c>
      <c r="H176" s="69">
        <f t="shared" si="94"/>
        <v>0.86857964467079496</v>
      </c>
      <c r="I176" s="69">
        <f t="shared" si="94"/>
        <v>0.96067654116704371</v>
      </c>
      <c r="J176" s="69">
        <f t="shared" si="94"/>
        <v>0.96067654116704371</v>
      </c>
      <c r="K176" s="69">
        <f t="shared" si="94"/>
        <v>0.96067654116704371</v>
      </c>
      <c r="L176" s="69">
        <f t="shared" si="94"/>
        <v>0.96067654116704371</v>
      </c>
      <c r="M176" s="69">
        <f t="shared" si="94"/>
        <v>0.96067654116704371</v>
      </c>
      <c r="N176" s="69">
        <f t="shared" si="94"/>
        <v>0.96067654116704371</v>
      </c>
      <c r="O176" s="69">
        <f t="shared" si="94"/>
        <v>0.96067654116704371</v>
      </c>
      <c r="P176" s="69">
        <f t="shared" si="94"/>
        <v>0.96067654116704371</v>
      </c>
      <c r="Q176" s="69">
        <f t="shared" si="94"/>
        <v>0.88720051069374239</v>
      </c>
      <c r="R176" s="69">
        <f t="shared" si="94"/>
        <v>0.6980081808031473</v>
      </c>
      <c r="S176" s="69">
        <f t="shared" si="94"/>
        <v>0.43492787380366438</v>
      </c>
      <c r="T176" s="69">
        <f t="shared" si="94"/>
        <v>0.19051816278996664</v>
      </c>
      <c r="U176" s="69">
        <f t="shared" si="94"/>
        <v>8.1032181949870496E-2</v>
      </c>
      <c r="V176" s="69">
        <f t="shared" si="94"/>
        <v>1.7989049783194242E-2</v>
      </c>
      <c r="W176" s="69">
        <f t="shared" si="94"/>
        <v>0</v>
      </c>
    </row>
    <row r="177" spans="1:23" x14ac:dyDescent="0.2">
      <c r="A177" s="80">
        <f>$A$60</f>
        <v>14</v>
      </c>
      <c r="B177" s="85">
        <f>$B$60</f>
        <v>1.4000000000000001</v>
      </c>
      <c r="C177" s="69">
        <f t="shared" ref="C177:W177" si="95">C175+h/6*(C89^2+4*C90^2+C91^2)</f>
        <v>1.0125559960327535E-2</v>
      </c>
      <c r="D177" s="69">
        <f t="shared" si="95"/>
        <v>0.1404738623631934</v>
      </c>
      <c r="E177" s="69">
        <f t="shared" si="95"/>
        <v>0.38565887517842845</v>
      </c>
      <c r="F177" s="69">
        <f t="shared" si="95"/>
        <v>0.66138446146039942</v>
      </c>
      <c r="G177" s="69">
        <f t="shared" si="95"/>
        <v>0.89980816120535034</v>
      </c>
      <c r="H177" s="69">
        <f t="shared" si="95"/>
        <v>1.0619958611511251</v>
      </c>
      <c r="I177" s="69">
        <f t="shared" si="95"/>
        <v>1.158146907147646</v>
      </c>
      <c r="J177" s="69">
        <f t="shared" si="95"/>
        <v>1.158146907147646</v>
      </c>
      <c r="K177" s="69">
        <f t="shared" si="95"/>
        <v>1.158146907147646</v>
      </c>
      <c r="L177" s="69">
        <f t="shared" si="95"/>
        <v>1.158146907147646</v>
      </c>
      <c r="M177" s="69">
        <f t="shared" si="95"/>
        <v>1.158146907147646</v>
      </c>
      <c r="N177" s="69">
        <f t="shared" si="95"/>
        <v>1.158146907147646</v>
      </c>
      <c r="O177" s="69">
        <f t="shared" si="95"/>
        <v>1.158146907147646</v>
      </c>
      <c r="P177" s="69">
        <f t="shared" si="95"/>
        <v>1.158146907147646</v>
      </c>
      <c r="Q177" s="69">
        <f t="shared" si="95"/>
        <v>1.0731796467041308</v>
      </c>
      <c r="R177" s="69">
        <f t="shared" si="95"/>
        <v>0.85427978308605712</v>
      </c>
      <c r="S177" s="69">
        <f t="shared" si="95"/>
        <v>0.54307857725086361</v>
      </c>
      <c r="T177" s="69">
        <f t="shared" si="95"/>
        <v>0.24575238319568207</v>
      </c>
      <c r="U177" s="69">
        <f t="shared" si="95"/>
        <v>0.10211108025608584</v>
      </c>
      <c r="V177" s="69">
        <f t="shared" si="95"/>
        <v>2.1419225385977268E-2</v>
      </c>
      <c r="W177" s="69">
        <f t="shared" si="95"/>
        <v>0</v>
      </c>
    </row>
    <row r="178" spans="1:23" x14ac:dyDescent="0.2">
      <c r="A178" s="80">
        <f>$A$61</f>
        <v>15</v>
      </c>
      <c r="B178" s="85">
        <f>$B$61</f>
        <v>1.5</v>
      </c>
      <c r="C178" s="69">
        <f t="shared" ref="C178:W178" si="96">C176+h/6*(C90^2+4*C91^2+C92^2)</f>
        <v>3.5470695807226352E-2</v>
      </c>
      <c r="D178" s="69">
        <f t="shared" si="96"/>
        <v>0.22457789290082539</v>
      </c>
      <c r="E178" s="69">
        <f t="shared" si="96"/>
        <v>0.51910305264176404</v>
      </c>
      <c r="F178" s="69">
        <f t="shared" si="96"/>
        <v>0.83087663996518057</v>
      </c>
      <c r="G178" s="69">
        <f t="shared" si="96"/>
        <v>1.0927031142815979</v>
      </c>
      <c r="H178" s="69">
        <f t="shared" si="96"/>
        <v>1.2677961260192012</v>
      </c>
      <c r="I178" s="69">
        <f t="shared" si="96"/>
        <v>1.3686627375278657</v>
      </c>
      <c r="J178" s="69">
        <f t="shared" si="96"/>
        <v>1.3686627375278657</v>
      </c>
      <c r="K178" s="69">
        <f t="shared" si="96"/>
        <v>1.3686627375278657</v>
      </c>
      <c r="L178" s="69">
        <f t="shared" si="96"/>
        <v>1.3686627375278657</v>
      </c>
      <c r="M178" s="69">
        <f t="shared" si="96"/>
        <v>1.3686627375278657</v>
      </c>
      <c r="N178" s="69">
        <f t="shared" si="96"/>
        <v>1.3686627375278657</v>
      </c>
      <c r="O178" s="69">
        <f t="shared" si="96"/>
        <v>1.3686627375278657</v>
      </c>
      <c r="P178" s="69">
        <f t="shared" si="96"/>
        <v>1.3686627375278657</v>
      </c>
      <c r="Q178" s="69">
        <f t="shared" si="96"/>
        <v>1.2709943978932432</v>
      </c>
      <c r="R178" s="69">
        <f t="shared" si="96"/>
        <v>1.0214407383801223</v>
      </c>
      <c r="S178" s="69">
        <f t="shared" si="96"/>
        <v>0.65980513659025852</v>
      </c>
      <c r="T178" s="69">
        <f t="shared" si="96"/>
        <v>0.30674074556443964</v>
      </c>
      <c r="U178" s="69">
        <f t="shared" si="96"/>
        <v>0.12218841727481608</v>
      </c>
      <c r="V178" s="69">
        <f t="shared" si="96"/>
        <v>2.4686454911756819E-2</v>
      </c>
      <c r="W178" s="69">
        <f t="shared" si="96"/>
        <v>0</v>
      </c>
    </row>
    <row r="179" spans="1:23" x14ac:dyDescent="0.2">
      <c r="A179" s="80">
        <f>$A$62</f>
        <v>16</v>
      </c>
      <c r="B179" s="85">
        <f>$B$62</f>
        <v>1.5999999999999999</v>
      </c>
      <c r="C179" s="69">
        <f t="shared" ref="C179:W179" si="97">C177+h/6*(C91^2+4*C92^2+C93^2)</f>
        <v>7.8352639935244398E-2</v>
      </c>
      <c r="D179" s="69">
        <f t="shared" si="97"/>
        <v>0.32585770924010798</v>
      </c>
      <c r="E179" s="69">
        <f t="shared" si="97"/>
        <v>0.66945333538862761</v>
      </c>
      <c r="F179" s="69">
        <f t="shared" si="97"/>
        <v>1.0143970984003223</v>
      </c>
      <c r="G179" s="69">
        <f t="shared" si="97"/>
        <v>1.2972992959210412</v>
      </c>
      <c r="H179" s="69">
        <f t="shared" si="97"/>
        <v>1.4834614106950434</v>
      </c>
      <c r="I179" s="69">
        <f t="shared" si="97"/>
        <v>1.589989756243628</v>
      </c>
      <c r="J179" s="69">
        <f t="shared" si="97"/>
        <v>1.589989756243628</v>
      </c>
      <c r="K179" s="69">
        <f t="shared" si="97"/>
        <v>1.589989756243628</v>
      </c>
      <c r="L179" s="69">
        <f t="shared" si="97"/>
        <v>1.589989756243628</v>
      </c>
      <c r="M179" s="69">
        <f t="shared" si="97"/>
        <v>1.589989756243628</v>
      </c>
      <c r="N179" s="69">
        <f t="shared" si="97"/>
        <v>1.589989756243628</v>
      </c>
      <c r="O179" s="69">
        <f t="shared" si="97"/>
        <v>1.589989756243628</v>
      </c>
      <c r="P179" s="69">
        <f t="shared" si="97"/>
        <v>1.589989756243628</v>
      </c>
      <c r="Q179" s="69">
        <f t="shared" si="97"/>
        <v>1.4782456274211773</v>
      </c>
      <c r="R179" s="69">
        <f t="shared" si="97"/>
        <v>1.1974498371010984</v>
      </c>
      <c r="S179" s="69">
        <f t="shared" si="97"/>
        <v>0.78428863577683727</v>
      </c>
      <c r="T179" s="69">
        <f t="shared" si="97"/>
        <v>0.37211726572874299</v>
      </c>
      <c r="U179" s="69">
        <f t="shared" si="97"/>
        <v>0.14193092217651174</v>
      </c>
      <c r="V179" s="69">
        <f t="shared" si="97"/>
        <v>2.7461594261049993E-2</v>
      </c>
      <c r="W179" s="69">
        <f t="shared" si="97"/>
        <v>0</v>
      </c>
    </row>
    <row r="180" spans="1:23" x14ac:dyDescent="0.2">
      <c r="A180" s="80">
        <f>$A$63</f>
        <v>17</v>
      </c>
      <c r="B180" s="85">
        <f>$B$63</f>
        <v>1.7</v>
      </c>
      <c r="C180" s="69">
        <f t="shared" ref="C180:W180" si="98">C178+h/6*(C92^2+4*C93^2+C94^2)</f>
        <v>0.13727701882171792</v>
      </c>
      <c r="D180" s="69">
        <f t="shared" si="98"/>
        <v>0.44343523575706167</v>
      </c>
      <c r="E180" s="69">
        <f t="shared" si="98"/>
        <v>0.83516719715703769</v>
      </c>
      <c r="F180" s="69">
        <f t="shared" si="98"/>
        <v>1.210579763247152</v>
      </c>
      <c r="G180" s="69">
        <f t="shared" si="98"/>
        <v>1.5126139442409223</v>
      </c>
      <c r="H180" s="69">
        <f t="shared" si="98"/>
        <v>1.7086237751887015</v>
      </c>
      <c r="I180" s="69">
        <f t="shared" si="98"/>
        <v>1.8214222002163218</v>
      </c>
      <c r="J180" s="69">
        <f t="shared" si="98"/>
        <v>1.8214222002163218</v>
      </c>
      <c r="K180" s="69">
        <f t="shared" si="98"/>
        <v>1.8214222002163218</v>
      </c>
      <c r="L180" s="69">
        <f t="shared" si="98"/>
        <v>1.8214222002163218</v>
      </c>
      <c r="M180" s="69">
        <f t="shared" si="98"/>
        <v>1.8214222002163218</v>
      </c>
      <c r="N180" s="69">
        <f t="shared" si="98"/>
        <v>1.8214222002163218</v>
      </c>
      <c r="O180" s="69">
        <f t="shared" si="98"/>
        <v>1.8214222002163218</v>
      </c>
      <c r="P180" s="69">
        <f t="shared" si="98"/>
        <v>1.8214222002163218</v>
      </c>
      <c r="Q180" s="69">
        <f t="shared" si="98"/>
        <v>1.6949026506060325</v>
      </c>
      <c r="R180" s="69">
        <f t="shared" si="98"/>
        <v>1.3823275685374106</v>
      </c>
      <c r="S180" s="69">
        <f t="shared" si="98"/>
        <v>0.91518451475921947</v>
      </c>
      <c r="T180" s="69">
        <f t="shared" si="98"/>
        <v>0.44104581871068249</v>
      </c>
      <c r="U180" s="69">
        <f t="shared" si="98"/>
        <v>0.16205098696439385</v>
      </c>
      <c r="V180" s="69">
        <f t="shared" si="98"/>
        <v>3.0026175483473777E-2</v>
      </c>
      <c r="W180" s="69">
        <f t="shared" si="98"/>
        <v>0</v>
      </c>
    </row>
    <row r="181" spans="1:23" x14ac:dyDescent="0.2">
      <c r="A181" s="80">
        <f>$A$64</f>
        <v>18</v>
      </c>
      <c r="B181" s="85">
        <f>$B$64</f>
        <v>1.7999999999999998</v>
      </c>
      <c r="C181" s="69">
        <f t="shared" ref="C181:W181" si="99">C179+h/6*(C93^2+4*C94^2+C95^2)</f>
        <v>0.20759501868496055</v>
      </c>
      <c r="D181" s="69">
        <f t="shared" si="99"/>
        <v>0.5760982337881384</v>
      </c>
      <c r="E181" s="69">
        <f t="shared" si="99"/>
        <v>1.0136687865728564</v>
      </c>
      <c r="F181" s="69">
        <f t="shared" si="99"/>
        <v>1.4176736212549519</v>
      </c>
      <c r="G181" s="69">
        <f t="shared" si="99"/>
        <v>1.7372764810426478</v>
      </c>
      <c r="H181" s="69">
        <f t="shared" si="99"/>
        <v>1.9421797911624594</v>
      </c>
      <c r="I181" s="69">
        <f t="shared" si="99"/>
        <v>2.0588818412348044</v>
      </c>
      <c r="J181" s="69">
        <f t="shared" si="99"/>
        <v>2.0588818412348044</v>
      </c>
      <c r="K181" s="69">
        <f t="shared" si="99"/>
        <v>2.0588818412348044</v>
      </c>
      <c r="L181" s="69">
        <f t="shared" si="99"/>
        <v>2.0588818412348044</v>
      </c>
      <c r="M181" s="69">
        <f t="shared" si="99"/>
        <v>2.0588818412348044</v>
      </c>
      <c r="N181" s="69">
        <f t="shared" si="99"/>
        <v>2.0588818412348044</v>
      </c>
      <c r="O181" s="69">
        <f t="shared" si="99"/>
        <v>2.0588818412348044</v>
      </c>
      <c r="P181" s="69">
        <f t="shared" si="99"/>
        <v>2.0588818412348044</v>
      </c>
      <c r="Q181" s="69">
        <f t="shared" si="99"/>
        <v>1.9182809908886209</v>
      </c>
      <c r="R181" s="69">
        <f t="shared" si="99"/>
        <v>1.5748337703818773</v>
      </c>
      <c r="S181" s="69">
        <f t="shared" si="99"/>
        <v>1.0506894232600401</v>
      </c>
      <c r="T181" s="69">
        <f t="shared" si="99"/>
        <v>0.51284100911398678</v>
      </c>
      <c r="U181" s="69">
        <f t="shared" si="99"/>
        <v>0.18281969234773024</v>
      </c>
      <c r="V181" s="69">
        <f t="shared" si="99"/>
        <v>3.2296441006178428E-2</v>
      </c>
      <c r="W181" s="69">
        <f t="shared" si="99"/>
        <v>0</v>
      </c>
    </row>
    <row r="182" spans="1:23" x14ac:dyDescent="0.2">
      <c r="A182" s="80">
        <f>$A$65</f>
        <v>19</v>
      </c>
      <c r="B182" s="85">
        <f>$B$65</f>
        <v>1.9000000000000001</v>
      </c>
      <c r="C182" s="69">
        <f t="shared" ref="C182:W182" si="100">C180+h/6*(C94^2+4*C95^2+C96^2)</f>
        <v>0.28818059001771829</v>
      </c>
      <c r="D182" s="69">
        <f t="shared" si="100"/>
        <v>0.72113674720490351</v>
      </c>
      <c r="E182" s="69">
        <f t="shared" si="100"/>
        <v>1.2032910613881509</v>
      </c>
      <c r="F182" s="69">
        <f t="shared" si="100"/>
        <v>1.6345373699148733</v>
      </c>
      <c r="G182" s="69">
        <f t="shared" si="100"/>
        <v>1.9700192054575294</v>
      </c>
      <c r="H182" s="69">
        <f t="shared" si="100"/>
        <v>2.1833354268623912</v>
      </c>
      <c r="I182" s="69">
        <f t="shared" si="100"/>
        <v>2.3030642561732142</v>
      </c>
      <c r="J182" s="69">
        <f t="shared" si="100"/>
        <v>2.3030642561732142</v>
      </c>
      <c r="K182" s="69">
        <f t="shared" si="100"/>
        <v>2.3030642561732142</v>
      </c>
      <c r="L182" s="69">
        <f t="shared" si="100"/>
        <v>2.3030642561732142</v>
      </c>
      <c r="M182" s="69">
        <f t="shared" si="100"/>
        <v>2.3030642561732142</v>
      </c>
      <c r="N182" s="69">
        <f t="shared" si="100"/>
        <v>2.3030642561732142</v>
      </c>
      <c r="O182" s="69">
        <f t="shared" si="100"/>
        <v>2.3030642561732142</v>
      </c>
      <c r="P182" s="69">
        <f t="shared" si="100"/>
        <v>2.3030642561732142</v>
      </c>
      <c r="Q182" s="69">
        <f t="shared" si="100"/>
        <v>2.1480608980361837</v>
      </c>
      <c r="R182" s="69">
        <f t="shared" si="100"/>
        <v>1.7735982477828989</v>
      </c>
      <c r="S182" s="69">
        <f t="shared" si="100"/>
        <v>1.1907756229956552</v>
      </c>
      <c r="T182" s="69">
        <f t="shared" si="100"/>
        <v>0.58742690273491538</v>
      </c>
      <c r="U182" s="69">
        <f t="shared" si="100"/>
        <v>0.20421922498799888</v>
      </c>
      <c r="V182" s="69">
        <f t="shared" si="100"/>
        <v>3.4405570362272868E-2</v>
      </c>
      <c r="W182" s="69">
        <f t="shared" si="100"/>
        <v>0</v>
      </c>
    </row>
    <row r="183" spans="1:23" x14ac:dyDescent="0.2">
      <c r="A183" s="80">
        <f>$A$66</f>
        <v>20</v>
      </c>
      <c r="B183" s="85">
        <f>$B$66</f>
        <v>2</v>
      </c>
      <c r="C183" s="69">
        <f t="shared" ref="C183:W183" si="101">C181+h/6*(C95^2+4*C96^2+C97^2)</f>
        <v>0.37740900805257926</v>
      </c>
      <c r="D183" s="69">
        <f t="shared" si="101"/>
        <v>0.87523375503147482</v>
      </c>
      <c r="E183" s="69">
        <f t="shared" si="101"/>
        <v>1.4026021256464141</v>
      </c>
      <c r="F183" s="69">
        <f t="shared" si="101"/>
        <v>1.8597558584045415</v>
      </c>
      <c r="G183" s="69">
        <f t="shared" si="101"/>
        <v>2.2090553407874691</v>
      </c>
      <c r="H183" s="69">
        <f t="shared" si="101"/>
        <v>2.4297963507231359</v>
      </c>
      <c r="I183" s="69">
        <f t="shared" si="101"/>
        <v>2.5515938134045313</v>
      </c>
      <c r="J183" s="69">
        <f t="shared" si="101"/>
        <v>2.5515938134045313</v>
      </c>
      <c r="K183" s="69">
        <f t="shared" si="101"/>
        <v>2.5515938134045313</v>
      </c>
      <c r="L183" s="69">
        <f t="shared" si="101"/>
        <v>2.5515938134045313</v>
      </c>
      <c r="M183" s="69">
        <f t="shared" si="101"/>
        <v>2.5515938134045313</v>
      </c>
      <c r="N183" s="69">
        <f t="shared" si="101"/>
        <v>2.5515938134045313</v>
      </c>
      <c r="O183" s="69">
        <f t="shared" si="101"/>
        <v>2.5515938134045313</v>
      </c>
      <c r="P183" s="69">
        <f t="shared" si="101"/>
        <v>2.5515938134045313</v>
      </c>
      <c r="Q183" s="69">
        <f t="shared" si="101"/>
        <v>2.3814769504751148</v>
      </c>
      <c r="R183" s="69">
        <f t="shared" si="101"/>
        <v>1.9759458874163855</v>
      </c>
      <c r="S183" s="69">
        <f t="shared" si="101"/>
        <v>1.3350814020559132</v>
      </c>
      <c r="T183" s="69">
        <f t="shared" si="101"/>
        <v>0.66448660182567443</v>
      </c>
      <c r="U183" s="69">
        <f t="shared" si="101"/>
        <v>0.22589554093759856</v>
      </c>
      <c r="V183" s="69">
        <f t="shared" si="101"/>
        <v>3.611084044291301E-2</v>
      </c>
      <c r="W183" s="69">
        <f t="shared" si="101"/>
        <v>0</v>
      </c>
    </row>
    <row r="184" spans="1:23" x14ac:dyDescent="0.2">
      <c r="A184" s="80">
        <f>$A$67</f>
        <v>21</v>
      </c>
      <c r="B184" s="85">
        <f>$B$67</f>
        <v>2.1</v>
      </c>
      <c r="C184" s="69">
        <f t="shared" ref="C184:W184" si="102">C182+h/6*(C96^2+4*C97^2+C98^2)</f>
        <v>0.47573994519239932</v>
      </c>
      <c r="D184" s="69">
        <f t="shared" si="102"/>
        <v>1.038020122392372</v>
      </c>
      <c r="E184" s="69">
        <f t="shared" si="102"/>
        <v>1.611166456045092</v>
      </c>
      <c r="F184" s="69">
        <f t="shared" si="102"/>
        <v>2.0919694441343943</v>
      </c>
      <c r="G184" s="69">
        <f t="shared" si="102"/>
        <v>2.453765293536871</v>
      </c>
      <c r="H184" s="69">
        <f t="shared" si="102"/>
        <v>2.679905938547571</v>
      </c>
      <c r="I184" s="69">
        <f t="shared" si="102"/>
        <v>2.8040201172322852</v>
      </c>
      <c r="J184" s="69">
        <f t="shared" si="102"/>
        <v>2.8040201172322852</v>
      </c>
      <c r="K184" s="69">
        <f t="shared" si="102"/>
        <v>2.8040201172322852</v>
      </c>
      <c r="L184" s="69">
        <f t="shared" si="102"/>
        <v>2.8040201172322852</v>
      </c>
      <c r="M184" s="69">
        <f t="shared" si="102"/>
        <v>2.8040201172322852</v>
      </c>
      <c r="N184" s="69">
        <f t="shared" si="102"/>
        <v>2.8040201172322852</v>
      </c>
      <c r="O184" s="69">
        <f t="shared" si="102"/>
        <v>2.8040201172322852</v>
      </c>
      <c r="P184" s="69">
        <f t="shared" si="102"/>
        <v>2.8040201172322852</v>
      </c>
      <c r="Q184" s="69">
        <f t="shared" si="102"/>
        <v>2.6186028661629641</v>
      </c>
      <c r="R184" s="69">
        <f t="shared" si="102"/>
        <v>2.1814027500031599</v>
      </c>
      <c r="S184" s="69">
        <f t="shared" si="102"/>
        <v>1.4826780041120433</v>
      </c>
      <c r="T184" s="69">
        <f t="shared" si="102"/>
        <v>0.74337559471626946</v>
      </c>
      <c r="U184" s="69">
        <f t="shared" si="102"/>
        <v>0.24772344001117971</v>
      </c>
      <c r="V184" s="69">
        <f t="shared" si="102"/>
        <v>3.7679896174948956E-2</v>
      </c>
      <c r="W184" s="69">
        <f t="shared" si="102"/>
        <v>0</v>
      </c>
    </row>
    <row r="185" spans="1:23" x14ac:dyDescent="0.2">
      <c r="A185" s="80">
        <f>$A$68</f>
        <v>22</v>
      </c>
      <c r="B185" s="85">
        <f>$B$68</f>
        <v>2.1999999999999997</v>
      </c>
      <c r="C185" s="69">
        <f t="shared" ref="C185:W185" si="103">C183+h/6*(C97^2+4*C98^2+C99^2)</f>
        <v>0.581610772717018</v>
      </c>
      <c r="D185" s="69">
        <f t="shared" si="103"/>
        <v>1.2091017345380117</v>
      </c>
      <c r="E185" s="69">
        <f t="shared" si="103"/>
        <v>1.8280170318672879</v>
      </c>
      <c r="F185" s="69">
        <f t="shared" si="103"/>
        <v>2.3294902514663702</v>
      </c>
      <c r="G185" s="69">
        <f t="shared" si="103"/>
        <v>2.7028808333600134</v>
      </c>
      <c r="H185" s="69">
        <f t="shared" si="103"/>
        <v>2.9313255879031792</v>
      </c>
      <c r="I185" s="69">
        <f t="shared" si="103"/>
        <v>3.0566073688044222</v>
      </c>
      <c r="J185" s="69">
        <f t="shared" si="103"/>
        <v>3.0566073688044222</v>
      </c>
      <c r="K185" s="69">
        <f t="shared" si="103"/>
        <v>3.0566073688044222</v>
      </c>
      <c r="L185" s="69">
        <f t="shared" si="103"/>
        <v>3.0566073688044222</v>
      </c>
      <c r="M185" s="69">
        <f t="shared" si="103"/>
        <v>3.0566073688044222</v>
      </c>
      <c r="N185" s="69">
        <f t="shared" si="103"/>
        <v>3.0566073688044222</v>
      </c>
      <c r="O185" s="69">
        <f t="shared" si="103"/>
        <v>3.0566073688044222</v>
      </c>
      <c r="P185" s="69">
        <f t="shared" si="103"/>
        <v>3.0566073688044222</v>
      </c>
      <c r="Q185" s="69">
        <f t="shared" si="103"/>
        <v>2.8572555300624098</v>
      </c>
      <c r="R185" s="69">
        <f t="shared" si="103"/>
        <v>2.3886584459295879</v>
      </c>
      <c r="S185" s="69">
        <f t="shared" si="103"/>
        <v>1.6318172810589262</v>
      </c>
      <c r="T185" s="69">
        <f t="shared" si="103"/>
        <v>0.82312452703940309</v>
      </c>
      <c r="U185" s="69">
        <f t="shared" si="103"/>
        <v>0.26949821910712024</v>
      </c>
      <c r="V185" s="69">
        <f t="shared" si="103"/>
        <v>3.8995410923549439E-2</v>
      </c>
      <c r="W185" s="69">
        <f t="shared" si="103"/>
        <v>0</v>
      </c>
    </row>
    <row r="186" spans="1:23" x14ac:dyDescent="0.2">
      <c r="A186" s="80">
        <f>$A$99+1</f>
        <v>23</v>
      </c>
      <c r="B186" s="85">
        <f>$B$69</f>
        <v>2.2999999999999998</v>
      </c>
      <c r="C186" s="69">
        <f t="shared" ref="C186:W186" si="104">C184+h/6*(C98^2+4*C99^2+C100^2)</f>
        <v>0.69409502445985516</v>
      </c>
      <c r="D186" s="69">
        <f t="shared" si="104"/>
        <v>1.3869444117652852</v>
      </c>
      <c r="E186" s="69">
        <f t="shared" si="104"/>
        <v>2.0514507304484235</v>
      </c>
      <c r="F186" s="69">
        <f t="shared" si="104"/>
        <v>2.5712111087975447</v>
      </c>
      <c r="G186" s="69">
        <f t="shared" si="104"/>
        <v>2.9548542941856688</v>
      </c>
      <c r="H186" s="69">
        <f t="shared" si="104"/>
        <v>3.1837764690157027</v>
      </c>
      <c r="I186" s="69">
        <f t="shared" si="104"/>
        <v>3.3101575303361619</v>
      </c>
      <c r="J186" s="69">
        <f t="shared" si="104"/>
        <v>3.3101575303361619</v>
      </c>
      <c r="K186" s="69">
        <f t="shared" si="104"/>
        <v>3.3101575303361619</v>
      </c>
      <c r="L186" s="69">
        <f t="shared" si="104"/>
        <v>3.3101575303361619</v>
      </c>
      <c r="M186" s="69">
        <f t="shared" si="104"/>
        <v>3.3101575303361619</v>
      </c>
      <c r="N186" s="69">
        <f t="shared" si="104"/>
        <v>3.3101575303361619</v>
      </c>
      <c r="O186" s="69">
        <f t="shared" si="104"/>
        <v>3.3101575303361619</v>
      </c>
      <c r="P186" s="69">
        <f t="shared" si="104"/>
        <v>3.3101575303361619</v>
      </c>
      <c r="Q186" s="69">
        <f t="shared" si="104"/>
        <v>3.0980303343344251</v>
      </c>
      <c r="R186" s="69">
        <f t="shared" si="104"/>
        <v>2.5971574461912721</v>
      </c>
      <c r="S186" s="69">
        <f t="shared" si="104"/>
        <v>1.7816856045703293</v>
      </c>
      <c r="T186" s="69">
        <f t="shared" si="104"/>
        <v>0.90324589436459712</v>
      </c>
      <c r="U186" s="69">
        <f t="shared" si="104"/>
        <v>0.29129055478041221</v>
      </c>
      <c r="V186" s="69">
        <f t="shared" si="104"/>
        <v>4.0223152382674904E-2</v>
      </c>
      <c r="W186" s="69">
        <f t="shared" si="104"/>
        <v>0</v>
      </c>
    </row>
    <row r="187" spans="1:23" ht="13.5" thickBot="1" x14ac:dyDescent="0.25">
      <c r="A187" s="82">
        <f>$A$100+1</f>
        <v>24</v>
      </c>
      <c r="B187" s="89">
        <f>$B$70</f>
        <v>2.4</v>
      </c>
      <c r="C187" s="69">
        <f t="shared" ref="C187:W187" si="105">C185+h/6*(C99^2+4*C100^2+C101^2)</f>
        <v>0.81054432512240271</v>
      </c>
      <c r="D187" s="69">
        <f t="shared" si="105"/>
        <v>1.569234245856461</v>
      </c>
      <c r="E187" s="69">
        <f t="shared" si="105"/>
        <v>2.2794296399264078</v>
      </c>
      <c r="F187" s="69">
        <f t="shared" si="105"/>
        <v>2.816099183723809</v>
      </c>
      <c r="G187" s="69">
        <f t="shared" si="105"/>
        <v>3.2076796767159923</v>
      </c>
      <c r="H187" s="69">
        <f t="shared" si="105"/>
        <v>3.4365293059289965</v>
      </c>
      <c r="I187" s="69">
        <f t="shared" si="105"/>
        <v>3.5628951324867053</v>
      </c>
      <c r="J187" s="69">
        <f t="shared" si="105"/>
        <v>3.5628951324867053</v>
      </c>
      <c r="K187" s="69">
        <f t="shared" si="105"/>
        <v>3.5628951324867053</v>
      </c>
      <c r="L187" s="69">
        <f t="shared" si="105"/>
        <v>3.5628951324867053</v>
      </c>
      <c r="M187" s="69">
        <f t="shared" si="105"/>
        <v>3.5628951324867053</v>
      </c>
      <c r="N187" s="69">
        <f t="shared" si="105"/>
        <v>3.5628951324867053</v>
      </c>
      <c r="O187" s="69">
        <f t="shared" si="105"/>
        <v>3.5628951324867053</v>
      </c>
      <c r="P187" s="69">
        <f t="shared" si="105"/>
        <v>3.5628951324867053</v>
      </c>
      <c r="Q187" s="69">
        <f t="shared" si="105"/>
        <v>3.3392451564942922</v>
      </c>
      <c r="R187" s="69">
        <f t="shared" si="105"/>
        <v>2.8052913388355014</v>
      </c>
      <c r="S187" s="69">
        <f t="shared" si="105"/>
        <v>1.9313851372223907</v>
      </c>
      <c r="T187" s="69">
        <f t="shared" si="105"/>
        <v>0.98329405041898532</v>
      </c>
      <c r="U187" s="69">
        <f t="shared" si="105"/>
        <v>0.31304400001452853</v>
      </c>
      <c r="V187" s="69">
        <f t="shared" si="105"/>
        <v>4.1132198607150124E-2</v>
      </c>
      <c r="W187" s="69">
        <f t="shared" si="105"/>
        <v>0</v>
      </c>
    </row>
    <row r="188" spans="1:23" x14ac:dyDescent="0.2">
      <c r="A188" s="91"/>
      <c r="B188" s="19"/>
      <c r="C188" s="19"/>
      <c r="D188" s="19"/>
      <c r="E188" s="19"/>
      <c r="F188" s="19"/>
      <c r="G188" s="19"/>
      <c r="H188" s="19"/>
      <c r="I188" s="19"/>
      <c r="J188" s="19"/>
      <c r="K188" s="19"/>
      <c r="L188" s="19"/>
      <c r="M188" s="19"/>
      <c r="N188" s="19"/>
      <c r="O188" s="19"/>
      <c r="P188" s="19"/>
      <c r="Q188" s="19"/>
      <c r="R188" s="19"/>
      <c r="S188" s="19"/>
      <c r="T188" s="19"/>
      <c r="U188" s="19"/>
      <c r="V188" s="19"/>
    </row>
    <row r="189" spans="1:23" ht="13.5" thickBot="1" x14ac:dyDescent="0.25">
      <c r="A189" s="91" t="s">
        <v>7</v>
      </c>
      <c r="B189" s="19"/>
      <c r="C189" s="19"/>
      <c r="D189" s="19"/>
      <c r="E189" s="19"/>
      <c r="F189" s="19"/>
      <c r="G189" s="19"/>
      <c r="H189" s="19"/>
      <c r="I189" s="19"/>
      <c r="J189" s="19"/>
      <c r="K189" s="19"/>
      <c r="L189" s="19"/>
      <c r="M189" s="19"/>
      <c r="N189" s="19"/>
      <c r="O189" s="19"/>
      <c r="P189" s="19"/>
      <c r="Q189" s="19"/>
      <c r="R189" s="19"/>
      <c r="S189" s="19"/>
      <c r="T189" s="19"/>
      <c r="U189" s="19"/>
      <c r="V189" s="19"/>
    </row>
    <row r="190" spans="1:23" x14ac:dyDescent="0.2">
      <c r="A190" s="86"/>
      <c r="B190" s="87"/>
      <c r="C190" s="72">
        <v>21</v>
      </c>
      <c r="D190" s="72">
        <v>20</v>
      </c>
      <c r="E190" s="72">
        <v>19</v>
      </c>
      <c r="F190" s="72">
        <v>18</v>
      </c>
      <c r="G190" s="72">
        <v>17</v>
      </c>
      <c r="H190" s="72">
        <v>16</v>
      </c>
      <c r="I190" s="72">
        <v>15</v>
      </c>
      <c r="J190" s="72">
        <v>14</v>
      </c>
      <c r="K190" s="72">
        <v>13</v>
      </c>
      <c r="L190" s="72">
        <v>12</v>
      </c>
      <c r="M190" s="72">
        <v>11</v>
      </c>
      <c r="N190" s="72">
        <v>10</v>
      </c>
      <c r="O190" s="72">
        <v>9</v>
      </c>
      <c r="P190" s="72">
        <v>8</v>
      </c>
      <c r="Q190" s="72">
        <v>7</v>
      </c>
      <c r="R190" s="72">
        <v>6</v>
      </c>
      <c r="S190" s="72">
        <v>5</v>
      </c>
      <c r="T190" s="72">
        <v>4</v>
      </c>
      <c r="U190" s="72">
        <v>3</v>
      </c>
      <c r="V190" s="72">
        <v>2</v>
      </c>
      <c r="W190" s="73">
        <v>1</v>
      </c>
    </row>
    <row r="191" spans="1:23" x14ac:dyDescent="0.2">
      <c r="A191" s="88" t="s">
        <v>53</v>
      </c>
      <c r="B191" s="56" t="s">
        <v>54</v>
      </c>
      <c r="C191" s="68">
        <v>0</v>
      </c>
      <c r="D191" s="68">
        <f t="shared" ref="D191:U191" si="106">C191+$W$76/20</f>
        <v>1.6175000000000002</v>
      </c>
      <c r="E191" s="68">
        <f t="shared" si="106"/>
        <v>3.2350000000000003</v>
      </c>
      <c r="F191" s="68">
        <f t="shared" si="106"/>
        <v>4.8525000000000009</v>
      </c>
      <c r="G191" s="68">
        <f t="shared" si="106"/>
        <v>6.4700000000000006</v>
      </c>
      <c r="H191" s="68">
        <f t="shared" si="106"/>
        <v>8.0875000000000004</v>
      </c>
      <c r="I191" s="68">
        <f t="shared" si="106"/>
        <v>9.7050000000000001</v>
      </c>
      <c r="J191" s="68">
        <f t="shared" si="106"/>
        <v>11.3225</v>
      </c>
      <c r="K191" s="68">
        <f t="shared" si="106"/>
        <v>12.94</v>
      </c>
      <c r="L191" s="68">
        <f t="shared" si="106"/>
        <v>14.557499999999999</v>
      </c>
      <c r="M191" s="68">
        <f t="shared" si="106"/>
        <v>16.175000000000001</v>
      </c>
      <c r="N191" s="68">
        <f t="shared" si="106"/>
        <v>17.7925</v>
      </c>
      <c r="O191" s="68">
        <f t="shared" si="106"/>
        <v>19.41</v>
      </c>
      <c r="P191" s="68">
        <f t="shared" si="106"/>
        <v>21.0275</v>
      </c>
      <c r="Q191" s="68">
        <f t="shared" si="106"/>
        <v>22.645</v>
      </c>
      <c r="R191" s="68">
        <f t="shared" si="106"/>
        <v>24.262499999999999</v>
      </c>
      <c r="S191" s="68">
        <f t="shared" si="106"/>
        <v>25.88</v>
      </c>
      <c r="T191" s="68">
        <f t="shared" si="106"/>
        <v>27.497499999999999</v>
      </c>
      <c r="U191" s="68">
        <f t="shared" si="106"/>
        <v>29.114999999999998</v>
      </c>
      <c r="V191" s="68">
        <f>U191+$W$76/20</f>
        <v>30.732499999999998</v>
      </c>
      <c r="W191" s="58">
        <f>E5</f>
        <v>32.35</v>
      </c>
    </row>
    <row r="192" spans="1:23" x14ac:dyDescent="0.2">
      <c r="A192" s="80">
        <f>$A$46</f>
        <v>0</v>
      </c>
      <c r="B192" s="85">
        <f>$B$46</f>
        <v>0</v>
      </c>
      <c r="C192" s="69">
        <f t="shared" ref="C192:W192" si="107">C77</f>
        <v>0</v>
      </c>
      <c r="D192" s="69">
        <f t="shared" si="107"/>
        <v>0</v>
      </c>
      <c r="E192" s="69">
        <f t="shared" si="107"/>
        <v>0</v>
      </c>
      <c r="F192" s="69">
        <f t="shared" si="107"/>
        <v>0</v>
      </c>
      <c r="G192" s="69">
        <f t="shared" si="107"/>
        <v>0</v>
      </c>
      <c r="H192" s="69">
        <f t="shared" si="107"/>
        <v>0.08</v>
      </c>
      <c r="I192" s="69">
        <f t="shared" si="107"/>
        <v>0.08</v>
      </c>
      <c r="J192" s="69">
        <f t="shared" si="107"/>
        <v>0.08</v>
      </c>
      <c r="K192" s="69">
        <f t="shared" si="107"/>
        <v>0.08</v>
      </c>
      <c r="L192" s="69">
        <f t="shared" si="107"/>
        <v>0.08</v>
      </c>
      <c r="M192" s="69">
        <f t="shared" si="107"/>
        <v>0.08</v>
      </c>
      <c r="N192" s="69">
        <f t="shared" si="107"/>
        <v>0.08</v>
      </c>
      <c r="O192" s="69">
        <f t="shared" si="107"/>
        <v>0.08</v>
      </c>
      <c r="P192" s="69">
        <f t="shared" si="107"/>
        <v>0.08</v>
      </c>
      <c r="Q192" s="69">
        <f t="shared" si="107"/>
        <v>0.08</v>
      </c>
      <c r="R192" s="69">
        <f t="shared" si="107"/>
        <v>0</v>
      </c>
      <c r="S192" s="69">
        <f t="shared" si="107"/>
        <v>0</v>
      </c>
      <c r="T192" s="69">
        <f t="shared" si="107"/>
        <v>0</v>
      </c>
      <c r="U192" s="69">
        <f t="shared" si="107"/>
        <v>0</v>
      </c>
      <c r="V192" s="69">
        <f t="shared" si="107"/>
        <v>0</v>
      </c>
      <c r="W192" s="69">
        <f t="shared" si="107"/>
        <v>0</v>
      </c>
    </row>
    <row r="193" spans="1:23" x14ac:dyDescent="0.2">
      <c r="A193" s="80">
        <f>$A$47</f>
        <v>1</v>
      </c>
      <c r="B193" s="85">
        <f>$B$47</f>
        <v>9.9999999999999992E-2</v>
      </c>
      <c r="C193" s="69">
        <f t="shared" ref="C193:C216" si="108">C192+IF(AND(C77=0,C78=0),0,SQRT((C78-C77)^2+($B78-$B77)^2))</f>
        <v>0.1000000160580011</v>
      </c>
      <c r="D193" s="69">
        <f t="shared" ref="D193:D216" si="109">D192+IF(AND(D77=0,D78=0),0,SQRT((D78-D77)^2+($B78-$B77)^2))</f>
        <v>0.10000110767801643</v>
      </c>
      <c r="E193" s="69">
        <f t="shared" ref="E193:E216" si="110">E192+IF(AND(E77=0,E78=0),0,SQRT((E78-E77)^2+($B78-$B77)^2))</f>
        <v>0.10000139581853396</v>
      </c>
      <c r="F193" s="69">
        <f t="shared" ref="F193:F216" si="111">F192+IF(AND(F77=0,F78=0),0,SQRT((F78-F77)^2+($B78-$B77)^2))</f>
        <v>0.1002916904125143</v>
      </c>
      <c r="G193" s="69">
        <f t="shared" ref="G193:G216" si="112">G192+IF(AND(G77=0,G78=0),0,SQRT((G78-G77)^2+($B78-$B77)^2))</f>
        <v>0.10871015154869904</v>
      </c>
      <c r="H193" s="69">
        <f t="shared" ref="H193:H216" si="113">H192+IF(AND(H77=0,H78=0),0,SQRT((H78-H77)^2+($B78-$B77)^2))</f>
        <v>0.18007431773188398</v>
      </c>
      <c r="I193" s="69">
        <f t="shared" ref="I193:I216" si="114">I192+IF(AND(I77=0,I78=0),0,SQRT((I78-I77)^2+($B78-$B77)^2))</f>
        <v>0.18068692659534585</v>
      </c>
      <c r="J193" s="69">
        <f t="shared" ref="J193:J216" si="115">J192+IF(AND(J77=0,J78=0),0,SQRT((J78-J77)^2+($B78-$B77)^2))</f>
        <v>0.18068692659534585</v>
      </c>
      <c r="K193" s="69">
        <f t="shared" ref="K193:K216" si="116">K192+IF(AND(K77=0,K78=0),0,SQRT((K78-K77)^2+($B78-$B77)^2))</f>
        <v>0.18068692659534585</v>
      </c>
      <c r="L193" s="69">
        <f t="shared" ref="L193:L216" si="117">L192+IF(AND(L77=0,L78=0),0,SQRT((L78-L77)^2+($B78-$B77)^2))</f>
        <v>0.18068692659534585</v>
      </c>
      <c r="M193" s="69">
        <f t="shared" ref="M193:M216" si="118">M192+IF(AND(M77=0,M78=0),0,SQRT((M78-M77)^2+($B78-$B77)^2))</f>
        <v>0.18068692659534585</v>
      </c>
      <c r="N193" s="69">
        <f t="shared" ref="N193:N216" si="119">N192+IF(AND(N77=0,N78=0),0,SQRT((N78-N77)^2+($B78-$B77)^2))</f>
        <v>0.18068692659534585</v>
      </c>
      <c r="O193" s="69">
        <f t="shared" ref="O193:O216" si="120">O192+IF(AND(O77=0,O78=0),0,SQRT((O78-O77)^2+($B78-$B77)^2))</f>
        <v>0.18068692659534585</v>
      </c>
      <c r="P193" s="69">
        <f t="shared" ref="P193:P216" si="121">P192+IF(AND(P77=0,P78=0),0,SQRT((P78-P77)^2+($B78-$B77)^2))</f>
        <v>0.18068692659534585</v>
      </c>
      <c r="Q193" s="69">
        <f t="shared" ref="Q193:Q216" si="122">Q192+IF(AND(Q77=0,Q78=0),0,SQRT((Q78-Q77)^2+($B78-$B77)^2))</f>
        <v>0.18047998164224135</v>
      </c>
      <c r="R193" s="69">
        <f t="shared" ref="R193:R216" si="123">R192+IF(AND(R77=0,R78=0),0,SQRT((R78-R77)^2+($B78-$B77)^2))</f>
        <v>0.10658131974550003</v>
      </c>
      <c r="S193" s="69">
        <f t="shared" ref="S193:S216" si="124">S192+IF(AND(S77=0,S78=0),0,SQRT((S78-S77)^2+($B78-$B77)^2))</f>
        <v>0.10044142912949629</v>
      </c>
      <c r="T193" s="69">
        <f t="shared" ref="T193:T216" si="125">T192+IF(AND(T77=0,T78=0),0,SQRT((T78-T77)^2+($B78-$B77)^2))</f>
        <v>0.10000108172371665</v>
      </c>
      <c r="U193" s="69">
        <f t="shared" ref="U193:U216" si="126">U192+IF(AND(U77=0,U78=0),0,SQRT((U78-U77)^2+($B78-$B77)^2))</f>
        <v>0.10000712994202265</v>
      </c>
      <c r="V193" s="69">
        <f t="shared" ref="V193:V216" si="127">V192+IF(AND(V77=0,V78=0),0,SQRT((V78-V77)^2+($B78-$B77)^2))</f>
        <v>0.10000140259078208</v>
      </c>
      <c r="W193" s="69">
        <f t="shared" ref="W193:W216" si="128">W192+IF(AND(W77=0,W78=0),0,SQRT((W78-W77)^2+($B78-$B77)^2))</f>
        <v>0</v>
      </c>
    </row>
    <row r="194" spans="1:23" x14ac:dyDescent="0.2">
      <c r="A194" s="80">
        <f>$A$48</f>
        <v>2</v>
      </c>
      <c r="B194" s="85">
        <f>$B$48</f>
        <v>0.19999999999999998</v>
      </c>
      <c r="C194" s="69">
        <f t="shared" si="108"/>
        <v>0.2000000321160022</v>
      </c>
      <c r="D194" s="69">
        <f t="shared" si="109"/>
        <v>0.20000221535603285</v>
      </c>
      <c r="E194" s="69">
        <f t="shared" si="110"/>
        <v>0.20000279163706791</v>
      </c>
      <c r="F194" s="69">
        <f t="shared" si="111"/>
        <v>0.20058338082502861</v>
      </c>
      <c r="G194" s="69">
        <f t="shared" si="112"/>
        <v>0.21381665210684708</v>
      </c>
      <c r="H194" s="69">
        <f t="shared" si="113"/>
        <v>0.28026288097447999</v>
      </c>
      <c r="I194" s="69">
        <f t="shared" si="114"/>
        <v>0.28070208537895491</v>
      </c>
      <c r="J194" s="69">
        <f t="shared" si="115"/>
        <v>0.28070208537895491</v>
      </c>
      <c r="K194" s="69">
        <f t="shared" si="116"/>
        <v>0.28070208537895491</v>
      </c>
      <c r="L194" s="69">
        <f t="shared" si="117"/>
        <v>0.28070208537895491</v>
      </c>
      <c r="M194" s="69">
        <f t="shared" si="118"/>
        <v>0.28070208537895491</v>
      </c>
      <c r="N194" s="69">
        <f t="shared" si="119"/>
        <v>0.28070208537895491</v>
      </c>
      <c r="O194" s="69">
        <f t="shared" si="120"/>
        <v>0.28070208537895491</v>
      </c>
      <c r="P194" s="69">
        <f t="shared" si="121"/>
        <v>0.28070208537895491</v>
      </c>
      <c r="Q194" s="69">
        <f t="shared" si="122"/>
        <v>0.2804801630524914</v>
      </c>
      <c r="R194" s="69">
        <f t="shared" si="123"/>
        <v>0.20922090019628062</v>
      </c>
      <c r="S194" s="69">
        <f t="shared" si="124"/>
        <v>0.20088285825899257</v>
      </c>
      <c r="T194" s="69">
        <f t="shared" si="125"/>
        <v>0.2000021634474333</v>
      </c>
      <c r="U194" s="69">
        <f t="shared" si="126"/>
        <v>0.20001425988404531</v>
      </c>
      <c r="V194" s="69">
        <f t="shared" si="127"/>
        <v>0.20000280518156416</v>
      </c>
      <c r="W194" s="69">
        <f t="shared" si="128"/>
        <v>0</v>
      </c>
    </row>
    <row r="195" spans="1:23" x14ac:dyDescent="0.2">
      <c r="A195" s="80">
        <f>$A$49</f>
        <v>3</v>
      </c>
      <c r="B195" s="85">
        <f>$B$49</f>
        <v>0.3</v>
      </c>
      <c r="C195" s="69">
        <f t="shared" si="108"/>
        <v>0.30000017663791934</v>
      </c>
      <c r="D195" s="69">
        <f t="shared" si="109"/>
        <v>0.30001218401652252</v>
      </c>
      <c r="E195" s="69">
        <f t="shared" si="110"/>
        <v>0.30001535330257023</v>
      </c>
      <c r="F195" s="69">
        <f t="shared" si="111"/>
        <v>0.30667448013614129</v>
      </c>
      <c r="G195" s="69">
        <f t="shared" si="112"/>
        <v>0.31710113457240935</v>
      </c>
      <c r="H195" s="69">
        <f t="shared" si="113"/>
        <v>0.38297146164917989</v>
      </c>
      <c r="I195" s="69">
        <f t="shared" si="114"/>
        <v>0.38070233576632045</v>
      </c>
      <c r="J195" s="69">
        <f t="shared" si="115"/>
        <v>0.38070233576632045</v>
      </c>
      <c r="K195" s="69">
        <f t="shared" si="116"/>
        <v>0.38070233576632045</v>
      </c>
      <c r="L195" s="69">
        <f t="shared" si="117"/>
        <v>0.38070233576632045</v>
      </c>
      <c r="M195" s="69">
        <f t="shared" si="118"/>
        <v>0.38070233576632045</v>
      </c>
      <c r="N195" s="69">
        <f t="shared" si="119"/>
        <v>0.38070233576632045</v>
      </c>
      <c r="O195" s="69">
        <f t="shared" si="120"/>
        <v>0.38070233576632045</v>
      </c>
      <c r="P195" s="69">
        <f t="shared" si="121"/>
        <v>0.38070233576632045</v>
      </c>
      <c r="Q195" s="69">
        <f t="shared" si="122"/>
        <v>0.38063524727507553</v>
      </c>
      <c r="R195" s="69">
        <f t="shared" si="123"/>
        <v>0.31043542265048329</v>
      </c>
      <c r="S195" s="69">
        <f t="shared" si="124"/>
        <v>0.31032468916722239</v>
      </c>
      <c r="T195" s="69">
        <f t="shared" si="125"/>
        <v>0.30002988054776697</v>
      </c>
      <c r="U195" s="69">
        <f t="shared" si="126"/>
        <v>0.30007841107299726</v>
      </c>
      <c r="V195" s="69">
        <f t="shared" si="127"/>
        <v>0.30001542779047846</v>
      </c>
      <c r="W195" s="69">
        <f t="shared" si="128"/>
        <v>0</v>
      </c>
    </row>
    <row r="196" spans="1:23" x14ac:dyDescent="0.2">
      <c r="A196" s="80">
        <f>$A$50</f>
        <v>4</v>
      </c>
      <c r="B196" s="85">
        <f>$B$50</f>
        <v>0.39999999999999997</v>
      </c>
      <c r="C196" s="69">
        <f t="shared" si="108"/>
        <v>0.40000032115983641</v>
      </c>
      <c r="D196" s="69">
        <f t="shared" si="109"/>
        <v>0.40002215267701213</v>
      </c>
      <c r="E196" s="69">
        <f t="shared" si="110"/>
        <v>0.40002791496807255</v>
      </c>
      <c r="F196" s="69">
        <f t="shared" si="111"/>
        <v>0.42570900649841065</v>
      </c>
      <c r="G196" s="69">
        <f t="shared" si="112"/>
        <v>0.44464081779632125</v>
      </c>
      <c r="H196" s="69">
        <f t="shared" si="113"/>
        <v>0.52911100549266288</v>
      </c>
      <c r="I196" s="69">
        <f t="shared" si="114"/>
        <v>0.54489196060623213</v>
      </c>
      <c r="J196" s="69">
        <f t="shared" si="115"/>
        <v>0.54489196060623213</v>
      </c>
      <c r="K196" s="69">
        <f t="shared" si="116"/>
        <v>0.54489196060623213</v>
      </c>
      <c r="L196" s="69">
        <f t="shared" si="117"/>
        <v>0.54489196060623213</v>
      </c>
      <c r="M196" s="69">
        <f t="shared" si="118"/>
        <v>0.54489196060623213</v>
      </c>
      <c r="N196" s="69">
        <f t="shared" si="119"/>
        <v>0.54489196060623213</v>
      </c>
      <c r="O196" s="69">
        <f t="shared" si="120"/>
        <v>0.54489196060623213</v>
      </c>
      <c r="P196" s="69">
        <f t="shared" si="121"/>
        <v>0.54489196060623213</v>
      </c>
      <c r="Q196" s="69">
        <f t="shared" si="122"/>
        <v>0.5402675360407897</v>
      </c>
      <c r="R196" s="69">
        <f t="shared" si="123"/>
        <v>0.44793159676206967</v>
      </c>
      <c r="S196" s="69">
        <f t="shared" si="124"/>
        <v>0.44191309630716097</v>
      </c>
      <c r="T196" s="69">
        <f t="shared" si="125"/>
        <v>0.4037808689172192</v>
      </c>
      <c r="U196" s="69">
        <f t="shared" si="126"/>
        <v>0.40014256226194916</v>
      </c>
      <c r="V196" s="69">
        <f t="shared" si="127"/>
        <v>0.40002805039939271</v>
      </c>
      <c r="W196" s="69">
        <f t="shared" si="128"/>
        <v>0</v>
      </c>
    </row>
    <row r="197" spans="1:23" x14ac:dyDescent="0.2">
      <c r="A197" s="80">
        <f>$A$51</f>
        <v>5</v>
      </c>
      <c r="B197" s="85">
        <f>$B$51</f>
        <v>0.5</v>
      </c>
      <c r="C197" s="69">
        <f t="shared" si="108"/>
        <v>0.50000226415925009</v>
      </c>
      <c r="D197" s="69">
        <f t="shared" si="109"/>
        <v>0.50015609275957607</v>
      </c>
      <c r="E197" s="69">
        <f t="shared" si="110"/>
        <v>0.50108260854049747</v>
      </c>
      <c r="F197" s="69">
        <f t="shared" si="111"/>
        <v>0.56514461933419402</v>
      </c>
      <c r="G197" s="69">
        <f t="shared" si="112"/>
        <v>0.65461267074103691</v>
      </c>
      <c r="H197" s="69">
        <f t="shared" si="113"/>
        <v>0.79018813776498886</v>
      </c>
      <c r="I197" s="69">
        <f t="shared" si="114"/>
        <v>0.91169045389236381</v>
      </c>
      <c r="J197" s="69">
        <f t="shared" si="115"/>
        <v>0.91169045389236381</v>
      </c>
      <c r="K197" s="69">
        <f t="shared" si="116"/>
        <v>0.91169045389236381</v>
      </c>
      <c r="L197" s="69">
        <f t="shared" si="117"/>
        <v>0.91169045389236381</v>
      </c>
      <c r="M197" s="69">
        <f t="shared" si="118"/>
        <v>0.91169045389236381</v>
      </c>
      <c r="N197" s="69">
        <f t="shared" si="119"/>
        <v>0.91169045389236381</v>
      </c>
      <c r="O197" s="69">
        <f t="shared" si="120"/>
        <v>0.91169045389236381</v>
      </c>
      <c r="P197" s="69">
        <f t="shared" si="121"/>
        <v>0.91169045389236381</v>
      </c>
      <c r="Q197" s="69">
        <f t="shared" si="122"/>
        <v>0.87949650406519875</v>
      </c>
      <c r="R197" s="69">
        <f t="shared" si="123"/>
        <v>0.7096374584165468</v>
      </c>
      <c r="S197" s="69">
        <f t="shared" si="124"/>
        <v>0.60714016959169537</v>
      </c>
      <c r="T197" s="69">
        <f t="shared" si="125"/>
        <v>0.52885076157659927</v>
      </c>
      <c r="U197" s="69">
        <f t="shared" si="126"/>
        <v>0.50278401536426964</v>
      </c>
      <c r="V197" s="69">
        <f t="shared" si="127"/>
        <v>0.50019762130276224</v>
      </c>
      <c r="W197" s="69">
        <f t="shared" si="128"/>
        <v>0</v>
      </c>
    </row>
    <row r="198" spans="1:23" x14ac:dyDescent="0.2">
      <c r="A198" s="80">
        <f>$A$52</f>
        <v>6</v>
      </c>
      <c r="B198" s="85">
        <f>$B$52</f>
        <v>0.6</v>
      </c>
      <c r="C198" s="69">
        <f t="shared" si="108"/>
        <v>0.60000420715866376</v>
      </c>
      <c r="D198" s="69">
        <f t="shared" si="109"/>
        <v>0.60029003284214</v>
      </c>
      <c r="E198" s="69">
        <f t="shared" si="110"/>
        <v>0.6154214676524401</v>
      </c>
      <c r="F198" s="69">
        <f t="shared" si="111"/>
        <v>0.74778242097659919</v>
      </c>
      <c r="G198" s="69">
        <f t="shared" si="112"/>
        <v>0.92886422851960648</v>
      </c>
      <c r="H198" s="69">
        <f t="shared" si="113"/>
        <v>1.1243360335020616</v>
      </c>
      <c r="I198" s="69">
        <f t="shared" si="114"/>
        <v>1.3308888161109385</v>
      </c>
      <c r="J198" s="69">
        <f t="shared" si="115"/>
        <v>1.3308888161109385</v>
      </c>
      <c r="K198" s="69">
        <f t="shared" si="116"/>
        <v>1.3308888161109385</v>
      </c>
      <c r="L198" s="69">
        <f t="shared" si="117"/>
        <v>1.3308888161109385</v>
      </c>
      <c r="M198" s="69">
        <f t="shared" si="118"/>
        <v>1.3308888161109385</v>
      </c>
      <c r="N198" s="69">
        <f t="shared" si="119"/>
        <v>1.3308888161109385</v>
      </c>
      <c r="O198" s="69">
        <f t="shared" si="120"/>
        <v>1.3308888161109385</v>
      </c>
      <c r="P198" s="69">
        <f t="shared" si="121"/>
        <v>1.3308888161109385</v>
      </c>
      <c r="Q198" s="69">
        <f t="shared" si="122"/>
        <v>1.268417656248233</v>
      </c>
      <c r="R198" s="69">
        <f t="shared" si="123"/>
        <v>1.0336101246452014</v>
      </c>
      <c r="S198" s="69">
        <f t="shared" si="124"/>
        <v>0.82049706125809374</v>
      </c>
      <c r="T198" s="69">
        <f t="shared" si="125"/>
        <v>0.68883796752167803</v>
      </c>
      <c r="U198" s="69">
        <f t="shared" si="126"/>
        <v>0.61782109947288866</v>
      </c>
      <c r="V198" s="69">
        <f t="shared" si="127"/>
        <v>0.60036719220613166</v>
      </c>
      <c r="W198" s="69">
        <f t="shared" si="128"/>
        <v>0</v>
      </c>
    </row>
    <row r="199" spans="1:23" x14ac:dyDescent="0.2">
      <c r="A199" s="80">
        <f>$A$53</f>
        <v>7</v>
      </c>
      <c r="B199" s="85">
        <f>$B$53</f>
        <v>0.70000000000000007</v>
      </c>
      <c r="C199" s="69">
        <f t="shared" si="108"/>
        <v>0.70003119701842897</v>
      </c>
      <c r="D199" s="69">
        <f t="shared" si="109"/>
        <v>0.70213502983082887</v>
      </c>
      <c r="E199" s="69">
        <f t="shared" si="110"/>
        <v>0.77323553937722511</v>
      </c>
      <c r="F199" s="69">
        <f t="shared" si="111"/>
        <v>0.99252775025199691</v>
      </c>
      <c r="G199" s="69">
        <f t="shared" si="112"/>
        <v>1.2203223626308815</v>
      </c>
      <c r="H199" s="69">
        <f t="shared" si="113"/>
        <v>1.45783391885391</v>
      </c>
      <c r="I199" s="69">
        <f t="shared" si="114"/>
        <v>1.6280767863544252</v>
      </c>
      <c r="J199" s="69">
        <f t="shared" si="115"/>
        <v>1.6280767863544252</v>
      </c>
      <c r="K199" s="69">
        <f t="shared" si="116"/>
        <v>1.6280767863544252</v>
      </c>
      <c r="L199" s="69">
        <f t="shared" si="117"/>
        <v>1.6280767863544252</v>
      </c>
      <c r="M199" s="69">
        <f t="shared" si="118"/>
        <v>1.6280767863544252</v>
      </c>
      <c r="N199" s="69">
        <f t="shared" si="119"/>
        <v>1.6280767863544252</v>
      </c>
      <c r="O199" s="69">
        <f t="shared" si="120"/>
        <v>1.6280767863544252</v>
      </c>
      <c r="P199" s="69">
        <f t="shared" si="121"/>
        <v>1.6280767863544252</v>
      </c>
      <c r="Q199" s="69">
        <f t="shared" si="122"/>
        <v>1.5542882443508887</v>
      </c>
      <c r="R199" s="69">
        <f t="shared" si="123"/>
        <v>1.3257384828750167</v>
      </c>
      <c r="S199" s="69">
        <f t="shared" si="124"/>
        <v>1.0822640407628163</v>
      </c>
      <c r="T199" s="69">
        <f t="shared" si="125"/>
        <v>0.881501907482652</v>
      </c>
      <c r="U199" s="69">
        <f t="shared" si="126"/>
        <v>0.75821322792511903</v>
      </c>
      <c r="V199" s="69">
        <f t="shared" si="127"/>
        <v>0.70646991424776151</v>
      </c>
      <c r="W199" s="69">
        <f t="shared" si="128"/>
        <v>0</v>
      </c>
    </row>
    <row r="200" spans="1:23" x14ac:dyDescent="0.2">
      <c r="A200" s="80">
        <f>$A$54</f>
        <v>8</v>
      </c>
      <c r="B200" s="85">
        <f>$B$54</f>
        <v>0.79999999999999993</v>
      </c>
      <c r="C200" s="69">
        <f t="shared" si="108"/>
        <v>0.80005818687819397</v>
      </c>
      <c r="D200" s="69">
        <f t="shared" si="109"/>
        <v>0.80398002681951763</v>
      </c>
      <c r="E200" s="69">
        <f t="shared" si="110"/>
        <v>0.98609987477000927</v>
      </c>
      <c r="F200" s="69">
        <f t="shared" si="111"/>
        <v>1.2679400354378363</v>
      </c>
      <c r="G200" s="69">
        <f t="shared" si="112"/>
        <v>1.4953784349670114</v>
      </c>
      <c r="H200" s="69">
        <f t="shared" si="113"/>
        <v>1.7381270800869921</v>
      </c>
      <c r="I200" s="69">
        <f t="shared" si="114"/>
        <v>1.8341132350449798</v>
      </c>
      <c r="J200" s="69">
        <f t="shared" si="115"/>
        <v>1.8341132350449798</v>
      </c>
      <c r="K200" s="69">
        <f t="shared" si="116"/>
        <v>1.8341132350449798</v>
      </c>
      <c r="L200" s="69">
        <f t="shared" si="117"/>
        <v>1.8341132350449798</v>
      </c>
      <c r="M200" s="69">
        <f t="shared" si="118"/>
        <v>1.8341132350449798</v>
      </c>
      <c r="N200" s="69">
        <f t="shared" si="119"/>
        <v>1.8341132350449798</v>
      </c>
      <c r="O200" s="69">
        <f t="shared" si="120"/>
        <v>1.8341132350449798</v>
      </c>
      <c r="P200" s="69">
        <f t="shared" si="121"/>
        <v>1.8341132350449798</v>
      </c>
      <c r="Q200" s="69">
        <f t="shared" si="122"/>
        <v>1.762118305149597</v>
      </c>
      <c r="R200" s="69">
        <f t="shared" si="123"/>
        <v>1.563328676782163</v>
      </c>
      <c r="S200" s="69">
        <f t="shared" si="124"/>
        <v>1.3313094794891078</v>
      </c>
      <c r="T200" s="69">
        <f t="shared" si="125"/>
        <v>1.0747137380239975</v>
      </c>
      <c r="U200" s="69">
        <f t="shared" si="126"/>
        <v>0.91554331332666139</v>
      </c>
      <c r="V200" s="69">
        <f t="shared" si="127"/>
        <v>0.83119128872195602</v>
      </c>
      <c r="W200" s="69">
        <f t="shared" si="128"/>
        <v>0</v>
      </c>
    </row>
    <row r="201" spans="1:23" x14ac:dyDescent="0.2">
      <c r="A201" s="80">
        <f>$A$55</f>
        <v>9</v>
      </c>
      <c r="B201" s="85">
        <f>$B$55</f>
        <v>0.89999999999999991</v>
      </c>
      <c r="C201" s="69">
        <f t="shared" si="108"/>
        <v>0.90043338478892165</v>
      </c>
      <c r="D201" s="69">
        <f t="shared" si="109"/>
        <v>0.95228115336725283</v>
      </c>
      <c r="E201" s="69">
        <f t="shared" si="110"/>
        <v>1.2468747924415911</v>
      </c>
      <c r="F201" s="69">
        <f t="shared" si="111"/>
        <v>1.5330659300231706</v>
      </c>
      <c r="G201" s="69">
        <f t="shared" si="112"/>
        <v>1.730509025218586</v>
      </c>
      <c r="H201" s="69">
        <f t="shared" si="113"/>
        <v>1.9374948139252006</v>
      </c>
      <c r="I201" s="69">
        <f t="shared" si="114"/>
        <v>2.0114172218273323</v>
      </c>
      <c r="J201" s="69">
        <f t="shared" si="115"/>
        <v>2.0114172218273323</v>
      </c>
      <c r="K201" s="69">
        <f t="shared" si="116"/>
        <v>2.0114172218273323</v>
      </c>
      <c r="L201" s="69">
        <f t="shared" si="117"/>
        <v>2.0114172218273323</v>
      </c>
      <c r="M201" s="69">
        <f t="shared" si="118"/>
        <v>2.0114172218273323</v>
      </c>
      <c r="N201" s="69">
        <f t="shared" si="119"/>
        <v>2.0114172218273323</v>
      </c>
      <c r="O201" s="69">
        <f t="shared" si="120"/>
        <v>2.0114172218273323</v>
      </c>
      <c r="P201" s="69">
        <f t="shared" si="121"/>
        <v>2.0114172218273323</v>
      </c>
      <c r="Q201" s="69">
        <f t="shared" si="122"/>
        <v>1.9441525669930775</v>
      </c>
      <c r="R201" s="69">
        <f t="shared" si="123"/>
        <v>1.7479849928820643</v>
      </c>
      <c r="S201" s="69">
        <f t="shared" si="124"/>
        <v>1.5143571732195236</v>
      </c>
      <c r="T201" s="69">
        <f t="shared" si="125"/>
        <v>1.2386584802287546</v>
      </c>
      <c r="U201" s="69">
        <f t="shared" si="126"/>
        <v>1.0728710140839011</v>
      </c>
      <c r="V201" s="69">
        <f t="shared" si="127"/>
        <v>0.97816914031116053</v>
      </c>
      <c r="W201" s="69">
        <f t="shared" si="128"/>
        <v>0</v>
      </c>
    </row>
    <row r="202" spans="1:23" x14ac:dyDescent="0.2">
      <c r="A202" s="80">
        <f>$A$56</f>
        <v>10</v>
      </c>
      <c r="B202" s="85">
        <f>$B$56</f>
        <v>1</v>
      </c>
      <c r="C202" s="69">
        <f t="shared" si="108"/>
        <v>1.0008085826996496</v>
      </c>
      <c r="D202" s="69">
        <f t="shared" si="109"/>
        <v>1.1674208203851903</v>
      </c>
      <c r="E202" s="69">
        <f t="shared" si="110"/>
        <v>1.5246593852094843</v>
      </c>
      <c r="F202" s="69">
        <f t="shared" si="111"/>
        <v>1.7696911129842285</v>
      </c>
      <c r="G202" s="69">
        <f t="shared" si="112"/>
        <v>1.9253264602164391</v>
      </c>
      <c r="H202" s="69">
        <f t="shared" si="113"/>
        <v>2.0918068866699686</v>
      </c>
      <c r="I202" s="69">
        <f t="shared" si="114"/>
        <v>2.1703945774862685</v>
      </c>
      <c r="J202" s="69">
        <f t="shared" si="115"/>
        <v>2.1703945774862685</v>
      </c>
      <c r="K202" s="69">
        <f t="shared" si="116"/>
        <v>2.1703945774862685</v>
      </c>
      <c r="L202" s="69">
        <f t="shared" si="117"/>
        <v>2.1703945774862685</v>
      </c>
      <c r="M202" s="69">
        <f t="shared" si="118"/>
        <v>2.1703945774862685</v>
      </c>
      <c r="N202" s="69">
        <f t="shared" si="119"/>
        <v>2.1703945774862685</v>
      </c>
      <c r="O202" s="69">
        <f t="shared" si="120"/>
        <v>2.1703945774862685</v>
      </c>
      <c r="P202" s="69">
        <f t="shared" si="121"/>
        <v>2.1703945774862685</v>
      </c>
      <c r="Q202" s="69">
        <f t="shared" si="122"/>
        <v>2.1064999591899811</v>
      </c>
      <c r="R202" s="69">
        <f t="shared" si="123"/>
        <v>1.9002051241741564</v>
      </c>
      <c r="S202" s="69">
        <f t="shared" si="124"/>
        <v>1.6605796577757457</v>
      </c>
      <c r="T202" s="69">
        <f t="shared" si="125"/>
        <v>1.3801400315245258</v>
      </c>
      <c r="U202" s="69">
        <f t="shared" si="126"/>
        <v>1.2204562498388742</v>
      </c>
      <c r="V202" s="69">
        <f t="shared" si="127"/>
        <v>1.1076714412591158</v>
      </c>
      <c r="W202" s="69">
        <f t="shared" si="128"/>
        <v>0</v>
      </c>
    </row>
    <row r="203" spans="1:23" x14ac:dyDescent="0.2">
      <c r="A203" s="80">
        <f>$A$57</f>
        <v>11</v>
      </c>
      <c r="B203" s="85">
        <f>$B$57</f>
        <v>1.0999999999999999</v>
      </c>
      <c r="C203" s="69">
        <f t="shared" si="108"/>
        <v>1.1048205168269825</v>
      </c>
      <c r="D203" s="69">
        <f t="shared" si="109"/>
        <v>1.4308802357109969</v>
      </c>
      <c r="E203" s="69">
        <f t="shared" si="110"/>
        <v>1.7854032944161105</v>
      </c>
      <c r="F203" s="69">
        <f t="shared" si="111"/>
        <v>1.9696791329131755</v>
      </c>
      <c r="G203" s="69">
        <f t="shared" si="112"/>
        <v>2.0873720964725822</v>
      </c>
      <c r="H203" s="69">
        <f t="shared" si="113"/>
        <v>2.236408608083555</v>
      </c>
      <c r="I203" s="69">
        <f t="shared" si="114"/>
        <v>2.3114561368800337</v>
      </c>
      <c r="J203" s="69">
        <f t="shared" si="115"/>
        <v>2.3114561368800337</v>
      </c>
      <c r="K203" s="69">
        <f t="shared" si="116"/>
        <v>2.3114561368800337</v>
      </c>
      <c r="L203" s="69">
        <f t="shared" si="117"/>
        <v>2.3114561368800337</v>
      </c>
      <c r="M203" s="69">
        <f t="shared" si="118"/>
        <v>2.3114561368800337</v>
      </c>
      <c r="N203" s="69">
        <f t="shared" si="119"/>
        <v>2.3114561368800337</v>
      </c>
      <c r="O203" s="69">
        <f t="shared" si="120"/>
        <v>2.3114561368800337</v>
      </c>
      <c r="P203" s="69">
        <f t="shared" si="121"/>
        <v>2.3114561368800337</v>
      </c>
      <c r="Q203" s="69">
        <f t="shared" si="122"/>
        <v>2.2479306915560717</v>
      </c>
      <c r="R203" s="69">
        <f t="shared" si="123"/>
        <v>2.0387091602242444</v>
      </c>
      <c r="S203" s="69">
        <f t="shared" si="124"/>
        <v>1.8018697318288015</v>
      </c>
      <c r="T203" s="69">
        <f t="shared" si="125"/>
        <v>1.5110032366234185</v>
      </c>
      <c r="U203" s="69">
        <f t="shared" si="126"/>
        <v>1.3512993417928705</v>
      </c>
      <c r="V203" s="69">
        <f t="shared" si="127"/>
        <v>1.2079467376655268</v>
      </c>
      <c r="W203" s="69">
        <f t="shared" si="128"/>
        <v>0</v>
      </c>
    </row>
    <row r="204" spans="1:23" x14ac:dyDescent="0.2">
      <c r="A204" s="80">
        <f>$A$58</f>
        <v>12</v>
      </c>
      <c r="B204" s="85">
        <f>$B$58</f>
        <v>1.2</v>
      </c>
      <c r="C204" s="69">
        <f t="shared" si="108"/>
        <v>1.2207300952420979</v>
      </c>
      <c r="D204" s="69">
        <f t="shared" si="109"/>
        <v>1.7059573623765472</v>
      </c>
      <c r="E204" s="69">
        <f t="shared" si="110"/>
        <v>2.0082897415043632</v>
      </c>
      <c r="F204" s="69">
        <f t="shared" si="111"/>
        <v>2.139138965428284</v>
      </c>
      <c r="G204" s="69">
        <f t="shared" si="112"/>
        <v>2.2305650070552936</v>
      </c>
      <c r="H204" s="69">
        <f t="shared" si="113"/>
        <v>2.374719615738631</v>
      </c>
      <c r="I204" s="69">
        <f t="shared" si="114"/>
        <v>2.4398375077839711</v>
      </c>
      <c r="J204" s="69">
        <f t="shared" si="115"/>
        <v>2.4398375077839711</v>
      </c>
      <c r="K204" s="69">
        <f t="shared" si="116"/>
        <v>2.4398375077839711</v>
      </c>
      <c r="L204" s="69">
        <f t="shared" si="117"/>
        <v>2.4398375077839711</v>
      </c>
      <c r="M204" s="69">
        <f t="shared" si="118"/>
        <v>2.4398375077839711</v>
      </c>
      <c r="N204" s="69">
        <f t="shared" si="119"/>
        <v>2.4398375077839711</v>
      </c>
      <c r="O204" s="69">
        <f t="shared" si="120"/>
        <v>2.4398375077839711</v>
      </c>
      <c r="P204" s="69">
        <f t="shared" si="121"/>
        <v>2.4398375077839711</v>
      </c>
      <c r="Q204" s="69">
        <f t="shared" si="122"/>
        <v>2.3759848936361849</v>
      </c>
      <c r="R204" s="69">
        <f t="shared" si="123"/>
        <v>2.1694172596486458</v>
      </c>
      <c r="S204" s="69">
        <f t="shared" si="124"/>
        <v>1.9365303015240314</v>
      </c>
      <c r="T204" s="69">
        <f t="shared" si="125"/>
        <v>1.6363576596507499</v>
      </c>
      <c r="U204" s="69">
        <f t="shared" si="126"/>
        <v>1.461213954456505</v>
      </c>
      <c r="V204" s="69">
        <f t="shared" si="127"/>
        <v>1.3116392978643332</v>
      </c>
      <c r="W204" s="69">
        <f t="shared" si="128"/>
        <v>0</v>
      </c>
    </row>
    <row r="205" spans="1:23" x14ac:dyDescent="0.2">
      <c r="A205" s="80">
        <f>$A$59</f>
        <v>13</v>
      </c>
      <c r="B205" s="85">
        <f>$B$59</f>
        <v>1.3</v>
      </c>
      <c r="C205" s="69">
        <f t="shared" si="108"/>
        <v>1.4745271896221936</v>
      </c>
      <c r="D205" s="69">
        <f t="shared" si="109"/>
        <v>1.9572263226984918</v>
      </c>
      <c r="E205" s="69">
        <f t="shared" si="110"/>
        <v>2.1852017949433042</v>
      </c>
      <c r="F205" s="69">
        <f t="shared" si="111"/>
        <v>2.2872022237687428</v>
      </c>
      <c r="G205" s="69">
        <f t="shared" si="112"/>
        <v>2.3657077860305709</v>
      </c>
      <c r="H205" s="69">
        <f t="shared" si="113"/>
        <v>2.5041857087984494</v>
      </c>
      <c r="I205" s="69">
        <f t="shared" si="114"/>
        <v>2.5608376484853799</v>
      </c>
      <c r="J205" s="69">
        <f t="shared" si="115"/>
        <v>2.5608376484853799</v>
      </c>
      <c r="K205" s="69">
        <f t="shared" si="116"/>
        <v>2.5608376484853799</v>
      </c>
      <c r="L205" s="69">
        <f t="shared" si="117"/>
        <v>2.5608376484853799</v>
      </c>
      <c r="M205" s="69">
        <f t="shared" si="118"/>
        <v>2.5608376484853799</v>
      </c>
      <c r="N205" s="69">
        <f t="shared" si="119"/>
        <v>2.5608376484853799</v>
      </c>
      <c r="O205" s="69">
        <f t="shared" si="120"/>
        <v>2.5608376484853799</v>
      </c>
      <c r="P205" s="69">
        <f t="shared" si="121"/>
        <v>2.5608376484853799</v>
      </c>
      <c r="Q205" s="69">
        <f t="shared" si="122"/>
        <v>2.4975309890730029</v>
      </c>
      <c r="R205" s="69">
        <f t="shared" si="123"/>
        <v>2.2945345225241316</v>
      </c>
      <c r="S205" s="69">
        <f t="shared" si="124"/>
        <v>2.0592733516750035</v>
      </c>
      <c r="T205" s="69">
        <f t="shared" si="125"/>
        <v>1.7583899769166704</v>
      </c>
      <c r="U205" s="69">
        <f t="shared" si="126"/>
        <v>1.5612142102480544</v>
      </c>
      <c r="V205" s="69">
        <f t="shared" si="127"/>
        <v>1.4125687823431781</v>
      </c>
      <c r="W205" s="69">
        <f t="shared" si="128"/>
        <v>0</v>
      </c>
    </row>
    <row r="206" spans="1:23" x14ac:dyDescent="0.2">
      <c r="A206" s="80">
        <f>$A$60</f>
        <v>14</v>
      </c>
      <c r="B206" s="85">
        <f>$B$60</f>
        <v>1.4000000000000001</v>
      </c>
      <c r="C206" s="69">
        <f t="shared" si="108"/>
        <v>1.7971505424813439</v>
      </c>
      <c r="D206" s="69">
        <f t="shared" si="109"/>
        <v>2.1714818914274159</v>
      </c>
      <c r="E206" s="69">
        <f t="shared" si="110"/>
        <v>2.3368927951165244</v>
      </c>
      <c r="F206" s="69">
        <f t="shared" si="111"/>
        <v>2.4222808289609872</v>
      </c>
      <c r="G206" s="69">
        <f t="shared" si="112"/>
        <v>2.4932073863182036</v>
      </c>
      <c r="H206" s="69">
        <f t="shared" si="113"/>
        <v>2.6249872947073771</v>
      </c>
      <c r="I206" s="69">
        <f t="shared" si="114"/>
        <v>2.6784322865035279</v>
      </c>
      <c r="J206" s="69">
        <f t="shared" si="115"/>
        <v>2.6784322865035279</v>
      </c>
      <c r="K206" s="69">
        <f t="shared" si="116"/>
        <v>2.6784322865035279</v>
      </c>
      <c r="L206" s="69">
        <f t="shared" si="117"/>
        <v>2.6784322865035279</v>
      </c>
      <c r="M206" s="69">
        <f t="shared" si="118"/>
        <v>2.6784322865035279</v>
      </c>
      <c r="N206" s="69">
        <f t="shared" si="119"/>
        <v>2.6784322865035279</v>
      </c>
      <c r="O206" s="69">
        <f t="shared" si="120"/>
        <v>2.6784322865035279</v>
      </c>
      <c r="P206" s="69">
        <f t="shared" si="121"/>
        <v>2.6784322865035279</v>
      </c>
      <c r="Q206" s="69">
        <f t="shared" si="122"/>
        <v>2.6146207233352343</v>
      </c>
      <c r="R206" s="69">
        <f t="shared" si="123"/>
        <v>2.4136968165069068</v>
      </c>
      <c r="S206" s="69">
        <f t="shared" si="124"/>
        <v>2.1752923185700199</v>
      </c>
      <c r="T206" s="69">
        <f t="shared" si="125"/>
        <v>1.8750388547845926</v>
      </c>
      <c r="U206" s="69">
        <f t="shared" si="126"/>
        <v>1.6631504838284894</v>
      </c>
      <c r="V206" s="69">
        <f t="shared" si="127"/>
        <v>1.5127691763653623</v>
      </c>
      <c r="W206" s="69">
        <f t="shared" si="128"/>
        <v>0</v>
      </c>
    </row>
    <row r="207" spans="1:23" x14ac:dyDescent="0.2">
      <c r="A207" s="80">
        <f>$A$61</f>
        <v>15</v>
      </c>
      <c r="B207" s="85">
        <f>$B$61</f>
        <v>1.5</v>
      </c>
      <c r="C207" s="69">
        <f t="shared" si="108"/>
        <v>2.0733124452031784</v>
      </c>
      <c r="D207" s="69">
        <f t="shared" si="109"/>
        <v>2.3469678964367926</v>
      </c>
      <c r="E207" s="69">
        <f t="shared" si="110"/>
        <v>2.4822136504065662</v>
      </c>
      <c r="F207" s="69">
        <f t="shared" si="111"/>
        <v>2.5503706573465945</v>
      </c>
      <c r="G207" s="69">
        <f t="shared" si="112"/>
        <v>2.6125432378492408</v>
      </c>
      <c r="H207" s="69">
        <f t="shared" si="113"/>
        <v>2.738701548347001</v>
      </c>
      <c r="I207" s="69">
        <f t="shared" si="114"/>
        <v>2.7946717887422805</v>
      </c>
      <c r="J207" s="69">
        <f t="shared" si="115"/>
        <v>2.7946717887422805</v>
      </c>
      <c r="K207" s="69">
        <f t="shared" si="116"/>
        <v>2.7946717887422805</v>
      </c>
      <c r="L207" s="69">
        <f t="shared" si="117"/>
        <v>2.7946717887422805</v>
      </c>
      <c r="M207" s="69">
        <f t="shared" si="118"/>
        <v>2.7946717887422805</v>
      </c>
      <c r="N207" s="69">
        <f t="shared" si="119"/>
        <v>2.7946717887422805</v>
      </c>
      <c r="O207" s="69">
        <f t="shared" si="120"/>
        <v>2.7946717887422805</v>
      </c>
      <c r="P207" s="69">
        <f t="shared" si="121"/>
        <v>2.7946717887422805</v>
      </c>
      <c r="Q207" s="69">
        <f t="shared" si="122"/>
        <v>2.7280920810337888</v>
      </c>
      <c r="R207" s="69">
        <f t="shared" si="123"/>
        <v>2.5270563597240798</v>
      </c>
      <c r="S207" s="69">
        <f t="shared" si="124"/>
        <v>2.2890534290325415</v>
      </c>
      <c r="T207" s="69">
        <f t="shared" si="125"/>
        <v>1.9850369312178076</v>
      </c>
      <c r="U207" s="69">
        <f t="shared" si="126"/>
        <v>1.7637509187986036</v>
      </c>
      <c r="V207" s="69">
        <f t="shared" si="127"/>
        <v>1.6137459620807135</v>
      </c>
      <c r="W207" s="69">
        <f t="shared" si="128"/>
        <v>0</v>
      </c>
    </row>
    <row r="208" spans="1:23" x14ac:dyDescent="0.2">
      <c r="A208" s="80">
        <f>$A$62</f>
        <v>16</v>
      </c>
      <c r="B208" s="85">
        <f>$B$62</f>
        <v>1.5999999999999999</v>
      </c>
      <c r="C208" s="69">
        <f t="shared" si="108"/>
        <v>2.2858824538158142</v>
      </c>
      <c r="D208" s="69">
        <f t="shared" si="109"/>
        <v>2.4999655320988436</v>
      </c>
      <c r="E208" s="69">
        <f t="shared" si="110"/>
        <v>2.6198402966107976</v>
      </c>
      <c r="F208" s="69">
        <f t="shared" si="111"/>
        <v>2.672411121833878</v>
      </c>
      <c r="G208" s="69">
        <f t="shared" si="112"/>
        <v>2.7266109858897729</v>
      </c>
      <c r="H208" s="69">
        <f t="shared" si="113"/>
        <v>2.8487166195732598</v>
      </c>
      <c r="I208" s="69">
        <f t="shared" si="114"/>
        <v>2.9068085590110511</v>
      </c>
      <c r="J208" s="69">
        <f t="shared" si="115"/>
        <v>2.9068085590110511</v>
      </c>
      <c r="K208" s="69">
        <f t="shared" si="116"/>
        <v>2.9068085590110511</v>
      </c>
      <c r="L208" s="69">
        <f t="shared" si="117"/>
        <v>2.9068085590110511</v>
      </c>
      <c r="M208" s="69">
        <f t="shared" si="118"/>
        <v>2.9068085590110511</v>
      </c>
      <c r="N208" s="69">
        <f t="shared" si="119"/>
        <v>2.9068085590110511</v>
      </c>
      <c r="O208" s="69">
        <f t="shared" si="120"/>
        <v>2.9068085590110511</v>
      </c>
      <c r="P208" s="69">
        <f t="shared" si="121"/>
        <v>2.9068085590110511</v>
      </c>
      <c r="Q208" s="69">
        <f t="shared" si="122"/>
        <v>2.8383216001676241</v>
      </c>
      <c r="R208" s="69">
        <f t="shared" si="123"/>
        <v>2.637385796841615</v>
      </c>
      <c r="S208" s="69">
        <f t="shared" si="124"/>
        <v>2.3990275369455869</v>
      </c>
      <c r="T208" s="69">
        <f t="shared" si="125"/>
        <v>2.0907166100099337</v>
      </c>
      <c r="U208" s="69">
        <f t="shared" si="126"/>
        <v>1.8637556704298923</v>
      </c>
      <c r="V208" s="69">
        <f t="shared" si="127"/>
        <v>1.7150161183282788</v>
      </c>
      <c r="W208" s="69">
        <f t="shared" si="128"/>
        <v>0</v>
      </c>
    </row>
    <row r="209" spans="1:23" x14ac:dyDescent="0.2">
      <c r="A209" s="80">
        <f>$A$63</f>
        <v>17</v>
      </c>
      <c r="B209" s="85">
        <f>$B$63</f>
        <v>1.7</v>
      </c>
      <c r="C209" s="69">
        <f t="shared" si="108"/>
        <v>2.4470769241986776</v>
      </c>
      <c r="D209" s="69">
        <f t="shared" si="109"/>
        <v>2.6441809059356718</v>
      </c>
      <c r="E209" s="69">
        <f t="shared" si="110"/>
        <v>2.7462285006788552</v>
      </c>
      <c r="F209" s="69">
        <f t="shared" si="111"/>
        <v>2.7887142752753058</v>
      </c>
      <c r="G209" s="69">
        <f t="shared" si="112"/>
        <v>2.837796463834072</v>
      </c>
      <c r="H209" s="69">
        <f t="shared" si="113"/>
        <v>2.9573612760250407</v>
      </c>
      <c r="I209" s="69">
        <f t="shared" si="114"/>
        <v>3.0133352022057549</v>
      </c>
      <c r="J209" s="69">
        <f t="shared" si="115"/>
        <v>3.0133352022057549</v>
      </c>
      <c r="K209" s="69">
        <f t="shared" si="116"/>
        <v>3.0133352022057549</v>
      </c>
      <c r="L209" s="69">
        <f t="shared" si="117"/>
        <v>3.0133352022057549</v>
      </c>
      <c r="M209" s="69">
        <f t="shared" si="118"/>
        <v>3.0133352022057549</v>
      </c>
      <c r="N209" s="69">
        <f t="shared" si="119"/>
        <v>3.0133352022057549</v>
      </c>
      <c r="O209" s="69">
        <f t="shared" si="120"/>
        <v>3.0133352022057549</v>
      </c>
      <c r="P209" s="69">
        <f t="shared" si="121"/>
        <v>3.0133352022057549</v>
      </c>
      <c r="Q209" s="69">
        <f t="shared" si="122"/>
        <v>2.9456233211346259</v>
      </c>
      <c r="R209" s="69">
        <f t="shared" si="123"/>
        <v>2.7465368322786157</v>
      </c>
      <c r="S209" s="69">
        <f t="shared" si="124"/>
        <v>2.5043724974158819</v>
      </c>
      <c r="T209" s="69">
        <f t="shared" si="125"/>
        <v>2.1942386657595256</v>
      </c>
      <c r="U209" s="69">
        <f t="shared" si="126"/>
        <v>1.9641711914454421</v>
      </c>
      <c r="V209" s="69">
        <f t="shared" si="127"/>
        <v>1.815544094203525</v>
      </c>
      <c r="W209" s="69">
        <f t="shared" si="128"/>
        <v>0</v>
      </c>
    </row>
    <row r="210" spans="1:23" x14ac:dyDescent="0.2">
      <c r="A210" s="80">
        <f>$A$64</f>
        <v>18</v>
      </c>
      <c r="B210" s="85">
        <f>$B$64</f>
        <v>1.7999999999999998</v>
      </c>
      <c r="C210" s="69">
        <f t="shared" si="108"/>
        <v>2.5806631013951611</v>
      </c>
      <c r="D210" s="69">
        <f t="shared" si="109"/>
        <v>2.7761310365212855</v>
      </c>
      <c r="E210" s="69">
        <f t="shared" si="110"/>
        <v>2.8642638946232273</v>
      </c>
      <c r="F210" s="69">
        <f t="shared" si="111"/>
        <v>2.9007946486817899</v>
      </c>
      <c r="G210" s="69">
        <f t="shared" si="112"/>
        <v>2.9460265272109041</v>
      </c>
      <c r="H210" s="69">
        <f t="shared" si="113"/>
        <v>3.0641720237403258</v>
      </c>
      <c r="I210" s="69">
        <f t="shared" si="114"/>
        <v>3.1172586918435101</v>
      </c>
      <c r="J210" s="69">
        <f t="shared" si="115"/>
        <v>3.1172586918435101</v>
      </c>
      <c r="K210" s="69">
        <f t="shared" si="116"/>
        <v>3.1172586918435101</v>
      </c>
      <c r="L210" s="69">
        <f t="shared" si="117"/>
        <v>3.1172586918435101</v>
      </c>
      <c r="M210" s="69">
        <f t="shared" si="118"/>
        <v>3.1172586918435101</v>
      </c>
      <c r="N210" s="69">
        <f t="shared" si="119"/>
        <v>3.1172586918435101</v>
      </c>
      <c r="O210" s="69">
        <f t="shared" si="120"/>
        <v>3.1172586918435101</v>
      </c>
      <c r="P210" s="69">
        <f t="shared" si="121"/>
        <v>3.1172586918435101</v>
      </c>
      <c r="Q210" s="69">
        <f t="shared" si="122"/>
        <v>3.0503460542590162</v>
      </c>
      <c r="R210" s="69">
        <f t="shared" si="123"/>
        <v>2.8529048581586376</v>
      </c>
      <c r="S210" s="69">
        <f t="shared" si="124"/>
        <v>2.6079197149705053</v>
      </c>
      <c r="T210" s="69">
        <f t="shared" si="125"/>
        <v>2.2969006061826813</v>
      </c>
      <c r="U210" s="69">
        <f t="shared" si="126"/>
        <v>2.0647607149316918</v>
      </c>
      <c r="V210" s="69">
        <f t="shared" si="127"/>
        <v>1.9160144564695463</v>
      </c>
      <c r="W210" s="69">
        <f t="shared" si="128"/>
        <v>0</v>
      </c>
    </row>
    <row r="211" spans="1:23" x14ac:dyDescent="0.2">
      <c r="A211" s="80">
        <f>$A$65</f>
        <v>19</v>
      </c>
      <c r="B211" s="85">
        <f>$B$65</f>
        <v>1.9000000000000001</v>
      </c>
      <c r="C211" s="69">
        <f t="shared" si="108"/>
        <v>2.7049161644354807</v>
      </c>
      <c r="D211" s="69">
        <f t="shared" si="109"/>
        <v>2.8934707464424605</v>
      </c>
      <c r="E211" s="69">
        <f t="shared" si="110"/>
        <v>2.9773898851647482</v>
      </c>
      <c r="F211" s="69">
        <f t="shared" si="111"/>
        <v>3.0099147444008318</v>
      </c>
      <c r="G211" s="69">
        <f t="shared" si="112"/>
        <v>3.0513203177449566</v>
      </c>
      <c r="H211" s="69">
        <f t="shared" si="113"/>
        <v>3.1684989036614604</v>
      </c>
      <c r="I211" s="69">
        <f t="shared" si="114"/>
        <v>3.2205231993865793</v>
      </c>
      <c r="J211" s="69">
        <f t="shared" si="115"/>
        <v>3.2205231993865793</v>
      </c>
      <c r="K211" s="69">
        <f t="shared" si="116"/>
        <v>3.2205231993865793</v>
      </c>
      <c r="L211" s="69">
        <f t="shared" si="117"/>
        <v>3.2205231993865793</v>
      </c>
      <c r="M211" s="69">
        <f t="shared" si="118"/>
        <v>3.2205231993865793</v>
      </c>
      <c r="N211" s="69">
        <f t="shared" si="119"/>
        <v>3.2205231993865793</v>
      </c>
      <c r="O211" s="69">
        <f t="shared" si="120"/>
        <v>3.2205231993865793</v>
      </c>
      <c r="P211" s="69">
        <f t="shared" si="121"/>
        <v>3.2205231993865793</v>
      </c>
      <c r="Q211" s="69">
        <f t="shared" si="122"/>
        <v>3.1530134973445461</v>
      </c>
      <c r="R211" s="69">
        <f t="shared" si="123"/>
        <v>2.9557717199355777</v>
      </c>
      <c r="S211" s="69">
        <f t="shared" si="124"/>
        <v>2.7114994951442033</v>
      </c>
      <c r="T211" s="69">
        <f t="shared" si="125"/>
        <v>2.3993103477790463</v>
      </c>
      <c r="U211" s="69">
        <f t="shared" si="126"/>
        <v>2.1650034917450025</v>
      </c>
      <c r="V211" s="69">
        <f t="shared" si="127"/>
        <v>2.0171082472495891</v>
      </c>
      <c r="W211" s="69">
        <f t="shared" si="128"/>
        <v>0</v>
      </c>
    </row>
    <row r="212" spans="1:23" x14ac:dyDescent="0.2">
      <c r="A212" s="80">
        <f>$A$66</f>
        <v>20</v>
      </c>
      <c r="B212" s="85">
        <f>$B$66</f>
        <v>2</v>
      </c>
      <c r="C212" s="69">
        <f t="shared" si="108"/>
        <v>2.8248714771264036</v>
      </c>
      <c r="D212" s="69">
        <f t="shared" si="109"/>
        <v>3.0046599129275688</v>
      </c>
      <c r="E212" s="69">
        <f t="shared" si="110"/>
        <v>3.0879305089576929</v>
      </c>
      <c r="F212" s="69">
        <f t="shared" si="111"/>
        <v>3.1163091228121669</v>
      </c>
      <c r="G212" s="69">
        <f t="shared" si="112"/>
        <v>3.1549099722294955</v>
      </c>
      <c r="H212" s="69">
        <f t="shared" si="113"/>
        <v>3.2705318372471197</v>
      </c>
      <c r="I212" s="69">
        <f t="shared" si="114"/>
        <v>3.3223573383204101</v>
      </c>
      <c r="J212" s="69">
        <f t="shared" si="115"/>
        <v>3.3223573383204101</v>
      </c>
      <c r="K212" s="69">
        <f t="shared" si="116"/>
        <v>3.3223573383204101</v>
      </c>
      <c r="L212" s="69">
        <f t="shared" si="117"/>
        <v>3.3223573383204101</v>
      </c>
      <c r="M212" s="69">
        <f t="shared" si="118"/>
        <v>3.3223573383204101</v>
      </c>
      <c r="N212" s="69">
        <f t="shared" si="119"/>
        <v>3.3223573383204101</v>
      </c>
      <c r="O212" s="69">
        <f t="shared" si="120"/>
        <v>3.3223573383204101</v>
      </c>
      <c r="P212" s="69">
        <f t="shared" si="121"/>
        <v>3.3223573383204101</v>
      </c>
      <c r="Q212" s="69">
        <f t="shared" si="122"/>
        <v>3.2544064591188699</v>
      </c>
      <c r="R212" s="69">
        <f t="shared" si="123"/>
        <v>3.0570253371748763</v>
      </c>
      <c r="S212" s="69">
        <f t="shared" si="124"/>
        <v>2.8141113620309048</v>
      </c>
      <c r="T212" s="69">
        <f t="shared" si="125"/>
        <v>2.5009023788498492</v>
      </c>
      <c r="U212" s="69">
        <f t="shared" si="126"/>
        <v>2.2650493131828293</v>
      </c>
      <c r="V212" s="69">
        <f t="shared" si="127"/>
        <v>2.1182522173097347</v>
      </c>
      <c r="W212" s="69">
        <f t="shared" si="128"/>
        <v>0</v>
      </c>
    </row>
    <row r="213" spans="1:23" x14ac:dyDescent="0.2">
      <c r="A213" s="80">
        <f>$A$67</f>
        <v>21</v>
      </c>
      <c r="B213" s="85">
        <f>$B$67</f>
        <v>2.1</v>
      </c>
      <c r="C213" s="69">
        <f t="shared" si="108"/>
        <v>2.9417252552373765</v>
      </c>
      <c r="D213" s="69">
        <f t="shared" si="109"/>
        <v>3.1155964149529045</v>
      </c>
      <c r="E213" s="69">
        <f t="shared" si="110"/>
        <v>3.1970393354603486</v>
      </c>
      <c r="F213" s="69">
        <f t="shared" si="111"/>
        <v>3.2202720688601114</v>
      </c>
      <c r="G213" s="69">
        <f t="shared" si="112"/>
        <v>3.257584441676336</v>
      </c>
      <c r="H213" s="69">
        <f t="shared" si="113"/>
        <v>3.3710784823831821</v>
      </c>
      <c r="I213" s="69">
        <f t="shared" si="114"/>
        <v>3.4227072094814956</v>
      </c>
      <c r="J213" s="69">
        <f t="shared" si="115"/>
        <v>3.4227072094814956</v>
      </c>
      <c r="K213" s="69">
        <f t="shared" si="116"/>
        <v>3.4227072094814956</v>
      </c>
      <c r="L213" s="69">
        <f t="shared" si="117"/>
        <v>3.4227072094814956</v>
      </c>
      <c r="M213" s="69">
        <f t="shared" si="118"/>
        <v>3.4227072094814956</v>
      </c>
      <c r="N213" s="69">
        <f t="shared" si="119"/>
        <v>3.4227072094814956</v>
      </c>
      <c r="O213" s="69">
        <f t="shared" si="120"/>
        <v>3.4227072094814956</v>
      </c>
      <c r="P213" s="69">
        <f t="shared" si="121"/>
        <v>3.4227072094814956</v>
      </c>
      <c r="Q213" s="69">
        <f t="shared" si="122"/>
        <v>3.355105026050913</v>
      </c>
      <c r="R213" s="69">
        <f t="shared" si="123"/>
        <v>3.1577772991314612</v>
      </c>
      <c r="S213" s="69">
        <f t="shared" si="124"/>
        <v>2.9150710730022125</v>
      </c>
      <c r="T213" s="69">
        <f t="shared" si="125"/>
        <v>2.6014532524321958</v>
      </c>
      <c r="U213" s="69">
        <f t="shared" si="126"/>
        <v>2.365050488336673</v>
      </c>
      <c r="V213" s="69">
        <f t="shared" si="127"/>
        <v>2.2187902227511347</v>
      </c>
      <c r="W213" s="69">
        <f t="shared" si="128"/>
        <v>0</v>
      </c>
    </row>
    <row r="214" spans="1:23" x14ac:dyDescent="0.2">
      <c r="A214" s="80">
        <f>$A$68</f>
        <v>22</v>
      </c>
      <c r="B214" s="85">
        <f>$B$68</f>
        <v>2.1999999999999997</v>
      </c>
      <c r="C214" s="69">
        <f t="shared" si="108"/>
        <v>3.0533259197002249</v>
      </c>
      <c r="D214" s="69">
        <f t="shared" si="109"/>
        <v>3.2240466693203294</v>
      </c>
      <c r="E214" s="69">
        <f t="shared" si="110"/>
        <v>3.3034433343490486</v>
      </c>
      <c r="F214" s="69">
        <f t="shared" si="111"/>
        <v>3.3225718377141633</v>
      </c>
      <c r="G214" s="69">
        <f t="shared" si="112"/>
        <v>3.358972286140371</v>
      </c>
      <c r="H214" s="69">
        <f t="shared" si="113"/>
        <v>3.471181019283863</v>
      </c>
      <c r="I214" s="69">
        <f t="shared" si="114"/>
        <v>3.5227204544405577</v>
      </c>
      <c r="J214" s="69">
        <f t="shared" si="115"/>
        <v>3.5227204544405577</v>
      </c>
      <c r="K214" s="69">
        <f t="shared" si="116"/>
        <v>3.5227204544405577</v>
      </c>
      <c r="L214" s="69">
        <f t="shared" si="117"/>
        <v>3.5227204544405577</v>
      </c>
      <c r="M214" s="69">
        <f t="shared" si="118"/>
        <v>3.5227204544405577</v>
      </c>
      <c r="N214" s="69">
        <f t="shared" si="119"/>
        <v>3.5227204544405577</v>
      </c>
      <c r="O214" s="69">
        <f t="shared" si="120"/>
        <v>3.5227204544405577</v>
      </c>
      <c r="P214" s="69">
        <f t="shared" si="121"/>
        <v>3.5227204544405577</v>
      </c>
      <c r="Q214" s="69">
        <f t="shared" si="122"/>
        <v>3.4554373474825</v>
      </c>
      <c r="R214" s="69">
        <f t="shared" si="123"/>
        <v>3.258074349115633</v>
      </c>
      <c r="S214" s="69">
        <f t="shared" si="124"/>
        <v>3.0152577108316962</v>
      </c>
      <c r="T214" s="69">
        <f t="shared" si="125"/>
        <v>2.7015539636076906</v>
      </c>
      <c r="U214" s="69">
        <f t="shared" si="126"/>
        <v>2.4650516634905162</v>
      </c>
      <c r="V214" s="69">
        <f t="shared" si="127"/>
        <v>2.3192512055115109</v>
      </c>
      <c r="W214" s="69">
        <f t="shared" si="128"/>
        <v>0</v>
      </c>
    </row>
    <row r="215" spans="1:23" x14ac:dyDescent="0.2">
      <c r="A215" s="80">
        <f>$A$99+1</f>
        <v>23</v>
      </c>
      <c r="B215" s="85">
        <f>$B$69</f>
        <v>2.2999999999999998</v>
      </c>
      <c r="C215" s="69">
        <f t="shared" si="108"/>
        <v>3.1590876328424669</v>
      </c>
      <c r="D215" s="69">
        <f t="shared" si="109"/>
        <v>3.3281639817710933</v>
      </c>
      <c r="E215" s="69">
        <f t="shared" si="110"/>
        <v>3.406683176454691</v>
      </c>
      <c r="F215" s="69">
        <f t="shared" si="111"/>
        <v>3.4239006832363521</v>
      </c>
      <c r="G215" s="69">
        <f t="shared" si="112"/>
        <v>3.4592649322685061</v>
      </c>
      <c r="H215" s="69">
        <f t="shared" si="113"/>
        <v>3.5712190969817583</v>
      </c>
      <c r="I215" s="69">
        <f t="shared" si="114"/>
        <v>3.622720533663633</v>
      </c>
      <c r="J215" s="69">
        <f t="shared" si="115"/>
        <v>3.622720533663633</v>
      </c>
      <c r="K215" s="69">
        <f t="shared" si="116"/>
        <v>3.622720533663633</v>
      </c>
      <c r="L215" s="69">
        <f t="shared" si="117"/>
        <v>3.622720533663633</v>
      </c>
      <c r="M215" s="69">
        <f t="shared" si="118"/>
        <v>3.622720533663633</v>
      </c>
      <c r="N215" s="69">
        <f t="shared" si="119"/>
        <v>3.622720533663633</v>
      </c>
      <c r="O215" s="69">
        <f t="shared" si="120"/>
        <v>3.622720533663633</v>
      </c>
      <c r="P215" s="69">
        <f t="shared" si="121"/>
        <v>3.622720533663633</v>
      </c>
      <c r="Q215" s="69">
        <f t="shared" si="122"/>
        <v>3.5555960690536135</v>
      </c>
      <c r="R215" s="69">
        <f t="shared" si="123"/>
        <v>3.3580894483567252</v>
      </c>
      <c r="S215" s="69">
        <f t="shared" si="124"/>
        <v>3.1152649605714333</v>
      </c>
      <c r="T215" s="69">
        <f t="shared" si="125"/>
        <v>2.8015577600511157</v>
      </c>
      <c r="U215" s="69">
        <f t="shared" si="126"/>
        <v>2.5650517940638475</v>
      </c>
      <c r="V215" s="69">
        <f t="shared" si="127"/>
        <v>2.420174598760048</v>
      </c>
      <c r="W215" s="69">
        <f t="shared" si="128"/>
        <v>0</v>
      </c>
    </row>
    <row r="216" spans="1:23" ht="13.5" thickBot="1" x14ac:dyDescent="0.25">
      <c r="A216" s="82">
        <f>$A$100+1</f>
        <v>24</v>
      </c>
      <c r="B216" s="89">
        <f>$B$70</f>
        <v>2.4</v>
      </c>
      <c r="C216" s="69">
        <f t="shared" si="108"/>
        <v>3.2623045861430131</v>
      </c>
      <c r="D216" s="69">
        <f t="shared" si="109"/>
        <v>3.4303472679577625</v>
      </c>
      <c r="E216" s="69">
        <f t="shared" si="110"/>
        <v>3.5085360774601999</v>
      </c>
      <c r="F216" s="69">
        <f t="shared" si="111"/>
        <v>3.524827117947654</v>
      </c>
      <c r="G216" s="69">
        <f t="shared" si="112"/>
        <v>3.5592923993628527</v>
      </c>
      <c r="H216" s="69">
        <f t="shared" si="113"/>
        <v>3.6712441843124299</v>
      </c>
      <c r="I216" s="69">
        <f t="shared" si="114"/>
        <v>3.7227206128867083</v>
      </c>
      <c r="J216" s="69">
        <f t="shared" si="115"/>
        <v>3.7227206128867083</v>
      </c>
      <c r="K216" s="69">
        <f t="shared" si="116"/>
        <v>3.7227206128867083</v>
      </c>
      <c r="L216" s="69">
        <f t="shared" si="117"/>
        <v>3.7227206128867083</v>
      </c>
      <c r="M216" s="69">
        <f t="shared" si="118"/>
        <v>3.7227206128867083</v>
      </c>
      <c r="N216" s="69">
        <f t="shared" si="119"/>
        <v>3.7227206128867083</v>
      </c>
      <c r="O216" s="69">
        <f t="shared" si="120"/>
        <v>3.7227206128867083</v>
      </c>
      <c r="P216" s="69">
        <f t="shared" si="121"/>
        <v>3.7227206128867083</v>
      </c>
      <c r="Q216" s="69">
        <f t="shared" si="122"/>
        <v>3.6556912268609674</v>
      </c>
      <c r="R216" s="69">
        <f t="shared" si="123"/>
        <v>3.4581045475978174</v>
      </c>
      <c r="S216" s="69">
        <f t="shared" si="124"/>
        <v>3.2152722103111704</v>
      </c>
      <c r="T216" s="69">
        <f t="shared" si="125"/>
        <v>2.9015615564945407</v>
      </c>
      <c r="U216" s="69">
        <f t="shared" si="126"/>
        <v>2.6650519246371789</v>
      </c>
      <c r="V216" s="69">
        <f t="shared" si="127"/>
        <v>2.5215070814360194</v>
      </c>
      <c r="W216" s="69">
        <f t="shared" si="128"/>
        <v>0</v>
      </c>
    </row>
    <row r="217" spans="1:23" x14ac:dyDescent="0.2">
      <c r="A217" s="91"/>
      <c r="B217" s="19"/>
      <c r="C217" s="19"/>
      <c r="D217" s="19"/>
      <c r="E217" s="19"/>
      <c r="F217" s="19"/>
      <c r="G217" s="19"/>
      <c r="H217" s="19"/>
      <c r="I217" s="19"/>
      <c r="J217" s="19"/>
      <c r="K217" s="19"/>
      <c r="L217" s="19"/>
      <c r="M217" s="19"/>
      <c r="N217" s="19"/>
      <c r="O217" s="19"/>
      <c r="P217" s="19"/>
      <c r="Q217" s="19"/>
      <c r="R217" s="19"/>
      <c r="S217" s="19"/>
      <c r="T217" s="19"/>
      <c r="U217" s="19"/>
      <c r="V217" s="19"/>
    </row>
    <row r="218" spans="1:23" x14ac:dyDescent="0.2">
      <c r="A218" s="91" t="s">
        <v>16</v>
      </c>
      <c r="B218" s="19"/>
      <c r="C218" s="19"/>
      <c r="D218" s="19"/>
      <c r="E218" s="19" t="s">
        <v>8</v>
      </c>
      <c r="F218" s="19">
        <f>I5</f>
        <v>1.1499999999999999</v>
      </c>
      <c r="G218" s="19" t="s">
        <v>61</v>
      </c>
      <c r="H218" s="19"/>
      <c r="I218" s="19"/>
      <c r="J218" s="19"/>
      <c r="K218" s="19"/>
      <c r="L218" s="19"/>
      <c r="M218" s="19"/>
      <c r="N218" s="19"/>
      <c r="O218" s="19"/>
      <c r="P218" s="19"/>
      <c r="Q218" s="19"/>
      <c r="R218" s="19"/>
      <c r="S218" s="19"/>
      <c r="T218" s="19"/>
      <c r="U218" s="19"/>
      <c r="V218" s="19"/>
    </row>
    <row r="219" spans="1:23" ht="13.5" thickBot="1" x14ac:dyDescent="0.25">
      <c r="A219" s="91"/>
      <c r="B219" s="19"/>
      <c r="C219" s="19"/>
      <c r="D219" s="19"/>
      <c r="E219" s="19" t="s">
        <v>85</v>
      </c>
      <c r="F219" s="19">
        <f>D223</f>
        <v>1.6175000000000002</v>
      </c>
      <c r="G219" s="19" t="s">
        <v>61</v>
      </c>
      <c r="H219" s="19"/>
      <c r="I219" s="19"/>
      <c r="J219" s="19"/>
      <c r="K219" s="19"/>
      <c r="L219" s="19"/>
      <c r="M219" s="19"/>
      <c r="N219" s="19"/>
      <c r="O219" s="19"/>
      <c r="P219" s="19"/>
      <c r="Q219" s="19"/>
      <c r="R219" s="19"/>
      <c r="S219" s="19"/>
      <c r="T219" s="19"/>
      <c r="U219" s="19"/>
      <c r="V219" s="19"/>
    </row>
    <row r="220" spans="1:23" ht="13.5" thickBot="1" x14ac:dyDescent="0.25">
      <c r="A220" s="92" t="s">
        <v>62</v>
      </c>
      <c r="B220" s="72"/>
      <c r="C220" s="72">
        <v>1</v>
      </c>
      <c r="D220" s="72">
        <v>4</v>
      </c>
      <c r="E220" s="72">
        <v>2</v>
      </c>
      <c r="F220" s="72">
        <v>4</v>
      </c>
      <c r="G220" s="72">
        <v>2</v>
      </c>
      <c r="H220" s="72">
        <v>4</v>
      </c>
      <c r="I220" s="72">
        <v>2</v>
      </c>
      <c r="J220" s="72">
        <v>4</v>
      </c>
      <c r="K220" s="72">
        <v>2</v>
      </c>
      <c r="L220" s="72">
        <v>4</v>
      </c>
      <c r="M220" s="72">
        <v>2</v>
      </c>
      <c r="N220" s="105">
        <v>4</v>
      </c>
      <c r="O220" s="105">
        <v>2</v>
      </c>
      <c r="P220" s="105">
        <v>4</v>
      </c>
      <c r="Q220" s="105">
        <v>2</v>
      </c>
      <c r="R220" s="105">
        <v>4</v>
      </c>
      <c r="S220" s="105">
        <v>2</v>
      </c>
      <c r="T220" s="105">
        <v>4</v>
      </c>
      <c r="U220" s="105">
        <v>2</v>
      </c>
      <c r="V220" s="105">
        <v>4</v>
      </c>
      <c r="W220" s="108">
        <v>1</v>
      </c>
    </row>
    <row r="221" spans="1:23" x14ac:dyDescent="0.2">
      <c r="A221" s="102" t="s">
        <v>21</v>
      </c>
      <c r="B221" s="100"/>
      <c r="C221" s="72">
        <v>1</v>
      </c>
      <c r="D221" s="72">
        <v>4</v>
      </c>
      <c r="E221" s="72">
        <v>2</v>
      </c>
      <c r="F221" s="72">
        <v>4</v>
      </c>
      <c r="G221" s="72">
        <v>2</v>
      </c>
      <c r="H221" s="72">
        <v>4</v>
      </c>
      <c r="I221" s="72">
        <v>2</v>
      </c>
      <c r="J221" s="72">
        <v>4</v>
      </c>
      <c r="K221" s="72">
        <v>2</v>
      </c>
      <c r="L221" s="72">
        <v>4</v>
      </c>
      <c r="M221" s="72">
        <v>1</v>
      </c>
      <c r="N221" s="105">
        <v>4</v>
      </c>
      <c r="O221" s="105">
        <v>2</v>
      </c>
      <c r="P221" s="105">
        <v>4</v>
      </c>
      <c r="Q221" s="105">
        <v>2</v>
      </c>
      <c r="R221" s="105">
        <v>4</v>
      </c>
      <c r="S221" s="105">
        <v>2</v>
      </c>
      <c r="T221" s="105">
        <v>4</v>
      </c>
      <c r="U221" s="105">
        <v>2</v>
      </c>
      <c r="V221" s="105">
        <v>4</v>
      </c>
      <c r="W221" s="108">
        <v>1</v>
      </c>
    </row>
    <row r="222" spans="1:23" x14ac:dyDescent="0.2">
      <c r="A222" s="93" t="s">
        <v>57</v>
      </c>
      <c r="B222" s="68"/>
      <c r="C222" s="68">
        <v>21</v>
      </c>
      <c r="D222" s="68">
        <v>20</v>
      </c>
      <c r="E222" s="68">
        <v>19</v>
      </c>
      <c r="F222" s="68">
        <v>18</v>
      </c>
      <c r="G222" s="68">
        <v>17</v>
      </c>
      <c r="H222" s="68">
        <v>16</v>
      </c>
      <c r="I222" s="68">
        <v>15</v>
      </c>
      <c r="J222" s="68">
        <v>14</v>
      </c>
      <c r="K222" s="68">
        <v>13</v>
      </c>
      <c r="L222" s="68">
        <v>12</v>
      </c>
      <c r="M222" s="68">
        <v>11</v>
      </c>
      <c r="N222" s="101">
        <v>10</v>
      </c>
      <c r="O222" s="101">
        <v>9</v>
      </c>
      <c r="P222" s="101">
        <v>8</v>
      </c>
      <c r="Q222" s="101">
        <v>7</v>
      </c>
      <c r="R222" s="101">
        <v>6</v>
      </c>
      <c r="S222" s="101">
        <v>5</v>
      </c>
      <c r="T222" s="101">
        <v>4</v>
      </c>
      <c r="U222" s="101">
        <v>3</v>
      </c>
      <c r="V222" s="101">
        <v>2</v>
      </c>
      <c r="W222" s="106">
        <v>1</v>
      </c>
    </row>
    <row r="223" spans="1:23" x14ac:dyDescent="0.2">
      <c r="A223" s="93" t="s">
        <v>58</v>
      </c>
      <c r="B223" s="68"/>
      <c r="C223" s="68">
        <v>0</v>
      </c>
      <c r="D223" s="68">
        <f t="shared" ref="D223:V223" si="129">C223+$W$76/20</f>
        <v>1.6175000000000002</v>
      </c>
      <c r="E223" s="68">
        <f t="shared" si="129"/>
        <v>3.2350000000000003</v>
      </c>
      <c r="F223" s="68">
        <f t="shared" si="129"/>
        <v>4.8525000000000009</v>
      </c>
      <c r="G223" s="68">
        <f t="shared" si="129"/>
        <v>6.4700000000000006</v>
      </c>
      <c r="H223" s="68">
        <f t="shared" si="129"/>
        <v>8.0875000000000004</v>
      </c>
      <c r="I223" s="68">
        <f t="shared" si="129"/>
        <v>9.7050000000000001</v>
      </c>
      <c r="J223" s="68">
        <f t="shared" si="129"/>
        <v>11.3225</v>
      </c>
      <c r="K223" s="68">
        <f t="shared" si="129"/>
        <v>12.94</v>
      </c>
      <c r="L223" s="68">
        <f t="shared" si="129"/>
        <v>14.557499999999999</v>
      </c>
      <c r="M223" s="68">
        <f t="shared" si="129"/>
        <v>16.175000000000001</v>
      </c>
      <c r="N223" s="101">
        <f t="shared" si="129"/>
        <v>17.7925</v>
      </c>
      <c r="O223" s="101">
        <f t="shared" si="129"/>
        <v>19.41</v>
      </c>
      <c r="P223" s="101">
        <f t="shared" si="129"/>
        <v>21.0275</v>
      </c>
      <c r="Q223" s="101">
        <f t="shared" si="129"/>
        <v>22.645</v>
      </c>
      <c r="R223" s="101">
        <f t="shared" si="129"/>
        <v>24.262499999999999</v>
      </c>
      <c r="S223" s="101">
        <f t="shared" si="129"/>
        <v>25.88</v>
      </c>
      <c r="T223" s="101">
        <f t="shared" si="129"/>
        <v>27.497499999999999</v>
      </c>
      <c r="U223" s="101">
        <f t="shared" si="129"/>
        <v>29.114999999999998</v>
      </c>
      <c r="V223" s="101">
        <f t="shared" si="129"/>
        <v>30.732499999999998</v>
      </c>
      <c r="W223" s="107">
        <f>E5</f>
        <v>32.35</v>
      </c>
    </row>
    <row r="224" spans="1:23" x14ac:dyDescent="0.2">
      <c r="A224" s="93" t="s">
        <v>59</v>
      </c>
      <c r="B224" s="68"/>
      <c r="C224" s="68">
        <f t="shared" ref="C224:W224" si="130">Interpolate($B$77:$B$101,C77:C101,$F$218)</f>
        <v>-1.0206849093264287E-2</v>
      </c>
      <c r="D224" s="68">
        <f t="shared" si="130"/>
        <v>0.67030757843193078</v>
      </c>
      <c r="E224" s="68">
        <f t="shared" si="130"/>
        <v>1.2256042766131214</v>
      </c>
      <c r="F224" s="68">
        <f t="shared" si="130"/>
        <v>1.5361434354182086</v>
      </c>
      <c r="G224" s="68">
        <f t="shared" si="130"/>
        <v>1.711882465089962</v>
      </c>
      <c r="H224" s="68">
        <f t="shared" si="130"/>
        <v>1.8033369806197688</v>
      </c>
      <c r="I224" s="68">
        <f t="shared" si="130"/>
        <v>1.8521178898821384</v>
      </c>
      <c r="J224" s="68">
        <f t="shared" si="130"/>
        <v>1.8521178898821384</v>
      </c>
      <c r="K224" s="68">
        <f t="shared" si="130"/>
        <v>1.8521178898821384</v>
      </c>
      <c r="L224" s="68">
        <f t="shared" si="130"/>
        <v>1.8521178898821384</v>
      </c>
      <c r="M224" s="68">
        <f t="shared" si="130"/>
        <v>1.8521178898821384</v>
      </c>
      <c r="N224" s="101">
        <f t="shared" si="130"/>
        <v>1.8521178898821384</v>
      </c>
      <c r="O224" s="101">
        <f t="shared" si="130"/>
        <v>1.8521178898821384</v>
      </c>
      <c r="P224" s="101">
        <f t="shared" si="130"/>
        <v>1.8521178898821384</v>
      </c>
      <c r="Q224" s="101">
        <f t="shared" si="130"/>
        <v>1.7925099445567385</v>
      </c>
      <c r="R224" s="101">
        <f t="shared" si="130"/>
        <v>1.6193724182229685</v>
      </c>
      <c r="S224" s="101">
        <f t="shared" si="130"/>
        <v>1.3261106894643571</v>
      </c>
      <c r="T224" s="101">
        <f t="shared" si="130"/>
        <v>0.91330807908493705</v>
      </c>
      <c r="U224" s="101">
        <f t="shared" si="130"/>
        <v>0.6420346902935149</v>
      </c>
      <c r="V224" s="101">
        <f t="shared" si="130"/>
        <v>0.29806897445980191</v>
      </c>
      <c r="W224" s="106">
        <f t="shared" si="130"/>
        <v>0</v>
      </c>
    </row>
    <row r="225" spans="1:23" x14ac:dyDescent="0.2">
      <c r="A225" s="93" t="s">
        <v>60</v>
      </c>
      <c r="B225" s="68"/>
      <c r="C225" s="68">
        <f t="shared" ref="C225:V225" si="131">Interpolate($B$106:$B$130,C106:C130,$F$218)</f>
        <v>-1.1978357081174501E-3</v>
      </c>
      <c r="D225" s="68">
        <f t="shared" si="131"/>
        <v>9.4913517764618816E-2</v>
      </c>
      <c r="E225" s="68">
        <f t="shared" si="131"/>
        <v>0.32827627972335316</v>
      </c>
      <c r="F225" s="68">
        <f t="shared" si="131"/>
        <v>0.59091374907475958</v>
      </c>
      <c r="G225" s="68">
        <f t="shared" si="131"/>
        <v>0.79842527294596599</v>
      </c>
      <c r="H225" s="68">
        <f t="shared" si="131"/>
        <v>0.91870770185664963</v>
      </c>
      <c r="I225" s="68">
        <f t="shared" si="131"/>
        <v>0.98941719251171989</v>
      </c>
      <c r="J225" s="68">
        <f t="shared" si="131"/>
        <v>0.98941719251171989</v>
      </c>
      <c r="K225" s="68">
        <f t="shared" si="131"/>
        <v>0.98941719251171989</v>
      </c>
      <c r="L225" s="68">
        <f t="shared" si="131"/>
        <v>0.98941719251171989</v>
      </c>
      <c r="M225" s="68">
        <f t="shared" si="131"/>
        <v>0.98941719251171989</v>
      </c>
      <c r="N225" s="101">
        <f t="shared" si="131"/>
        <v>0.98941719251171989</v>
      </c>
      <c r="O225" s="101">
        <f t="shared" si="131"/>
        <v>0.98941719251171989</v>
      </c>
      <c r="P225" s="101">
        <f t="shared" si="131"/>
        <v>0.98941719251171989</v>
      </c>
      <c r="Q225" s="101">
        <f t="shared" si="131"/>
        <v>0.94830474031581546</v>
      </c>
      <c r="R225" s="101">
        <f t="shared" si="131"/>
        <v>0.81065627775721705</v>
      </c>
      <c r="S225" s="101">
        <f t="shared" si="131"/>
        <v>0.60227786786022697</v>
      </c>
      <c r="T225" s="101">
        <f t="shared" si="131"/>
        <v>0.36796999695441657</v>
      </c>
      <c r="U225" s="101">
        <f t="shared" si="131"/>
        <v>0.21446202581421175</v>
      </c>
      <c r="V225" s="101">
        <f t="shared" si="131"/>
        <v>9.6328104567604267E-2</v>
      </c>
      <c r="W225" s="106">
        <f>Interpolate($B$106:$B$130,W106:W130,$F$218)</f>
        <v>0</v>
      </c>
    </row>
    <row r="226" spans="1:23" x14ac:dyDescent="0.2">
      <c r="A226" s="93" t="s">
        <v>56</v>
      </c>
      <c r="B226" s="68"/>
      <c r="C226" s="68">
        <f t="shared" ref="C226:W226" si="132">Interpolate($B$134:$B$158,C134:C158,$F$218)</f>
        <v>-1.373260403173581E-3</v>
      </c>
      <c r="D226" s="68">
        <f t="shared" si="132"/>
        <v>0.10038129229416956</v>
      </c>
      <c r="E226" s="68">
        <f t="shared" si="132"/>
        <v>0.3173063572302286</v>
      </c>
      <c r="F226" s="68">
        <f t="shared" si="132"/>
        <v>0.53036754261889341</v>
      </c>
      <c r="G226" s="68">
        <f t="shared" si="132"/>
        <v>0.68132212394086644</v>
      </c>
      <c r="H226" s="68">
        <f t="shared" si="132"/>
        <v>0.76761069596847187</v>
      </c>
      <c r="I226" s="68">
        <f t="shared" si="132"/>
        <v>0.81908145334237226</v>
      </c>
      <c r="J226" s="68">
        <f t="shared" si="132"/>
        <v>0.81908145334237226</v>
      </c>
      <c r="K226" s="68">
        <f t="shared" si="132"/>
        <v>0.81908145334237226</v>
      </c>
      <c r="L226" s="68">
        <f t="shared" si="132"/>
        <v>0.81908145334237226</v>
      </c>
      <c r="M226" s="68">
        <f t="shared" si="132"/>
        <v>0.81908145334237226</v>
      </c>
      <c r="N226" s="101">
        <f t="shared" si="132"/>
        <v>0.81908145334237226</v>
      </c>
      <c r="O226" s="101">
        <f t="shared" si="132"/>
        <v>0.81908145334237226</v>
      </c>
      <c r="P226" s="101">
        <f t="shared" si="132"/>
        <v>0.81908145334237226</v>
      </c>
      <c r="Q226" s="101">
        <f t="shared" si="132"/>
        <v>0.78519514880211005</v>
      </c>
      <c r="R226" s="101">
        <f t="shared" si="132"/>
        <v>0.68617257760306938</v>
      </c>
      <c r="S226" s="101">
        <f t="shared" si="132"/>
        <v>0.52493632667226842</v>
      </c>
      <c r="T226" s="101">
        <f t="shared" si="132"/>
        <v>0.33082336945385754</v>
      </c>
      <c r="U226" s="101">
        <f t="shared" si="132"/>
        <v>0.20113722880146362</v>
      </c>
      <c r="V226" s="101">
        <f t="shared" si="132"/>
        <v>9.4268902906011587E-2</v>
      </c>
      <c r="W226" s="106">
        <f t="shared" si="132"/>
        <v>0</v>
      </c>
    </row>
    <row r="227" spans="1:23" x14ac:dyDescent="0.2">
      <c r="A227" s="93" t="s">
        <v>55</v>
      </c>
      <c r="B227" s="68"/>
      <c r="C227" s="68">
        <f t="shared" ref="C227:W227" si="133">Interpolate($B$163:$B$187,C163:C187,$F$218)</f>
        <v>3.9693082187661544E-5</v>
      </c>
      <c r="D227" s="68">
        <f t="shared" si="133"/>
        <v>2.1041078438089118E-2</v>
      </c>
      <c r="E227" s="68">
        <f t="shared" si="133"/>
        <v>0.13109994244530576</v>
      </c>
      <c r="F227" s="68">
        <f t="shared" si="133"/>
        <v>0.30831226415510554</v>
      </c>
      <c r="G227" s="68">
        <f t="shared" si="133"/>
        <v>0.4823101955970075</v>
      </c>
      <c r="H227" s="68">
        <f t="shared" si="133"/>
        <v>0.60596439947095271</v>
      </c>
      <c r="I227" s="68">
        <f t="shared" si="133"/>
        <v>0.68761232325441002</v>
      </c>
      <c r="J227" s="68">
        <f t="shared" si="133"/>
        <v>0.68761232325441002</v>
      </c>
      <c r="K227" s="68">
        <f t="shared" si="133"/>
        <v>0.68761232325441002</v>
      </c>
      <c r="L227" s="68">
        <f t="shared" si="133"/>
        <v>0.68761232325441002</v>
      </c>
      <c r="M227" s="68">
        <f t="shared" si="133"/>
        <v>0.68761232325441002</v>
      </c>
      <c r="N227" s="101">
        <f t="shared" si="133"/>
        <v>0.68761232325441002</v>
      </c>
      <c r="O227" s="101">
        <f t="shared" si="133"/>
        <v>0.68761232325441002</v>
      </c>
      <c r="P227" s="101">
        <f t="shared" si="133"/>
        <v>0.68761232325441002</v>
      </c>
      <c r="Q227" s="101">
        <f t="shared" si="133"/>
        <v>0.63098716529380727</v>
      </c>
      <c r="R227" s="101">
        <f t="shared" si="133"/>
        <v>0.48645375489051823</v>
      </c>
      <c r="S227" s="101">
        <f t="shared" si="133"/>
        <v>0.29033276322234169</v>
      </c>
      <c r="T227" s="101">
        <f t="shared" si="133"/>
        <v>0.1202343583176666</v>
      </c>
      <c r="U227" s="101">
        <f t="shared" si="133"/>
        <v>4.8223895227149316E-2</v>
      </c>
      <c r="V227" s="101">
        <f t="shared" si="133"/>
        <v>1.2206398947427997E-2</v>
      </c>
      <c r="W227" s="106">
        <f t="shared" si="133"/>
        <v>0</v>
      </c>
    </row>
    <row r="228" spans="1:23" x14ac:dyDescent="0.2">
      <c r="A228" s="93" t="s">
        <v>87</v>
      </c>
      <c r="B228" s="68"/>
      <c r="C228" s="68">
        <f t="shared" ref="C228:W228" si="134">Interpolate($B$192:$B$216,C192:C216,$F$218)</f>
        <v>1.1612881004985673</v>
      </c>
      <c r="D228" s="68">
        <f t="shared" si="134"/>
        <v>1.5669665851263042</v>
      </c>
      <c r="E228" s="68">
        <f t="shared" si="134"/>
        <v>1.9015787007250338</v>
      </c>
      <c r="F228" s="68">
        <f t="shared" si="134"/>
        <v>2.0582250725974598</v>
      </c>
      <c r="G228" s="68">
        <f t="shared" si="134"/>
        <v>2.161325142473117</v>
      </c>
      <c r="H228" s="68">
        <f t="shared" si="134"/>
        <v>2.306350451130907</v>
      </c>
      <c r="I228" s="68">
        <f t="shared" si="134"/>
        <v>2.3772318458932311</v>
      </c>
      <c r="J228" s="68">
        <f t="shared" si="134"/>
        <v>2.3772318458932311</v>
      </c>
      <c r="K228" s="68">
        <f t="shared" si="134"/>
        <v>2.3772318458932311</v>
      </c>
      <c r="L228" s="68">
        <f t="shared" si="134"/>
        <v>2.3772318458932311</v>
      </c>
      <c r="M228" s="68">
        <f t="shared" si="134"/>
        <v>2.3772318458932311</v>
      </c>
      <c r="N228" s="101">
        <f t="shared" si="134"/>
        <v>2.3772318458932311</v>
      </c>
      <c r="O228" s="101">
        <f t="shared" si="134"/>
        <v>2.3772318458932311</v>
      </c>
      <c r="P228" s="101">
        <f t="shared" si="134"/>
        <v>2.3772318458932311</v>
      </c>
      <c r="Q228" s="101">
        <f t="shared" si="134"/>
        <v>2.3136298588818756</v>
      </c>
      <c r="R228" s="101">
        <f t="shared" si="134"/>
        <v>2.1050377020146565</v>
      </c>
      <c r="S228" s="101">
        <f t="shared" si="134"/>
        <v>1.870028704721145</v>
      </c>
      <c r="T228" s="101">
        <f t="shared" si="134"/>
        <v>1.5743690458960296</v>
      </c>
      <c r="U228" s="101">
        <f t="shared" si="134"/>
        <v>1.4088727080359833</v>
      </c>
      <c r="V228" s="101">
        <f t="shared" si="134"/>
        <v>1.2593658597908808</v>
      </c>
      <c r="W228" s="106">
        <f t="shared" si="134"/>
        <v>0</v>
      </c>
    </row>
    <row r="229" spans="1:23" ht="13.5" thickBot="1" x14ac:dyDescent="0.25">
      <c r="A229" s="95" t="s">
        <v>82</v>
      </c>
      <c r="B229" s="96"/>
      <c r="C229" s="59">
        <f t="shared" ref="C229:W229" si="135">C223-$C$246</f>
        <v>-15.247386877033769</v>
      </c>
      <c r="D229" s="59">
        <f t="shared" si="135"/>
        <v>-13.629886877033769</v>
      </c>
      <c r="E229" s="59">
        <f t="shared" si="135"/>
        <v>-12.012386877033769</v>
      </c>
      <c r="F229" s="59">
        <f t="shared" si="135"/>
        <v>-10.394886877033768</v>
      </c>
      <c r="G229" s="59">
        <f t="shared" si="135"/>
        <v>-8.7773868770337682</v>
      </c>
      <c r="H229" s="59">
        <f t="shared" si="135"/>
        <v>-7.1598868770337685</v>
      </c>
      <c r="I229" s="59">
        <f t="shared" si="135"/>
        <v>-5.5423868770337688</v>
      </c>
      <c r="J229" s="59">
        <f t="shared" si="135"/>
        <v>-3.924886877033769</v>
      </c>
      <c r="K229" s="59">
        <f t="shared" si="135"/>
        <v>-2.3073868770337693</v>
      </c>
      <c r="L229" s="59">
        <f t="shared" si="135"/>
        <v>-0.68988687703376961</v>
      </c>
      <c r="M229" s="59">
        <f t="shared" si="135"/>
        <v>0.92761312296623188</v>
      </c>
      <c r="N229" s="109">
        <f t="shared" si="135"/>
        <v>2.5451131229662316</v>
      </c>
      <c r="O229" s="109">
        <f t="shared" si="135"/>
        <v>4.1626131229662313</v>
      </c>
      <c r="P229" s="109">
        <f t="shared" si="135"/>
        <v>5.780113122966231</v>
      </c>
      <c r="Q229" s="109">
        <f t="shared" si="135"/>
        <v>7.3976131229662307</v>
      </c>
      <c r="R229" s="109">
        <f t="shared" si="135"/>
        <v>9.0151131229662305</v>
      </c>
      <c r="S229" s="109">
        <f t="shared" si="135"/>
        <v>10.63261312296623</v>
      </c>
      <c r="T229" s="109">
        <f t="shared" si="135"/>
        <v>12.25011312296623</v>
      </c>
      <c r="U229" s="109">
        <f t="shared" si="135"/>
        <v>13.86761312296623</v>
      </c>
      <c r="V229" s="109">
        <f t="shared" si="135"/>
        <v>15.485113122966229</v>
      </c>
      <c r="W229" s="110">
        <f t="shared" si="135"/>
        <v>17.102613122966233</v>
      </c>
    </row>
    <row r="230" spans="1:23" x14ac:dyDescent="0.2">
      <c r="E230"/>
      <c r="F230"/>
      <c r="G230"/>
      <c r="H230"/>
      <c r="I230"/>
      <c r="J230"/>
      <c r="K230"/>
      <c r="L230"/>
      <c r="M230"/>
      <c r="N230"/>
      <c r="O230"/>
      <c r="P230"/>
      <c r="Q230"/>
      <c r="R230"/>
      <c r="S230"/>
      <c r="T230"/>
      <c r="U230"/>
      <c r="V230"/>
    </row>
    <row r="231" spans="1:23" x14ac:dyDescent="0.2">
      <c r="E231"/>
      <c r="F231"/>
      <c r="G231"/>
      <c r="H231"/>
      <c r="I231"/>
      <c r="J231"/>
      <c r="K231"/>
      <c r="L231"/>
      <c r="M231"/>
      <c r="N231"/>
      <c r="O231"/>
      <c r="P231"/>
      <c r="Q231"/>
      <c r="R231"/>
      <c r="S231"/>
      <c r="T231"/>
      <c r="U231"/>
      <c r="V231"/>
    </row>
    <row r="232" spans="1:23" x14ac:dyDescent="0.2">
      <c r="E232"/>
      <c r="F232"/>
      <c r="G232"/>
      <c r="H232"/>
      <c r="I232"/>
      <c r="J232"/>
      <c r="K232"/>
      <c r="L232"/>
      <c r="M232"/>
      <c r="N232"/>
      <c r="O232"/>
      <c r="P232"/>
      <c r="Q232"/>
      <c r="R232"/>
      <c r="S232"/>
      <c r="T232"/>
      <c r="U232"/>
      <c r="V232"/>
    </row>
    <row r="233" spans="1:23" x14ac:dyDescent="0.2">
      <c r="A233" s="99" t="s">
        <v>18</v>
      </c>
      <c r="E233"/>
      <c r="F233"/>
      <c r="G233"/>
      <c r="H233"/>
      <c r="I233"/>
      <c r="J233"/>
      <c r="K233"/>
      <c r="L233"/>
      <c r="M233"/>
      <c r="N233"/>
      <c r="O233"/>
      <c r="P233"/>
      <c r="Q233"/>
      <c r="R233"/>
      <c r="S233"/>
      <c r="T233"/>
      <c r="U233"/>
      <c r="V233"/>
    </row>
    <row r="234" spans="1:23" x14ac:dyDescent="0.2">
      <c r="A234" t="s">
        <v>63</v>
      </c>
      <c r="B234"/>
      <c r="C234" s="21">
        <f>2*$F$219/3*SUMPRODUCT(C$220:W$220,C225:W225)</f>
        <v>44.261555272860519</v>
      </c>
      <c r="D234" t="s">
        <v>64</v>
      </c>
      <c r="E234" t="s">
        <v>188</v>
      </c>
      <c r="F234"/>
      <c r="G234"/>
      <c r="H234"/>
      <c r="I234"/>
      <c r="J234"/>
      <c r="K234"/>
      <c r="L234"/>
      <c r="M234"/>
      <c r="N234"/>
      <c r="O234"/>
      <c r="P234"/>
      <c r="Q234"/>
      <c r="R234"/>
      <c r="S234"/>
      <c r="T234"/>
      <c r="U234"/>
      <c r="V234"/>
    </row>
    <row r="235" spans="1:23" x14ac:dyDescent="0.2">
      <c r="A235"/>
      <c r="B235"/>
      <c r="C235" s="21">
        <f>C234+C247*Q5</f>
        <v>44.261555272860519</v>
      </c>
      <c r="D235" t="s">
        <v>64</v>
      </c>
      <c r="E235"/>
      <c r="F235"/>
      <c r="G235"/>
      <c r="H235"/>
      <c r="I235"/>
      <c r="J235"/>
      <c r="K235"/>
      <c r="L235"/>
      <c r="M235"/>
      <c r="N235"/>
      <c r="O235"/>
      <c r="P235"/>
      <c r="Q235"/>
      <c r="R235"/>
      <c r="S235"/>
      <c r="T235"/>
      <c r="U235"/>
      <c r="V235"/>
    </row>
    <row r="236" spans="1:23" x14ac:dyDescent="0.2">
      <c r="A236" s="4" t="s">
        <v>65</v>
      </c>
      <c r="B236"/>
      <c r="C236" s="21">
        <f>2*$F$219/3*SUMPRODUCT(C$220:W$220,C226:W226)</f>
        <v>37.434205272688899</v>
      </c>
      <c r="D236"/>
      <c r="E236" t="s">
        <v>189</v>
      </c>
      <c r="F236"/>
      <c r="G236"/>
      <c r="H236"/>
      <c r="I236"/>
      <c r="J236"/>
      <c r="K236"/>
      <c r="L236"/>
      <c r="M236"/>
      <c r="N236"/>
      <c r="O236"/>
      <c r="P236"/>
      <c r="Q236"/>
      <c r="R236"/>
      <c r="S236"/>
      <c r="T236"/>
      <c r="U236"/>
      <c r="V236"/>
    </row>
    <row r="237" spans="1:23" ht="15.75" x14ac:dyDescent="0.3">
      <c r="A237" s="4" t="s">
        <v>71</v>
      </c>
      <c r="B237"/>
      <c r="C237" s="21">
        <f>2/3*F219/3*SUMPRODUCT(C220:W220,C224:W224,C224:W224,C224:W224)</f>
        <v>87.061467939801261</v>
      </c>
      <c r="D237"/>
      <c r="E237"/>
      <c r="F237"/>
      <c r="G237"/>
      <c r="H237"/>
      <c r="I237"/>
      <c r="J237"/>
      <c r="K237"/>
      <c r="L237"/>
      <c r="M237"/>
      <c r="N237"/>
      <c r="O237"/>
      <c r="P237"/>
      <c r="Q237"/>
      <c r="R237"/>
      <c r="S237"/>
      <c r="T237"/>
      <c r="U237"/>
      <c r="V237"/>
    </row>
    <row r="238" spans="1:23" x14ac:dyDescent="0.2">
      <c r="A238" s="4" t="s">
        <v>66</v>
      </c>
      <c r="B238"/>
      <c r="C238" s="21">
        <f>2*$F$219/3*SUMPRODUCT(C$220:W$220,C225:W225,C223:W223)</f>
        <v>693.52766810021171</v>
      </c>
      <c r="D238"/>
      <c r="E238"/>
      <c r="F238"/>
      <c r="G238"/>
      <c r="H238"/>
      <c r="I238"/>
      <c r="J238"/>
      <c r="K238"/>
      <c r="L238"/>
      <c r="M238"/>
      <c r="N238"/>
      <c r="O238"/>
      <c r="P238"/>
      <c r="Q238"/>
      <c r="R238"/>
      <c r="S238"/>
      <c r="T238"/>
      <c r="U238"/>
      <c r="V238"/>
    </row>
    <row r="239" spans="1:23" x14ac:dyDescent="0.2">
      <c r="A239" s="4" t="s">
        <v>67</v>
      </c>
      <c r="B239"/>
      <c r="C239" s="21">
        <f>2*$F$219/3*SUMPRODUCT(C$220:W$220,C224:W224)</f>
        <v>91.872982597960586</v>
      </c>
      <c r="D239"/>
      <c r="E239"/>
      <c r="F239"/>
      <c r="G239"/>
      <c r="H239"/>
      <c r="I239"/>
      <c r="J239"/>
      <c r="K239"/>
      <c r="L239"/>
      <c r="M239"/>
      <c r="N239"/>
      <c r="O239"/>
      <c r="P239"/>
      <c r="Q239"/>
      <c r="R239"/>
      <c r="S239"/>
      <c r="T239"/>
      <c r="U239"/>
      <c r="V239"/>
    </row>
    <row r="240" spans="1:23" x14ac:dyDescent="0.2">
      <c r="A240" s="4" t="s">
        <v>68</v>
      </c>
      <c r="B240"/>
      <c r="C240" s="21">
        <f>C238/C234</f>
        <v>15.668849949460682</v>
      </c>
      <c r="D240"/>
      <c r="E240"/>
      <c r="F240"/>
      <c r="G240"/>
      <c r="H240"/>
      <c r="I240"/>
      <c r="J240"/>
      <c r="K240"/>
      <c r="L240"/>
      <c r="M240"/>
      <c r="N240"/>
      <c r="O240"/>
      <c r="P240"/>
      <c r="Q240"/>
      <c r="R240"/>
      <c r="S240"/>
      <c r="T240"/>
      <c r="U240"/>
      <c r="V240"/>
    </row>
    <row r="241" spans="1:22" x14ac:dyDescent="0.2">
      <c r="A241" s="4" t="s">
        <v>69</v>
      </c>
      <c r="B241"/>
      <c r="C241" s="21">
        <f>C236/C234</f>
        <v>0.84574988479092406</v>
      </c>
      <c r="D241"/>
      <c r="E241"/>
      <c r="F241"/>
      <c r="G241"/>
      <c r="H241"/>
      <c r="I241"/>
      <c r="J241"/>
      <c r="K241"/>
      <c r="L241"/>
      <c r="M241"/>
      <c r="N241"/>
      <c r="O241"/>
      <c r="P241"/>
      <c r="Q241"/>
      <c r="R241"/>
      <c r="S241"/>
      <c r="T241"/>
      <c r="U241"/>
      <c r="V241"/>
    </row>
    <row r="242" spans="1:22" ht="15.75" x14ac:dyDescent="0.3">
      <c r="A242" s="4" t="s">
        <v>72</v>
      </c>
      <c r="B242"/>
      <c r="C242">
        <f>C237/C234</f>
        <v>1.9669771521378057</v>
      </c>
      <c r="D242"/>
      <c r="E242"/>
      <c r="F242"/>
      <c r="G242"/>
      <c r="H242"/>
      <c r="I242"/>
      <c r="J242"/>
      <c r="K242"/>
      <c r="L242"/>
      <c r="M242"/>
      <c r="N242"/>
      <c r="O242"/>
      <c r="P242"/>
      <c r="Q242"/>
      <c r="R242"/>
      <c r="S242"/>
      <c r="T242"/>
      <c r="U242"/>
      <c r="V242"/>
    </row>
    <row r="243" spans="1:22" x14ac:dyDescent="0.2">
      <c r="A243" t="s">
        <v>77</v>
      </c>
      <c r="B243"/>
      <c r="C243">
        <f>2*MAX(C225:W225)</f>
        <v>1.9788343850234398</v>
      </c>
      <c r="D243" t="s">
        <v>75</v>
      </c>
      <c r="E243"/>
      <c r="F243"/>
      <c r="G243"/>
      <c r="H243"/>
      <c r="I243"/>
      <c r="J243"/>
      <c r="K243"/>
      <c r="L243"/>
      <c r="M243"/>
      <c r="N243"/>
      <c r="O243"/>
      <c r="P243"/>
      <c r="Q243"/>
      <c r="R243"/>
      <c r="S243"/>
      <c r="T243"/>
      <c r="U243"/>
      <c r="V243"/>
    </row>
    <row r="244" spans="1:22" ht="15.75" x14ac:dyDescent="0.3">
      <c r="A244" s="1" t="s">
        <v>80</v>
      </c>
      <c r="B244"/>
      <c r="C244">
        <f>2*F219/3*SUMPRODUCT(C220:AQ220,C229:AQ229,C229:AQ229,C224:AQ224)</f>
        <v>5245.5525279154608</v>
      </c>
      <c r="D244"/>
      <c r="E244"/>
      <c r="F244"/>
      <c r="G244"/>
      <c r="H244"/>
      <c r="I244"/>
      <c r="J244"/>
      <c r="K244"/>
      <c r="L244"/>
      <c r="M244"/>
      <c r="N244"/>
      <c r="O244"/>
      <c r="P244"/>
      <c r="Q244"/>
      <c r="R244"/>
      <c r="S244"/>
      <c r="T244"/>
      <c r="U244"/>
      <c r="V244"/>
    </row>
    <row r="245" spans="1:22" ht="15.75" x14ac:dyDescent="0.3">
      <c r="A245" t="s">
        <v>79</v>
      </c>
      <c r="B245"/>
      <c r="C245">
        <f>C244/C234</f>
        <v>118.51261203041891</v>
      </c>
      <c r="D245"/>
      <c r="E245"/>
      <c r="F245"/>
      <c r="G245"/>
      <c r="H245"/>
      <c r="I245"/>
      <c r="J245"/>
      <c r="K245"/>
      <c r="L245"/>
      <c r="M245"/>
      <c r="N245"/>
      <c r="O245"/>
      <c r="P245"/>
      <c r="Q245"/>
      <c r="R245"/>
      <c r="S245"/>
      <c r="T245"/>
      <c r="U245"/>
      <c r="V245"/>
    </row>
    <row r="246" spans="1:22" x14ac:dyDescent="0.2">
      <c r="A246" t="s">
        <v>81</v>
      </c>
      <c r="B246"/>
      <c r="C246">
        <f>2*$F$219/3*SUMPRODUCT(C$220:W$220,C224:W224,C223:W223)/C239</f>
        <v>15.247386877033769</v>
      </c>
      <c r="D246"/>
    </row>
    <row r="247" spans="1:22" x14ac:dyDescent="0.2">
      <c r="A247" t="s">
        <v>88</v>
      </c>
      <c r="B247"/>
      <c r="C247">
        <f>2*$F$219/3*SUMPRODUCT(C$220:W$220,C228:W228)*'Basis Hull'!Q6</f>
        <v>130.48586171516578</v>
      </c>
      <c r="D247" t="s">
        <v>75</v>
      </c>
    </row>
    <row r="248" spans="1:22" x14ac:dyDescent="0.2">
      <c r="A248" t="s">
        <v>32</v>
      </c>
      <c r="B248"/>
      <c r="C248">
        <f>C239/(E5*E6)</f>
        <v>0.76755906761318837</v>
      </c>
      <c r="D248"/>
    </row>
    <row r="250" spans="1:22" x14ac:dyDescent="0.2">
      <c r="A250" s="99" t="s">
        <v>19</v>
      </c>
    </row>
    <row r="251" spans="1:22" x14ac:dyDescent="0.2">
      <c r="A251" t="s">
        <v>63</v>
      </c>
      <c r="C251" s="4">
        <f>2*$F$219/3*SUMPRODUCT(M$221:W$221,M225:W225)</f>
        <v>21.042053081773279</v>
      </c>
    </row>
    <row r="252" spans="1:22" x14ac:dyDescent="0.2">
      <c r="A252" s="4" t="s">
        <v>66</v>
      </c>
      <c r="C252" s="4">
        <f>2*$F$219/3*SUMPRODUCT(M$221:W$221,M225:W225,M223:W223)</f>
        <v>458.99180010075656</v>
      </c>
    </row>
    <row r="253" spans="1:22" x14ac:dyDescent="0.2">
      <c r="A253" s="4" t="s">
        <v>22</v>
      </c>
      <c r="C253" s="4">
        <f>C251/(C243*(E5/2))</f>
        <v>0.65740707595042913</v>
      </c>
    </row>
    <row r="254" spans="1:22" x14ac:dyDescent="0.2">
      <c r="A254" s="4" t="s">
        <v>24</v>
      </c>
      <c r="C254" s="4">
        <f>C252/C251</f>
        <v>21.813071106561239</v>
      </c>
      <c r="D254" s="4" t="s">
        <v>28</v>
      </c>
    </row>
    <row r="255" spans="1:22" x14ac:dyDescent="0.2">
      <c r="C255" s="4">
        <f>(C254-E5/2)/(E5/2)</f>
        <v>0.34856699267766539</v>
      </c>
      <c r="D255" s="4" t="s">
        <v>29</v>
      </c>
    </row>
    <row r="256" spans="1:22" x14ac:dyDescent="0.2">
      <c r="A256" s="99" t="s">
        <v>20</v>
      </c>
    </row>
    <row r="257" spans="1:23" x14ac:dyDescent="0.2">
      <c r="A257" t="s">
        <v>63</v>
      </c>
      <c r="C257" s="4">
        <f>2*$F$219/3*SUMPRODUCT(C$221:M$221,C225:M225)</f>
        <v>23.219502191087241</v>
      </c>
      <c r="D257" s="4">
        <f>C251+C257</f>
        <v>44.261555272860519</v>
      </c>
    </row>
    <row r="258" spans="1:23" x14ac:dyDescent="0.2">
      <c r="A258" s="4" t="s">
        <v>66</v>
      </c>
      <c r="C258" s="4">
        <f>2*$F$219/3*SUMPRODUCT(C$221:M$221,C225:M225,C223:M223)</f>
        <v>234.53586799945518</v>
      </c>
    </row>
    <row r="259" spans="1:23" x14ac:dyDescent="0.2">
      <c r="A259" s="4" t="s">
        <v>23</v>
      </c>
      <c r="C259" s="4">
        <f>C257/(C243*(E5/2))</f>
        <v>0.72543610555234117</v>
      </c>
    </row>
    <row r="260" spans="1:23" x14ac:dyDescent="0.2">
      <c r="A260" s="4" t="s">
        <v>24</v>
      </c>
      <c r="C260" s="4">
        <f>C258/C257</f>
        <v>10.100813793048557</v>
      </c>
      <c r="D260" s="4" t="s">
        <v>28</v>
      </c>
    </row>
    <row r="261" spans="1:23" x14ac:dyDescent="0.2">
      <c r="C261" s="4">
        <f>(E5/2-C260)/(E5/2)</f>
        <v>0.37552928636484967</v>
      </c>
      <c r="D261" s="4" t="s">
        <v>29</v>
      </c>
    </row>
    <row r="263" spans="1:23" x14ac:dyDescent="0.2">
      <c r="B263" s="65" t="s">
        <v>234</v>
      </c>
    </row>
    <row r="264" spans="1:23" x14ac:dyDescent="0.2">
      <c r="B264" s="65" t="s">
        <v>105</v>
      </c>
      <c r="C264" s="4">
        <f>E7</f>
        <v>2.4</v>
      </c>
    </row>
    <row r="265" spans="1:23" ht="13.5" thickBot="1" x14ac:dyDescent="0.25">
      <c r="B265" s="1" t="s">
        <v>235</v>
      </c>
      <c r="C265">
        <f>2*$F$219/3*SUMPRODUCT(C$266:W$266,C270:W270)*'Basis Hull'!Q6</f>
        <v>219.81356355866811</v>
      </c>
      <c r="D265" t="s">
        <v>75</v>
      </c>
    </row>
    <row r="266" spans="1:23" ht="13.5" thickBot="1" x14ac:dyDescent="0.25">
      <c r="A266" s="92" t="s">
        <v>62</v>
      </c>
      <c r="B266" s="72"/>
      <c r="C266" s="72">
        <v>1</v>
      </c>
      <c r="D266" s="72">
        <v>4</v>
      </c>
      <c r="E266" s="72">
        <v>2</v>
      </c>
      <c r="F266" s="72">
        <v>4</v>
      </c>
      <c r="G266" s="72">
        <v>2</v>
      </c>
      <c r="H266" s="72">
        <v>4</v>
      </c>
      <c r="I266" s="72">
        <v>2</v>
      </c>
      <c r="J266" s="72">
        <v>4</v>
      </c>
      <c r="K266" s="72">
        <v>2</v>
      </c>
      <c r="L266" s="72">
        <v>4</v>
      </c>
      <c r="M266" s="72">
        <v>2</v>
      </c>
      <c r="N266" s="105">
        <v>4</v>
      </c>
      <c r="O266" s="105">
        <v>2</v>
      </c>
      <c r="P266" s="105">
        <v>4</v>
      </c>
      <c r="Q266" s="105">
        <v>2</v>
      </c>
      <c r="R266" s="105">
        <v>4</v>
      </c>
      <c r="S266" s="105">
        <v>2</v>
      </c>
      <c r="T266" s="105">
        <v>4</v>
      </c>
      <c r="U266" s="105">
        <v>2</v>
      </c>
      <c r="V266" s="105">
        <v>4</v>
      </c>
      <c r="W266" s="108">
        <v>1</v>
      </c>
    </row>
    <row r="267" spans="1:23" x14ac:dyDescent="0.2">
      <c r="A267" s="102" t="s">
        <v>21</v>
      </c>
      <c r="B267" s="100"/>
      <c r="C267" s="72">
        <v>1</v>
      </c>
      <c r="D267" s="72">
        <v>4</v>
      </c>
      <c r="E267" s="72">
        <v>2</v>
      </c>
      <c r="F267" s="72">
        <v>4</v>
      </c>
      <c r="G267" s="72">
        <v>2</v>
      </c>
      <c r="H267" s="72">
        <v>4</v>
      </c>
      <c r="I267" s="72">
        <v>2</v>
      </c>
      <c r="J267" s="72">
        <v>4</v>
      </c>
      <c r="K267" s="72">
        <v>2</v>
      </c>
      <c r="L267" s="72">
        <v>4</v>
      </c>
      <c r="M267" s="72">
        <v>1</v>
      </c>
      <c r="N267" s="105">
        <v>4</v>
      </c>
      <c r="O267" s="105">
        <v>2</v>
      </c>
      <c r="P267" s="105">
        <v>4</v>
      </c>
      <c r="Q267" s="105">
        <v>2</v>
      </c>
      <c r="R267" s="105">
        <v>4</v>
      </c>
      <c r="S267" s="105">
        <v>2</v>
      </c>
      <c r="T267" s="105">
        <v>4</v>
      </c>
      <c r="U267" s="105">
        <v>2</v>
      </c>
      <c r="V267" s="105">
        <v>4</v>
      </c>
      <c r="W267" s="108">
        <v>1</v>
      </c>
    </row>
    <row r="268" spans="1:23" x14ac:dyDescent="0.2">
      <c r="A268" s="93" t="s">
        <v>57</v>
      </c>
      <c r="B268" s="68"/>
      <c r="C268" s="68">
        <v>21</v>
      </c>
      <c r="D268" s="68">
        <v>20</v>
      </c>
      <c r="E268" s="68">
        <v>19</v>
      </c>
      <c r="F268" s="68">
        <v>18</v>
      </c>
      <c r="G268" s="68">
        <v>17</v>
      </c>
      <c r="H268" s="68">
        <v>16</v>
      </c>
      <c r="I268" s="68">
        <v>15</v>
      </c>
      <c r="J268" s="68">
        <v>14</v>
      </c>
      <c r="K268" s="68">
        <v>13</v>
      </c>
      <c r="L268" s="68">
        <v>12</v>
      </c>
      <c r="M268" s="68">
        <v>11</v>
      </c>
      <c r="N268" s="101">
        <v>10</v>
      </c>
      <c r="O268" s="101">
        <v>9</v>
      </c>
      <c r="P268" s="101">
        <v>8</v>
      </c>
      <c r="Q268" s="101">
        <v>7</v>
      </c>
      <c r="R268" s="101">
        <v>6</v>
      </c>
      <c r="S268" s="101">
        <v>5</v>
      </c>
      <c r="T268" s="101">
        <v>4</v>
      </c>
      <c r="U268" s="101">
        <v>3</v>
      </c>
      <c r="V268" s="101">
        <v>2</v>
      </c>
      <c r="W268" s="106">
        <v>1</v>
      </c>
    </row>
    <row r="269" spans="1:23" x14ac:dyDescent="0.2">
      <c r="A269" s="93" t="s">
        <v>58</v>
      </c>
      <c r="C269" s="4">
        <f>C223</f>
        <v>0</v>
      </c>
      <c r="D269" s="4">
        <f>D223</f>
        <v>1.6175000000000002</v>
      </c>
      <c r="E269" s="4">
        <f t="shared" ref="E269:W269" si="136">E223</f>
        <v>3.2350000000000003</v>
      </c>
      <c r="F269" s="4">
        <f t="shared" si="136"/>
        <v>4.8525000000000009</v>
      </c>
      <c r="G269" s="4">
        <f t="shared" si="136"/>
        <v>6.4700000000000006</v>
      </c>
      <c r="H269" s="4">
        <f t="shared" si="136"/>
        <v>8.0875000000000004</v>
      </c>
      <c r="I269" s="4">
        <f t="shared" si="136"/>
        <v>9.7050000000000001</v>
      </c>
      <c r="J269" s="4">
        <f t="shared" si="136"/>
        <v>11.3225</v>
      </c>
      <c r="K269" s="4">
        <f t="shared" si="136"/>
        <v>12.94</v>
      </c>
      <c r="L269" s="4">
        <f t="shared" si="136"/>
        <v>14.557499999999999</v>
      </c>
      <c r="M269" s="4">
        <f t="shared" si="136"/>
        <v>16.175000000000001</v>
      </c>
      <c r="N269" s="4">
        <f t="shared" si="136"/>
        <v>17.7925</v>
      </c>
      <c r="O269" s="4">
        <f t="shared" si="136"/>
        <v>19.41</v>
      </c>
      <c r="P269" s="4">
        <f t="shared" si="136"/>
        <v>21.0275</v>
      </c>
      <c r="Q269" s="4">
        <f t="shared" si="136"/>
        <v>22.645</v>
      </c>
      <c r="R269" s="4">
        <f t="shared" si="136"/>
        <v>24.262499999999999</v>
      </c>
      <c r="S269" s="4">
        <f t="shared" si="136"/>
        <v>25.88</v>
      </c>
      <c r="T269" s="4">
        <f t="shared" si="136"/>
        <v>27.497499999999999</v>
      </c>
      <c r="U269" s="4">
        <f t="shared" si="136"/>
        <v>29.114999999999998</v>
      </c>
      <c r="V269" s="4">
        <f t="shared" si="136"/>
        <v>30.732499999999998</v>
      </c>
      <c r="W269" s="4">
        <f t="shared" si="136"/>
        <v>32.35</v>
      </c>
    </row>
    <row r="270" spans="1:23" x14ac:dyDescent="0.2">
      <c r="A270" s="93" t="s">
        <v>87</v>
      </c>
      <c r="C270" s="68">
        <f>Interpolate($B$192:$B$216,C192:C216,$C$264)</f>
        <v>3.2623045861430131</v>
      </c>
      <c r="D270" s="68">
        <f>Interpolate($B$192:$B$216,D192:D216,$C$264)</f>
        <v>3.4303472679577629</v>
      </c>
      <c r="E270" s="68">
        <f t="shared" ref="E270:W270" si="137">Interpolate($B$192:$B$216,E192:E216,$C$264)</f>
        <v>3.5085360774601999</v>
      </c>
      <c r="F270" s="68">
        <f t="shared" si="137"/>
        <v>3.5248271179476545</v>
      </c>
      <c r="G270" s="68">
        <f t="shared" si="137"/>
        <v>3.5592923993628527</v>
      </c>
      <c r="H270" s="68">
        <f t="shared" si="137"/>
        <v>3.6712441843124295</v>
      </c>
      <c r="I270" s="68">
        <f t="shared" si="137"/>
        <v>3.7227206128867079</v>
      </c>
      <c r="J270" s="68">
        <f t="shared" si="137"/>
        <v>3.7227206128867079</v>
      </c>
      <c r="K270" s="68">
        <f t="shared" si="137"/>
        <v>3.7227206128867079</v>
      </c>
      <c r="L270" s="68">
        <f t="shared" si="137"/>
        <v>3.7227206128867079</v>
      </c>
      <c r="M270" s="68">
        <f t="shared" si="137"/>
        <v>3.7227206128867079</v>
      </c>
      <c r="N270" s="68">
        <f t="shared" si="137"/>
        <v>3.7227206128867079</v>
      </c>
      <c r="O270" s="68">
        <f t="shared" si="137"/>
        <v>3.7227206128867079</v>
      </c>
      <c r="P270" s="68">
        <f t="shared" si="137"/>
        <v>3.7227206128867079</v>
      </c>
      <c r="Q270" s="68">
        <f t="shared" si="137"/>
        <v>3.6556912268609669</v>
      </c>
      <c r="R270" s="68">
        <f t="shared" si="137"/>
        <v>3.4581045475978174</v>
      </c>
      <c r="S270" s="68">
        <f t="shared" si="137"/>
        <v>3.2152722103111699</v>
      </c>
      <c r="T270" s="68">
        <f t="shared" si="137"/>
        <v>2.9015615564945407</v>
      </c>
      <c r="U270" s="68">
        <f t="shared" si="137"/>
        <v>2.6650519246371789</v>
      </c>
      <c r="V270" s="68">
        <f t="shared" si="137"/>
        <v>2.5215070814360194</v>
      </c>
      <c r="W270" s="68">
        <f t="shared" si="137"/>
        <v>0</v>
      </c>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0038-B83A-4DB5-A810-3E554962DA03}">
  <sheetPr codeName="Sheet3"/>
  <dimension ref="A2:EO364"/>
  <sheetViews>
    <sheetView zoomScale="110" zoomScaleNormal="110" workbookViewId="0">
      <selection activeCell="E59" sqref="E59"/>
    </sheetView>
  </sheetViews>
  <sheetFormatPr defaultColWidth="9.140625" defaultRowHeight="12.75" x14ac:dyDescent="0.2"/>
  <cols>
    <col min="1" max="2" width="9.140625" style="4"/>
    <col min="3" max="3" width="10.5703125" style="4" customWidth="1"/>
    <col min="4" max="12" width="9.140625" style="4" customWidth="1"/>
    <col min="13" max="16384" width="9.140625" style="4"/>
  </cols>
  <sheetData>
    <row r="2" spans="1:145" ht="15.75" x14ac:dyDescent="0.25">
      <c r="B2" s="5" t="s">
        <v>30</v>
      </c>
      <c r="M2" s="4" t="s">
        <v>98</v>
      </c>
      <c r="N2" s="4" t="s">
        <v>99</v>
      </c>
      <c r="O2" s="65">
        <f>'Basis Hull'!C259</f>
        <v>0.72543610555234117</v>
      </c>
      <c r="R2" s="4" t="s">
        <v>104</v>
      </c>
    </row>
    <row r="3" spans="1:145" ht="15.75" x14ac:dyDescent="0.25">
      <c r="B3" s="5" t="s">
        <v>76</v>
      </c>
      <c r="E3" s="63" t="str">
        <f>'Basis Hull'!E3</f>
        <v>Olympias (outside of planking assumes ram structure included in hydros)</v>
      </c>
      <c r="N3" s="4" t="s">
        <v>102</v>
      </c>
      <c r="O3" s="65">
        <f>'Basis Hull'!C261</f>
        <v>0.37552928636484967</v>
      </c>
      <c r="P3" s="4" t="s">
        <v>103</v>
      </c>
      <c r="R3" s="4" t="s">
        <v>83</v>
      </c>
      <c r="S3" s="65">
        <f>Input!B11</f>
        <v>0</v>
      </c>
    </row>
    <row r="4" spans="1:145" x14ac:dyDescent="0.2">
      <c r="B4" s="4" t="s">
        <v>86</v>
      </c>
      <c r="E4" s="63">
        <f>'Basis Hull'!E5</f>
        <v>32.35</v>
      </c>
      <c r="F4" s="4" t="s">
        <v>61</v>
      </c>
      <c r="G4" s="4" t="s">
        <v>106</v>
      </c>
      <c r="I4" s="63">
        <f>'Basis Hull'!I5</f>
        <v>1.1499999999999999</v>
      </c>
      <c r="J4" s="4" t="s">
        <v>61</v>
      </c>
      <c r="L4" s="22"/>
      <c r="M4" s="4" t="s">
        <v>100</v>
      </c>
      <c r="N4" s="4" t="s">
        <v>99</v>
      </c>
      <c r="O4" s="65">
        <f>'Basis Hull'!C253</f>
        <v>0.65740707595042913</v>
      </c>
      <c r="Q4" s="31"/>
      <c r="R4" s="4" t="s">
        <v>84</v>
      </c>
      <c r="S4" s="65">
        <f>Input!B12</f>
        <v>0</v>
      </c>
    </row>
    <row r="5" spans="1:145" x14ac:dyDescent="0.2">
      <c r="B5" s="4" t="s">
        <v>10</v>
      </c>
      <c r="E5" s="63">
        <f>'Basis Hull'!E6</f>
        <v>3.7</v>
      </c>
      <c r="F5" s="4" t="s">
        <v>61</v>
      </c>
      <c r="I5" s="22"/>
      <c r="N5" s="4" t="s">
        <v>102</v>
      </c>
      <c r="O5" s="65">
        <f>'Basis Hull'!C255</f>
        <v>0.34856699267766539</v>
      </c>
      <c r="P5" s="4" t="s">
        <v>103</v>
      </c>
      <c r="Q5" s="32"/>
    </row>
    <row r="6" spans="1:145" x14ac:dyDescent="0.2">
      <c r="B6" s="4" t="s">
        <v>51</v>
      </c>
      <c r="E6" s="63">
        <f>'Basis Hull'!E7</f>
        <v>2.4</v>
      </c>
      <c r="F6" s="4" t="s">
        <v>61</v>
      </c>
      <c r="G6" s="4" t="s">
        <v>70</v>
      </c>
      <c r="I6" s="63">
        <f>'Basis Hull'!I7</f>
        <v>1.0249999999999999</v>
      </c>
      <c r="J6" s="4" t="s">
        <v>94</v>
      </c>
      <c r="L6" s="22"/>
      <c r="M6" s="4" t="s">
        <v>90</v>
      </c>
      <c r="P6" s="66">
        <v>0</v>
      </c>
      <c r="Q6" s="4" t="s">
        <v>61</v>
      </c>
    </row>
    <row r="7" spans="1:145" ht="13.5" thickBot="1" x14ac:dyDescent="0.25">
      <c r="B7" s="4" t="s">
        <v>43</v>
      </c>
      <c r="E7" s="4">
        <f>21-COUNTBLANK(B10:AQ10)</f>
        <v>21</v>
      </c>
      <c r="L7" s="22"/>
    </row>
    <row r="8" spans="1:145" ht="13.5" thickBot="1" x14ac:dyDescent="0.25">
      <c r="A8" s="6"/>
      <c r="B8" s="7" t="s">
        <v>38</v>
      </c>
      <c r="C8" s="8"/>
      <c r="D8" s="8"/>
      <c r="E8" s="8"/>
      <c r="F8" s="8" t="s">
        <v>44</v>
      </c>
      <c r="G8" s="8"/>
      <c r="H8" s="8"/>
      <c r="I8" s="8"/>
      <c r="J8" s="8"/>
      <c r="K8" s="8"/>
      <c r="L8" s="8"/>
      <c r="M8" s="8"/>
      <c r="N8" s="8"/>
      <c r="O8" s="8"/>
      <c r="P8" s="8"/>
      <c r="Q8" s="8"/>
      <c r="R8" s="8"/>
      <c r="S8" s="8"/>
      <c r="T8" s="8"/>
      <c r="U8" s="8"/>
      <c r="V8" s="7" t="s">
        <v>101</v>
      </c>
      <c r="W8" s="9"/>
      <c r="X8" s="8"/>
      <c r="Y8" s="8"/>
      <c r="Z8" s="8"/>
      <c r="AA8" s="8"/>
      <c r="AB8" s="8"/>
      <c r="AC8" s="8"/>
      <c r="AD8" s="8"/>
      <c r="AE8" s="8"/>
      <c r="AF8" s="8"/>
      <c r="AG8" s="8"/>
      <c r="AH8" s="8"/>
      <c r="AI8" s="8"/>
      <c r="AJ8" s="8"/>
      <c r="AK8" s="8"/>
      <c r="AL8" s="8"/>
      <c r="AM8" s="8"/>
      <c r="AN8" s="8"/>
      <c r="AO8" s="9"/>
      <c r="AP8" s="8"/>
      <c r="AQ8" s="9"/>
    </row>
    <row r="9" spans="1:145" ht="13.5" thickBot="1" x14ac:dyDescent="0.25">
      <c r="A9" s="10" t="s">
        <v>45</v>
      </c>
      <c r="B9" s="11" t="s">
        <v>46</v>
      </c>
      <c r="C9" s="12">
        <v>21</v>
      </c>
      <c r="D9" s="11" t="s">
        <v>46</v>
      </c>
      <c r="E9" s="12">
        <v>20</v>
      </c>
      <c r="F9" s="11" t="s">
        <v>46</v>
      </c>
      <c r="G9" s="12">
        <v>19</v>
      </c>
      <c r="H9" s="11" t="s">
        <v>46</v>
      </c>
      <c r="I9" s="12">
        <v>18</v>
      </c>
      <c r="J9" s="11" t="s">
        <v>46</v>
      </c>
      <c r="K9" s="12">
        <v>17</v>
      </c>
      <c r="L9" s="11" t="s">
        <v>46</v>
      </c>
      <c r="M9" s="12">
        <v>16</v>
      </c>
      <c r="N9" s="11" t="s">
        <v>46</v>
      </c>
      <c r="O9" s="12">
        <v>15</v>
      </c>
      <c r="P9" s="11" t="s">
        <v>46</v>
      </c>
      <c r="Q9" s="12">
        <v>14</v>
      </c>
      <c r="R9" s="11" t="s">
        <v>46</v>
      </c>
      <c r="S9" s="12">
        <v>13</v>
      </c>
      <c r="T9" s="11" t="s">
        <v>46</v>
      </c>
      <c r="U9" s="12">
        <v>12</v>
      </c>
      <c r="V9" s="11" t="s">
        <v>46</v>
      </c>
      <c r="W9" s="12">
        <v>11</v>
      </c>
      <c r="X9" s="11" t="s">
        <v>46</v>
      </c>
      <c r="Y9" s="12">
        <v>10</v>
      </c>
      <c r="Z9" s="11" t="s">
        <v>46</v>
      </c>
      <c r="AA9" s="12">
        <v>9</v>
      </c>
      <c r="AB9" s="11" t="s">
        <v>46</v>
      </c>
      <c r="AC9" s="12">
        <v>8</v>
      </c>
      <c r="AD9" s="11" t="s">
        <v>46</v>
      </c>
      <c r="AE9" s="12">
        <v>7</v>
      </c>
      <c r="AF9" s="11" t="s">
        <v>46</v>
      </c>
      <c r="AG9" s="12">
        <v>6</v>
      </c>
      <c r="AH9" s="11" t="s">
        <v>46</v>
      </c>
      <c r="AI9" s="12">
        <v>5</v>
      </c>
      <c r="AJ9" s="11" t="s">
        <v>46</v>
      </c>
      <c r="AK9" s="12">
        <v>4</v>
      </c>
      <c r="AL9" s="11" t="s">
        <v>46</v>
      </c>
      <c r="AM9" s="12">
        <v>3</v>
      </c>
      <c r="AN9" s="11" t="s">
        <v>46</v>
      </c>
      <c r="AO9" s="13">
        <v>2</v>
      </c>
      <c r="AP9" s="11" t="s">
        <v>46</v>
      </c>
      <c r="AQ9" s="13">
        <v>1</v>
      </c>
    </row>
    <row r="10" spans="1:145" ht="13.5" thickBot="1" x14ac:dyDescent="0.25">
      <c r="A10" s="10" t="s">
        <v>47</v>
      </c>
      <c r="B10" s="14" t="s">
        <v>48</v>
      </c>
      <c r="C10" s="112">
        <f>'Basis Hull'!C11</f>
        <v>0</v>
      </c>
      <c r="D10" s="14" t="s">
        <v>48</v>
      </c>
      <c r="E10" s="112">
        <f>'Basis Hull'!E11</f>
        <v>1.6175000000000002</v>
      </c>
      <c r="F10" s="14" t="s">
        <v>48</v>
      </c>
      <c r="G10" s="112">
        <f>'Basis Hull'!G11</f>
        <v>3.2350000000000003</v>
      </c>
      <c r="H10" s="14" t="s">
        <v>48</v>
      </c>
      <c r="I10" s="112">
        <f>'Basis Hull'!I11</f>
        <v>4.8525000000000009</v>
      </c>
      <c r="J10" s="14" t="s">
        <v>48</v>
      </c>
      <c r="K10" s="112">
        <f>'Basis Hull'!K11</f>
        <v>6.4700000000000006</v>
      </c>
      <c r="L10" s="14" t="s">
        <v>48</v>
      </c>
      <c r="M10" s="112">
        <f>'Basis Hull'!M11</f>
        <v>8.0875000000000004</v>
      </c>
      <c r="N10" s="14" t="s">
        <v>48</v>
      </c>
      <c r="O10" s="112">
        <f>'Basis Hull'!O11</f>
        <v>9.7050000000000001</v>
      </c>
      <c r="P10" s="14" t="s">
        <v>48</v>
      </c>
      <c r="Q10" s="112">
        <f>'Basis Hull'!Q11</f>
        <v>11.3225</v>
      </c>
      <c r="R10" s="14" t="s">
        <v>48</v>
      </c>
      <c r="S10" s="112">
        <f>'Basis Hull'!S11</f>
        <v>12.94</v>
      </c>
      <c r="T10" s="14" t="s">
        <v>48</v>
      </c>
      <c r="U10" s="112">
        <f>'Basis Hull'!U11</f>
        <v>14.557499999999999</v>
      </c>
      <c r="V10" s="14" t="s">
        <v>48</v>
      </c>
      <c r="W10" s="112">
        <f>'Basis Hull'!W11</f>
        <v>16.175000000000001</v>
      </c>
      <c r="X10" s="14" t="s">
        <v>48</v>
      </c>
      <c r="Y10" s="112">
        <f>'Basis Hull'!Y11</f>
        <v>17.7925</v>
      </c>
      <c r="Z10" s="14" t="s">
        <v>48</v>
      </c>
      <c r="AA10" s="112">
        <f>'Basis Hull'!AA11</f>
        <v>19.41</v>
      </c>
      <c r="AB10" s="14" t="s">
        <v>48</v>
      </c>
      <c r="AC10" s="112">
        <f>'Basis Hull'!AC11</f>
        <v>21.0275</v>
      </c>
      <c r="AD10" s="14" t="s">
        <v>48</v>
      </c>
      <c r="AE10" s="112">
        <f>'Basis Hull'!AE11</f>
        <v>22.645</v>
      </c>
      <c r="AF10" s="14" t="s">
        <v>48</v>
      </c>
      <c r="AG10" s="112">
        <f>'Basis Hull'!AG11</f>
        <v>24.262499999999999</v>
      </c>
      <c r="AH10" s="14" t="s">
        <v>48</v>
      </c>
      <c r="AI10" s="112">
        <f>'Basis Hull'!AI11</f>
        <v>25.88</v>
      </c>
      <c r="AJ10" s="14" t="s">
        <v>48</v>
      </c>
      <c r="AK10" s="112">
        <f>'Basis Hull'!AK11</f>
        <v>27.497499999999999</v>
      </c>
      <c r="AL10" s="14" t="s">
        <v>48</v>
      </c>
      <c r="AM10" s="112">
        <f>'Basis Hull'!AM11</f>
        <v>29.114999999999998</v>
      </c>
      <c r="AN10" s="14" t="s">
        <v>48</v>
      </c>
      <c r="AO10" s="112">
        <f>'Basis Hull'!AO11</f>
        <v>30.732499999999998</v>
      </c>
      <c r="AP10" s="14" t="s">
        <v>48</v>
      </c>
      <c r="AQ10" s="112">
        <f>'Basis Hull'!AQ11</f>
        <v>32.35</v>
      </c>
    </row>
    <row r="11" spans="1:145" ht="13.5" thickBot="1" x14ac:dyDescent="0.25">
      <c r="A11" s="15"/>
      <c r="B11" s="16" t="s">
        <v>49</v>
      </c>
      <c r="C11" s="17" t="s">
        <v>50</v>
      </c>
      <c r="D11" s="16" t="s">
        <v>49</v>
      </c>
      <c r="E11" s="17" t="s">
        <v>50</v>
      </c>
      <c r="F11" s="16" t="s">
        <v>49</v>
      </c>
      <c r="G11" s="17" t="s">
        <v>50</v>
      </c>
      <c r="H11" s="16" t="s">
        <v>49</v>
      </c>
      <c r="I11" s="17" t="s">
        <v>50</v>
      </c>
      <c r="J11" s="16" t="s">
        <v>49</v>
      </c>
      <c r="K11" s="17" t="s">
        <v>50</v>
      </c>
      <c r="L11" s="16" t="s">
        <v>49</v>
      </c>
      <c r="M11" s="17" t="s">
        <v>50</v>
      </c>
      <c r="N11" s="16" t="s">
        <v>49</v>
      </c>
      <c r="O11" s="17" t="s">
        <v>50</v>
      </c>
      <c r="P11" s="16" t="s">
        <v>49</v>
      </c>
      <c r="Q11" s="17" t="s">
        <v>50</v>
      </c>
      <c r="R11" s="16" t="s">
        <v>49</v>
      </c>
      <c r="S11" s="17" t="s">
        <v>50</v>
      </c>
      <c r="T11" s="16" t="s">
        <v>49</v>
      </c>
      <c r="U11" s="17" t="s">
        <v>50</v>
      </c>
      <c r="V11" s="16" t="s">
        <v>49</v>
      </c>
      <c r="W11" s="17" t="s">
        <v>50</v>
      </c>
      <c r="X11" s="16" t="s">
        <v>49</v>
      </c>
      <c r="Y11" s="17" t="s">
        <v>50</v>
      </c>
      <c r="Z11" s="16" t="s">
        <v>49</v>
      </c>
      <c r="AA11" s="17" t="s">
        <v>50</v>
      </c>
      <c r="AB11" s="16" t="s">
        <v>49</v>
      </c>
      <c r="AC11" s="17" t="s">
        <v>50</v>
      </c>
      <c r="AD11" s="16" t="s">
        <v>49</v>
      </c>
      <c r="AE11" s="17" t="s">
        <v>50</v>
      </c>
      <c r="AF11" s="16" t="s">
        <v>49</v>
      </c>
      <c r="AG11" s="17" t="s">
        <v>50</v>
      </c>
      <c r="AH11" s="16" t="s">
        <v>49</v>
      </c>
      <c r="AI11" s="17" t="s">
        <v>50</v>
      </c>
      <c r="AJ11" s="16" t="s">
        <v>49</v>
      </c>
      <c r="AK11" s="17" t="s">
        <v>50</v>
      </c>
      <c r="AL11" s="16" t="s">
        <v>49</v>
      </c>
      <c r="AM11" s="17" t="s">
        <v>50</v>
      </c>
      <c r="AN11" s="16" t="s">
        <v>49</v>
      </c>
      <c r="AO11" s="18" t="s">
        <v>50</v>
      </c>
      <c r="AP11" s="16" t="s">
        <v>49</v>
      </c>
      <c r="AQ11" s="18" t="s">
        <v>50</v>
      </c>
      <c r="AR11" s="38"/>
    </row>
    <row r="12" spans="1:145" x14ac:dyDescent="0.2">
      <c r="A12" s="10">
        <v>1</v>
      </c>
      <c r="B12" s="122">
        <f>'Basis Hull'!B13</f>
        <v>0</v>
      </c>
      <c r="C12" s="123">
        <f>'Basis Hull'!C13</f>
        <v>0</v>
      </c>
      <c r="D12" s="122">
        <f>'Basis Hull'!D13</f>
        <v>0</v>
      </c>
      <c r="E12" s="123">
        <f>'Basis Hull'!E13</f>
        <v>0</v>
      </c>
      <c r="F12" s="122">
        <f>'Basis Hull'!F13</f>
        <v>0</v>
      </c>
      <c r="G12" s="123">
        <f>'Basis Hull'!G13</f>
        <v>0</v>
      </c>
      <c r="H12" s="120">
        <f>'Basis Hull'!H13</f>
        <v>0</v>
      </c>
      <c r="I12" s="113">
        <f>'Basis Hull'!I13</f>
        <v>0</v>
      </c>
      <c r="J12" s="111">
        <f>'Basis Hull'!J13</f>
        <v>0</v>
      </c>
      <c r="K12" s="113">
        <f>'Basis Hull'!K13</f>
        <v>0</v>
      </c>
      <c r="L12" s="111">
        <f>'Basis Hull'!L13</f>
        <v>0</v>
      </c>
      <c r="M12" s="113">
        <f>'Basis Hull'!M13</f>
        <v>0.08</v>
      </c>
      <c r="N12" s="111">
        <f>'Basis Hull'!N13</f>
        <v>0</v>
      </c>
      <c r="O12" s="113">
        <f>'Basis Hull'!O13</f>
        <v>0.08</v>
      </c>
      <c r="P12" s="111">
        <f>'Basis Hull'!P13</f>
        <v>0</v>
      </c>
      <c r="Q12" s="113">
        <f>'Basis Hull'!Q13</f>
        <v>0.08</v>
      </c>
      <c r="R12" s="111">
        <f>'Basis Hull'!R13</f>
        <v>0</v>
      </c>
      <c r="S12" s="113">
        <f>'Basis Hull'!S13</f>
        <v>0.08</v>
      </c>
      <c r="T12" s="111">
        <f>'Basis Hull'!T13</f>
        <v>0</v>
      </c>
      <c r="U12" s="114">
        <f>'Basis Hull'!U13</f>
        <v>0.08</v>
      </c>
      <c r="V12" s="111">
        <f>'Basis Hull'!V13</f>
        <v>0</v>
      </c>
      <c r="W12" s="113">
        <f>'Basis Hull'!W13</f>
        <v>0.08</v>
      </c>
      <c r="X12" s="111">
        <f>'Basis Hull'!X13</f>
        <v>0</v>
      </c>
      <c r="Y12" s="113">
        <f>'Basis Hull'!Y13</f>
        <v>0.08</v>
      </c>
      <c r="Z12" s="111">
        <f>'Basis Hull'!Z13</f>
        <v>0</v>
      </c>
      <c r="AA12" s="113">
        <f>'Basis Hull'!AA13</f>
        <v>0.08</v>
      </c>
      <c r="AB12" s="111">
        <f>'Basis Hull'!AB13</f>
        <v>0</v>
      </c>
      <c r="AC12" s="113">
        <f>'Basis Hull'!AC13</f>
        <v>0.08</v>
      </c>
      <c r="AD12" s="111">
        <f>'Basis Hull'!AD13</f>
        <v>0</v>
      </c>
      <c r="AE12" s="113">
        <f>'Basis Hull'!AE13</f>
        <v>0.08</v>
      </c>
      <c r="AF12" s="111">
        <f>'Basis Hull'!AF13</f>
        <v>0</v>
      </c>
      <c r="AG12" s="113">
        <f>'Basis Hull'!AG13</f>
        <v>0</v>
      </c>
      <c r="AH12" s="111">
        <f>'Basis Hull'!AH13</f>
        <v>0</v>
      </c>
      <c r="AI12" s="113">
        <f>'Basis Hull'!AI13</f>
        <v>0</v>
      </c>
      <c r="AJ12" s="111">
        <f>'Basis Hull'!AJ13</f>
        <v>0</v>
      </c>
      <c r="AK12" s="113">
        <f>'Basis Hull'!AK13</f>
        <v>0</v>
      </c>
      <c r="AL12" s="111">
        <f>'Basis Hull'!AL13</f>
        <v>0</v>
      </c>
      <c r="AM12" s="113">
        <f>'Basis Hull'!AM13</f>
        <v>0</v>
      </c>
      <c r="AN12" s="111">
        <f>'Basis Hull'!AN13</f>
        <v>0</v>
      </c>
      <c r="AO12" s="115">
        <f>'Basis Hull'!AO13</f>
        <v>0</v>
      </c>
      <c r="AP12" s="111">
        <f>'Basis Hull'!AP13</f>
        <v>0</v>
      </c>
      <c r="AQ12" s="115">
        <f>'Basis Hull'!AQ13</f>
        <v>0</v>
      </c>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row>
    <row r="13" spans="1:145" x14ac:dyDescent="0.2">
      <c r="A13" s="10">
        <v>2</v>
      </c>
      <c r="B13" s="111">
        <f>'Basis Hull'!B14</f>
        <v>0.19999999999999998</v>
      </c>
      <c r="C13" s="115">
        <f>'Basis Hull'!C14</f>
        <v>0</v>
      </c>
      <c r="D13" s="111">
        <f>'Basis Hull'!D14</f>
        <v>0.19999999999999998</v>
      </c>
      <c r="E13" s="115">
        <f>'Basis Hull'!E14</f>
        <v>0</v>
      </c>
      <c r="F13" s="111">
        <f>'Basis Hull'!F14</f>
        <v>0.19999999999999998</v>
      </c>
      <c r="G13" s="115">
        <f>'Basis Hull'!G14</f>
        <v>0</v>
      </c>
      <c r="H13" s="120">
        <f>'Basis Hull'!H14</f>
        <v>0.19999999999999998</v>
      </c>
      <c r="I13" s="113">
        <f>'Basis Hull'!I14</f>
        <v>0</v>
      </c>
      <c r="J13" s="111">
        <f>'Basis Hull'!J14</f>
        <v>0.19999999999999998</v>
      </c>
      <c r="K13" s="113">
        <f>'Basis Hull'!K14</f>
        <v>7.4999999999999997E-2</v>
      </c>
      <c r="L13" s="111">
        <f>'Basis Hull'!L14</f>
        <v>0.19999999999999998</v>
      </c>
      <c r="M13" s="113">
        <f>'Basis Hull'!M14</f>
        <v>0.09</v>
      </c>
      <c r="N13" s="111">
        <f>'Basis Hull'!N14</f>
        <v>0.19999999999999998</v>
      </c>
      <c r="O13" s="113">
        <f>'Basis Hull'!O14</f>
        <v>0.09</v>
      </c>
      <c r="P13" s="111">
        <f>'Basis Hull'!P14</f>
        <v>0.19999999999999998</v>
      </c>
      <c r="Q13" s="113">
        <f>'Basis Hull'!Q14</f>
        <v>0.09</v>
      </c>
      <c r="R13" s="111">
        <f>'Basis Hull'!R14</f>
        <v>0.19999999999999998</v>
      </c>
      <c r="S13" s="113">
        <f>'Basis Hull'!S14</f>
        <v>0.09</v>
      </c>
      <c r="T13" s="111">
        <f>'Basis Hull'!T14</f>
        <v>0.19999999999999998</v>
      </c>
      <c r="U13" s="114">
        <f>'Basis Hull'!U14</f>
        <v>0.09</v>
      </c>
      <c r="V13" s="111">
        <f>'Basis Hull'!V14</f>
        <v>0.19999999999999998</v>
      </c>
      <c r="W13" s="113">
        <f>'Basis Hull'!W14</f>
        <v>0.09</v>
      </c>
      <c r="X13" s="111">
        <f>'Basis Hull'!X14</f>
        <v>0.19999999999999998</v>
      </c>
      <c r="Y13" s="113">
        <f>'Basis Hull'!Y14</f>
        <v>0.09</v>
      </c>
      <c r="Z13" s="111">
        <f>'Basis Hull'!Z14</f>
        <v>0.19999999999999998</v>
      </c>
      <c r="AA13" s="113">
        <f>'Basis Hull'!AA14</f>
        <v>0.09</v>
      </c>
      <c r="AB13" s="111">
        <f>'Basis Hull'!AB14</f>
        <v>0.19999999999999998</v>
      </c>
      <c r="AC13" s="113">
        <f>'Basis Hull'!AC14</f>
        <v>0.09</v>
      </c>
      <c r="AD13" s="111">
        <f>'Basis Hull'!AD14</f>
        <v>0.19999999999999998</v>
      </c>
      <c r="AE13" s="113">
        <f>'Basis Hull'!AE14</f>
        <v>0.09</v>
      </c>
      <c r="AF13" s="111">
        <f>'Basis Hull'!AF14</f>
        <v>0.19999999999999998</v>
      </c>
      <c r="AG13" s="113">
        <f>'Basis Hull'!AG14</f>
        <v>0.06</v>
      </c>
      <c r="AH13" s="111">
        <f>'Basis Hull'!AH14</f>
        <v>0.19999999999999998</v>
      </c>
      <c r="AI13" s="113">
        <f>'Basis Hull'!AI14</f>
        <v>0</v>
      </c>
      <c r="AJ13" s="111">
        <f>'Basis Hull'!AJ14</f>
        <v>0.19999999999999998</v>
      </c>
      <c r="AK13" s="113">
        <f>'Basis Hull'!AK14</f>
        <v>0</v>
      </c>
      <c r="AL13" s="111">
        <f>'Basis Hull'!AL14</f>
        <v>0.19999999999999998</v>
      </c>
      <c r="AM13" s="113">
        <f>'Basis Hull'!AM14</f>
        <v>0</v>
      </c>
      <c r="AN13" s="111">
        <f>'Basis Hull'!AN14</f>
        <v>0.19999999999999998</v>
      </c>
      <c r="AO13" s="115">
        <f>'Basis Hull'!AO14</f>
        <v>0</v>
      </c>
      <c r="AP13" s="111">
        <f>'Basis Hull'!AP14</f>
        <v>0.19999999999999998</v>
      </c>
      <c r="AQ13" s="115">
        <f>'Basis Hull'!AQ14</f>
        <v>0</v>
      </c>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row>
    <row r="14" spans="1:145" x14ac:dyDescent="0.2">
      <c r="A14" s="10">
        <v>3</v>
      </c>
      <c r="B14" s="111">
        <f>'Basis Hull'!B15</f>
        <v>0.39999999999999997</v>
      </c>
      <c r="C14" s="115">
        <f>'Basis Hull'!C15</f>
        <v>0</v>
      </c>
      <c r="D14" s="111">
        <f>'Basis Hull'!D15</f>
        <v>0.39999999999999997</v>
      </c>
      <c r="E14" s="115">
        <f>'Basis Hull'!E15</f>
        <v>0</v>
      </c>
      <c r="F14" s="111">
        <f>'Basis Hull'!F15</f>
        <v>0.39999999999999997</v>
      </c>
      <c r="G14" s="115">
        <f>'Basis Hull'!G15</f>
        <v>0</v>
      </c>
      <c r="H14" s="120">
        <f>'Basis Hull'!H15</f>
        <v>0.39999999999999997</v>
      </c>
      <c r="I14" s="113">
        <f>'Basis Hull'!I15</f>
        <v>0.1</v>
      </c>
      <c r="J14" s="111">
        <f>'Basis Hull'!J15</f>
        <v>0.39999999999999997</v>
      </c>
      <c r="K14" s="113">
        <f>'Basis Hull'!K15</f>
        <v>0.18</v>
      </c>
      <c r="L14" s="111">
        <f>'Basis Hull'!L15</f>
        <v>0.39999999999999997</v>
      </c>
      <c r="M14" s="113">
        <f>'Basis Hull'!M15</f>
        <v>0.22</v>
      </c>
      <c r="N14" s="111">
        <f>'Basis Hull'!N15</f>
        <v>0.39999999999999997</v>
      </c>
      <c r="O14" s="113">
        <f>'Basis Hull'!O15</f>
        <v>0.22</v>
      </c>
      <c r="P14" s="111">
        <f>'Basis Hull'!P15</f>
        <v>0.39999999999999997</v>
      </c>
      <c r="Q14" s="113">
        <f>'Basis Hull'!Q15</f>
        <v>0.22</v>
      </c>
      <c r="R14" s="111">
        <f>'Basis Hull'!R15</f>
        <v>0.39999999999999997</v>
      </c>
      <c r="S14" s="113">
        <f>'Basis Hull'!S15</f>
        <v>0.22</v>
      </c>
      <c r="T14" s="111">
        <f>'Basis Hull'!T15</f>
        <v>0.39999999999999997</v>
      </c>
      <c r="U14" s="114">
        <f>'Basis Hull'!U15</f>
        <v>0.22</v>
      </c>
      <c r="V14" s="111">
        <f>'Basis Hull'!V15</f>
        <v>0.39999999999999997</v>
      </c>
      <c r="W14" s="113">
        <f>'Basis Hull'!W15</f>
        <v>0.22</v>
      </c>
      <c r="X14" s="111">
        <f>'Basis Hull'!X15</f>
        <v>0.39999999999999997</v>
      </c>
      <c r="Y14" s="113">
        <f>'Basis Hull'!Y15</f>
        <v>0.22</v>
      </c>
      <c r="Z14" s="111">
        <f>'Basis Hull'!Z15</f>
        <v>0.39999999999999997</v>
      </c>
      <c r="AA14" s="113">
        <f>'Basis Hull'!AA15</f>
        <v>0.22</v>
      </c>
      <c r="AB14" s="111">
        <f>'Basis Hull'!AB15</f>
        <v>0.39999999999999997</v>
      </c>
      <c r="AC14" s="113">
        <f>'Basis Hull'!AC15</f>
        <v>0.22</v>
      </c>
      <c r="AD14" s="111">
        <f>'Basis Hull'!AD15</f>
        <v>0.39999999999999997</v>
      </c>
      <c r="AE14" s="113">
        <f>'Basis Hull'!AE15</f>
        <v>0.22</v>
      </c>
      <c r="AF14" s="111">
        <f>'Basis Hull'!AF15</f>
        <v>0.39999999999999997</v>
      </c>
      <c r="AG14" s="113">
        <f>'Basis Hull'!AG15</f>
        <v>0.17</v>
      </c>
      <c r="AH14" s="111">
        <f>'Basis Hull'!AH15</f>
        <v>0.39999999999999997</v>
      </c>
      <c r="AI14" s="113">
        <f>'Basis Hull'!AI15</f>
        <v>0.13</v>
      </c>
      <c r="AJ14" s="111">
        <f>'Basis Hull'!AJ15</f>
        <v>0.39999999999999997</v>
      </c>
      <c r="AK14" s="113">
        <f>'Basis Hull'!AK15</f>
        <v>0.03</v>
      </c>
      <c r="AL14" s="111">
        <f>'Basis Hull'!AL15</f>
        <v>0.39999999999999997</v>
      </c>
      <c r="AM14" s="113">
        <f>'Basis Hull'!AM15</f>
        <v>0</v>
      </c>
      <c r="AN14" s="111">
        <f>'Basis Hull'!AN15</f>
        <v>0.39999999999999997</v>
      </c>
      <c r="AO14" s="115">
        <f>'Basis Hull'!AO15</f>
        <v>0</v>
      </c>
      <c r="AP14" s="111">
        <f>'Basis Hull'!AP15</f>
        <v>0.39999999999999997</v>
      </c>
      <c r="AQ14" s="115">
        <f>'Basis Hull'!AQ15</f>
        <v>0</v>
      </c>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row>
    <row r="15" spans="1:145" x14ac:dyDescent="0.2">
      <c r="A15" s="10">
        <v>4</v>
      </c>
      <c r="B15" s="111">
        <f>'Basis Hull'!B16</f>
        <v>0.6</v>
      </c>
      <c r="C15" s="115">
        <f>'Basis Hull'!C16</f>
        <v>0</v>
      </c>
      <c r="D15" s="111">
        <f>'Basis Hull'!D16</f>
        <v>0.6</v>
      </c>
      <c r="E15" s="115">
        <f>'Basis Hull'!E16</f>
        <v>0</v>
      </c>
      <c r="F15" s="111">
        <f>'Basis Hull'!F16</f>
        <v>0.6</v>
      </c>
      <c r="G15" s="115">
        <f>'Basis Hull'!G16</f>
        <v>7.0000000000000007E-2</v>
      </c>
      <c r="H15" s="120">
        <f>'Basis Hull'!H16</f>
        <v>0.6</v>
      </c>
      <c r="I15" s="113">
        <f>'Basis Hull'!I16</f>
        <v>0.35</v>
      </c>
      <c r="J15" s="111">
        <f>'Basis Hull'!J16</f>
        <v>0.6</v>
      </c>
      <c r="K15" s="113">
        <f>'Basis Hull'!K16</f>
        <v>0.62</v>
      </c>
      <c r="L15" s="111">
        <f>'Basis Hull'!L16</f>
        <v>0.6</v>
      </c>
      <c r="M15" s="113">
        <f>'Basis Hull'!M16</f>
        <v>0.78</v>
      </c>
      <c r="N15" s="111">
        <f>'Basis Hull'!N16</f>
        <v>0.6</v>
      </c>
      <c r="O15" s="113">
        <f>'Basis Hull'!O16</f>
        <v>0.98</v>
      </c>
      <c r="P15" s="111">
        <f>'Basis Hull'!P16</f>
        <v>0.6</v>
      </c>
      <c r="Q15" s="113">
        <f>'Basis Hull'!Q16</f>
        <v>0.98</v>
      </c>
      <c r="R15" s="111">
        <f>'Basis Hull'!R16</f>
        <v>0.6</v>
      </c>
      <c r="S15" s="113">
        <f>'Basis Hull'!S16</f>
        <v>0.98</v>
      </c>
      <c r="T15" s="111">
        <f>'Basis Hull'!T16</f>
        <v>0.6</v>
      </c>
      <c r="U15" s="114">
        <f>'Basis Hull'!U16</f>
        <v>0.98</v>
      </c>
      <c r="V15" s="111">
        <f>'Basis Hull'!V16</f>
        <v>0.6</v>
      </c>
      <c r="W15" s="113">
        <f>'Basis Hull'!W16</f>
        <v>0.98</v>
      </c>
      <c r="X15" s="111">
        <f>'Basis Hull'!X16</f>
        <v>0.6</v>
      </c>
      <c r="Y15" s="113">
        <f>'Basis Hull'!Y16</f>
        <v>0.98</v>
      </c>
      <c r="Z15" s="111">
        <f>'Basis Hull'!Z16</f>
        <v>0.6</v>
      </c>
      <c r="AA15" s="113">
        <f>'Basis Hull'!AA16</f>
        <v>0.98</v>
      </c>
      <c r="AB15" s="111">
        <f>'Basis Hull'!AB16</f>
        <v>0.6</v>
      </c>
      <c r="AC15" s="113">
        <f>'Basis Hull'!AC16</f>
        <v>0.98</v>
      </c>
      <c r="AD15" s="111">
        <f>'Basis Hull'!AD16</f>
        <v>0.6</v>
      </c>
      <c r="AE15" s="113">
        <f>'Basis Hull'!AE16</f>
        <v>0.92</v>
      </c>
      <c r="AF15" s="111">
        <f>'Basis Hull'!AF16</f>
        <v>0.6</v>
      </c>
      <c r="AG15" s="113">
        <f>'Basis Hull'!AG16</f>
        <v>0.72</v>
      </c>
      <c r="AH15" s="111">
        <f>'Basis Hull'!AH16</f>
        <v>0.6</v>
      </c>
      <c r="AI15" s="113">
        <f>'Basis Hull'!AI16</f>
        <v>0.45</v>
      </c>
      <c r="AJ15" s="111">
        <f>'Basis Hull'!AJ16</f>
        <v>0.6</v>
      </c>
      <c r="AK15" s="113">
        <f>'Basis Hull'!AK16</f>
        <v>0.23</v>
      </c>
      <c r="AL15" s="111">
        <f>'Basis Hull'!AL16</f>
        <v>0.6</v>
      </c>
      <c r="AM15" s="113">
        <f>'Basis Hull'!AM16</f>
        <v>0.08</v>
      </c>
      <c r="AN15" s="111">
        <f>'Basis Hull'!AN16</f>
        <v>0.6</v>
      </c>
      <c r="AO15" s="115">
        <f>'Basis Hull'!AO16</f>
        <v>0</v>
      </c>
      <c r="AP15" s="111">
        <f>'Basis Hull'!AP16</f>
        <v>0.6</v>
      </c>
      <c r="AQ15" s="115">
        <f>'Basis Hull'!AQ16</f>
        <v>0</v>
      </c>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row>
    <row r="16" spans="1:145" x14ac:dyDescent="0.2">
      <c r="A16" s="10">
        <v>5</v>
      </c>
      <c r="B16" s="111">
        <f>'Basis Hull'!B17</f>
        <v>0.79999999999999993</v>
      </c>
      <c r="C16" s="115">
        <f>'Basis Hull'!C17</f>
        <v>0</v>
      </c>
      <c r="D16" s="111">
        <f>'Basis Hull'!D17</f>
        <v>0.79999999999999993</v>
      </c>
      <c r="E16" s="115">
        <f>'Basis Hull'!E17</f>
        <v>0</v>
      </c>
      <c r="F16" s="111">
        <f>'Basis Hull'!F17</f>
        <v>0.79999999999999993</v>
      </c>
      <c r="G16" s="115">
        <f>'Basis Hull'!G17</f>
        <v>0.38</v>
      </c>
      <c r="H16" s="120">
        <f>'Basis Hull'!H17</f>
        <v>0.79999999999999993</v>
      </c>
      <c r="I16" s="113">
        <f>'Basis Hull'!I17</f>
        <v>0.83</v>
      </c>
      <c r="J16" s="111">
        <f>'Basis Hull'!J17</f>
        <v>0.79999999999999993</v>
      </c>
      <c r="K16" s="113">
        <f>'Basis Hull'!K17</f>
        <v>1.1499999999999999</v>
      </c>
      <c r="L16" s="111">
        <f>'Basis Hull'!L17</f>
        <v>0.79999999999999993</v>
      </c>
      <c r="M16" s="113">
        <f>'Basis Hull'!M17</f>
        <v>1.36</v>
      </c>
      <c r="N16" s="111">
        <f>'Basis Hull'!N17</f>
        <v>0.79999999999999993</v>
      </c>
      <c r="O16" s="113">
        <f>'Basis Hull'!O17</f>
        <v>1.44</v>
      </c>
      <c r="P16" s="111">
        <f>'Basis Hull'!P17</f>
        <v>0.79999999999999993</v>
      </c>
      <c r="Q16" s="113">
        <f>'Basis Hull'!Q17</f>
        <v>1.44</v>
      </c>
      <c r="R16" s="111">
        <f>'Basis Hull'!R17</f>
        <v>0.79999999999999993</v>
      </c>
      <c r="S16" s="113">
        <f>'Basis Hull'!S17</f>
        <v>1.44</v>
      </c>
      <c r="T16" s="111">
        <f>'Basis Hull'!T17</f>
        <v>0.79999999999999993</v>
      </c>
      <c r="U16" s="114">
        <f>'Basis Hull'!U17</f>
        <v>1.44</v>
      </c>
      <c r="V16" s="111">
        <f>'Basis Hull'!V17</f>
        <v>0.79999999999999993</v>
      </c>
      <c r="W16" s="113">
        <f>'Basis Hull'!W17</f>
        <v>1.44</v>
      </c>
      <c r="X16" s="111">
        <f>'Basis Hull'!X17</f>
        <v>0.79999999999999993</v>
      </c>
      <c r="Y16" s="113">
        <f>'Basis Hull'!Y17</f>
        <v>1.44</v>
      </c>
      <c r="Z16" s="111">
        <f>'Basis Hull'!Z17</f>
        <v>0.79999999999999993</v>
      </c>
      <c r="AA16" s="113">
        <f>'Basis Hull'!AA17</f>
        <v>1.44</v>
      </c>
      <c r="AB16" s="111">
        <f>'Basis Hull'!AB17</f>
        <v>0.79999999999999993</v>
      </c>
      <c r="AC16" s="113">
        <f>'Basis Hull'!AC17</f>
        <v>1.44</v>
      </c>
      <c r="AD16" s="111">
        <f>'Basis Hull'!AD17</f>
        <v>0.79999999999999993</v>
      </c>
      <c r="AE16" s="113">
        <f>'Basis Hull'!AE17</f>
        <v>1.37</v>
      </c>
      <c r="AF16" s="111">
        <f>'Basis Hull'!AF17</f>
        <v>0.79999999999999993</v>
      </c>
      <c r="AG16" s="113">
        <f>'Basis Hull'!AG17</f>
        <v>1.21</v>
      </c>
      <c r="AH16" s="111">
        <f>'Basis Hull'!AH17</f>
        <v>0.79999999999999993</v>
      </c>
      <c r="AI16" s="113">
        <f>'Basis Hull'!AI17</f>
        <v>0.92</v>
      </c>
      <c r="AJ16" s="111">
        <f>'Basis Hull'!AJ17</f>
        <v>0.79999999999999993</v>
      </c>
      <c r="AK16" s="113">
        <f>'Basis Hull'!AK17</f>
        <v>0.56000000000000005</v>
      </c>
      <c r="AL16" s="111">
        <f>'Basis Hull'!AL17</f>
        <v>0.79999999999999993</v>
      </c>
      <c r="AM16" s="113">
        <f>'Basis Hull'!AM17</f>
        <v>0.3</v>
      </c>
      <c r="AN16" s="111">
        <f>'Basis Hull'!AN17</f>
        <v>0.79999999999999993</v>
      </c>
      <c r="AO16" s="115">
        <f>'Basis Hull'!AO17</f>
        <v>0.11</v>
      </c>
      <c r="AP16" s="111">
        <f>'Basis Hull'!AP17</f>
        <v>0.79999999999999993</v>
      </c>
      <c r="AQ16" s="115">
        <f>'Basis Hull'!AQ17</f>
        <v>0</v>
      </c>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row>
    <row r="17" spans="1:145" x14ac:dyDescent="0.2">
      <c r="A17" s="10">
        <v>6</v>
      </c>
      <c r="B17" s="124">
        <f>'Basis Hull'!B18</f>
        <v>0.99999999999999989</v>
      </c>
      <c r="C17" s="115">
        <f>'Basis Hull'!C18</f>
        <v>0</v>
      </c>
      <c r="D17" s="111">
        <f>'Basis Hull'!D18</f>
        <v>0.99999999999999989</v>
      </c>
      <c r="E17" s="115">
        <f>'Basis Hull'!E18</f>
        <v>0.3</v>
      </c>
      <c r="F17" s="111">
        <f>'Basis Hull'!F18</f>
        <v>0.99999999999999989</v>
      </c>
      <c r="G17" s="115">
        <f>'Basis Hull'!G18</f>
        <v>0.88</v>
      </c>
      <c r="H17" s="120">
        <f>'Basis Hull'!H18</f>
        <v>0.99999999999999989</v>
      </c>
      <c r="I17" s="113">
        <f>'Basis Hull'!I18</f>
        <v>1.29</v>
      </c>
      <c r="J17" s="63">
        <f>'Basis Hull'!J18</f>
        <v>0.99999999999999989</v>
      </c>
      <c r="K17" s="113">
        <f>'Basis Hull'!K18</f>
        <v>1.53</v>
      </c>
      <c r="L17" s="63">
        <f>'Basis Hull'!L18</f>
        <v>0.99999999999999989</v>
      </c>
      <c r="M17" s="113">
        <f>'Basis Hull'!M18</f>
        <v>1.65</v>
      </c>
      <c r="N17" s="63">
        <f>'Basis Hull'!N18</f>
        <v>0.99999999999999989</v>
      </c>
      <c r="O17" s="113">
        <f>'Basis Hull'!O18</f>
        <v>1.71</v>
      </c>
      <c r="P17" s="111">
        <f>'Basis Hull'!P18</f>
        <v>0.99999999999999989</v>
      </c>
      <c r="Q17" s="113">
        <f>'Basis Hull'!Q18</f>
        <v>1.71</v>
      </c>
      <c r="R17" s="111">
        <f>'Basis Hull'!R18</f>
        <v>0.99999999999999989</v>
      </c>
      <c r="S17" s="113">
        <f>'Basis Hull'!S18</f>
        <v>1.71</v>
      </c>
      <c r="T17" s="111">
        <f>'Basis Hull'!T18</f>
        <v>0.99999999999999989</v>
      </c>
      <c r="U17" s="114">
        <f>'Basis Hull'!U18</f>
        <v>1.71</v>
      </c>
      <c r="V17" s="111">
        <f>'Basis Hull'!V18</f>
        <v>0.99999999999999989</v>
      </c>
      <c r="W17" s="113">
        <f>'Basis Hull'!W18</f>
        <v>1.71</v>
      </c>
      <c r="X17" s="111">
        <f>'Basis Hull'!X18</f>
        <v>0.99999999999999989</v>
      </c>
      <c r="Y17" s="113">
        <f>'Basis Hull'!Y18</f>
        <v>1.71</v>
      </c>
      <c r="Z17" s="111">
        <f>'Basis Hull'!Z18</f>
        <v>0.99999999999999989</v>
      </c>
      <c r="AA17" s="113">
        <f>'Basis Hull'!AA18</f>
        <v>1.71</v>
      </c>
      <c r="AB17" s="111">
        <f>'Basis Hull'!AB18</f>
        <v>0.99999999999999989</v>
      </c>
      <c r="AC17" s="113">
        <f>'Basis Hull'!AC18</f>
        <v>1.71</v>
      </c>
      <c r="AD17" s="63">
        <f>'Basis Hull'!AD18</f>
        <v>0.99999999999999989</v>
      </c>
      <c r="AE17" s="113">
        <f>'Basis Hull'!AE18</f>
        <v>1.65</v>
      </c>
      <c r="AF17" s="63">
        <f>'Basis Hull'!AF18</f>
        <v>0.99999999999999989</v>
      </c>
      <c r="AG17" s="113">
        <f>'Basis Hull'!AG18</f>
        <v>1.48</v>
      </c>
      <c r="AH17" s="63">
        <f>'Basis Hull'!AH18</f>
        <v>0.99999999999999989</v>
      </c>
      <c r="AI17" s="113">
        <f>'Basis Hull'!AI18</f>
        <v>1.18</v>
      </c>
      <c r="AJ17" s="63">
        <f>'Basis Hull'!AJ18</f>
        <v>0.99999999999999989</v>
      </c>
      <c r="AK17" s="113">
        <f>'Basis Hull'!AK18</f>
        <v>0.79</v>
      </c>
      <c r="AL17" s="63">
        <f>'Basis Hull'!AL18</f>
        <v>0.99999999999999989</v>
      </c>
      <c r="AM17" s="113">
        <f>'Basis Hull'!AM18</f>
        <v>0.53</v>
      </c>
      <c r="AN17" s="63">
        <f>'Basis Hull'!AN18</f>
        <v>0.99999999999999989</v>
      </c>
      <c r="AO17" s="115">
        <f>'Basis Hull'!AO18</f>
        <v>0.3</v>
      </c>
      <c r="AP17" s="63">
        <f>'Basis Hull'!AP18</f>
        <v>0.99999999999999989</v>
      </c>
      <c r="AQ17" s="115">
        <f>'Basis Hull'!AQ18</f>
        <v>0</v>
      </c>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row>
    <row r="18" spans="1:145" x14ac:dyDescent="0.2">
      <c r="A18" s="10">
        <v>7</v>
      </c>
      <c r="B18" s="124">
        <f>'Basis Hull'!B19</f>
        <v>1.2</v>
      </c>
      <c r="C18" s="115">
        <f>'Basis Hull'!C19</f>
        <v>0.03</v>
      </c>
      <c r="D18" s="124">
        <f>'Basis Hull'!D19</f>
        <v>1.2</v>
      </c>
      <c r="E18" s="115">
        <f>'Basis Hull'!E19</f>
        <v>0.8</v>
      </c>
      <c r="F18" s="124">
        <f>'Basis Hull'!F19</f>
        <v>1.2</v>
      </c>
      <c r="G18" s="115">
        <f>'Basis Hull'!G19</f>
        <v>1.32</v>
      </c>
      <c r="H18" s="120">
        <f>'Basis Hull'!H19</f>
        <v>1.2</v>
      </c>
      <c r="I18" s="113">
        <f>'Basis Hull'!I19</f>
        <v>1.6</v>
      </c>
      <c r="J18" s="111">
        <f>'Basis Hull'!J19</f>
        <v>1.2</v>
      </c>
      <c r="K18" s="113">
        <f>'Basis Hull'!K19</f>
        <v>1.76</v>
      </c>
      <c r="L18" s="111">
        <f>'Basis Hull'!L19</f>
        <v>1.2</v>
      </c>
      <c r="M18" s="113">
        <f>'Basis Hull'!M19</f>
        <v>1.85</v>
      </c>
      <c r="N18" s="111">
        <f>'Basis Hull'!N19</f>
        <v>1.2</v>
      </c>
      <c r="O18" s="113">
        <f>'Basis Hull'!O19</f>
        <v>1.89</v>
      </c>
      <c r="P18" s="63">
        <f>'Basis Hull'!P19</f>
        <v>1.2</v>
      </c>
      <c r="Q18" s="113">
        <f>'Basis Hull'!Q19</f>
        <v>1.89</v>
      </c>
      <c r="R18" s="63">
        <f>'Basis Hull'!R19</f>
        <v>1.2</v>
      </c>
      <c r="S18" s="113">
        <f>'Basis Hull'!S19</f>
        <v>1.89</v>
      </c>
      <c r="T18" s="63">
        <f>'Basis Hull'!T19</f>
        <v>1.2</v>
      </c>
      <c r="U18" s="114">
        <f>'Basis Hull'!U19</f>
        <v>1.89</v>
      </c>
      <c r="V18" s="63">
        <f>'Basis Hull'!V19</f>
        <v>1.2</v>
      </c>
      <c r="W18" s="113">
        <f>'Basis Hull'!W19</f>
        <v>1.89</v>
      </c>
      <c r="X18" s="63">
        <f>'Basis Hull'!X19</f>
        <v>1.2</v>
      </c>
      <c r="Y18" s="113">
        <f>'Basis Hull'!Y19</f>
        <v>1.89</v>
      </c>
      <c r="Z18" s="63">
        <f>'Basis Hull'!Z19</f>
        <v>1.2</v>
      </c>
      <c r="AA18" s="113">
        <f>'Basis Hull'!AA19</f>
        <v>1.89</v>
      </c>
      <c r="AB18" s="63">
        <f>'Basis Hull'!AB19</f>
        <v>1.2</v>
      </c>
      <c r="AC18" s="113">
        <f>'Basis Hull'!AC19</f>
        <v>1.89</v>
      </c>
      <c r="AD18" s="111">
        <f>'Basis Hull'!AD19</f>
        <v>1.2</v>
      </c>
      <c r="AE18" s="113">
        <f>'Basis Hull'!AE19</f>
        <v>1.83</v>
      </c>
      <c r="AF18" s="111">
        <f>'Basis Hull'!AF19</f>
        <v>1.2</v>
      </c>
      <c r="AG18" s="113">
        <f>'Basis Hull'!AG19</f>
        <v>1.66</v>
      </c>
      <c r="AH18" s="111">
        <f>'Basis Hull'!AH19</f>
        <v>1.2</v>
      </c>
      <c r="AI18" s="113">
        <f>'Basis Hull'!AI19</f>
        <v>1.37</v>
      </c>
      <c r="AJ18" s="111">
        <f>'Basis Hull'!AJ19</f>
        <v>1.2</v>
      </c>
      <c r="AK18" s="113">
        <f>'Basis Hull'!AK19</f>
        <v>0.95</v>
      </c>
      <c r="AL18" s="111">
        <f>'Basis Hull'!AL19</f>
        <v>1.2</v>
      </c>
      <c r="AM18" s="113">
        <f>'Basis Hull'!AM19</f>
        <v>0.66</v>
      </c>
      <c r="AN18" s="111">
        <f>'Basis Hull'!AN19</f>
        <v>1.2</v>
      </c>
      <c r="AO18" s="115">
        <f>'Basis Hull'!AO19</f>
        <v>0.28000000000000003</v>
      </c>
      <c r="AP18" s="111">
        <f>'Basis Hull'!AP19</f>
        <v>1.2</v>
      </c>
      <c r="AQ18" s="115">
        <f>'Basis Hull'!AQ19</f>
        <v>0</v>
      </c>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row>
    <row r="19" spans="1:145" x14ac:dyDescent="0.2">
      <c r="A19" s="10">
        <v>8</v>
      </c>
      <c r="B19" s="111">
        <f>'Basis Hull'!B20</f>
        <v>1.4</v>
      </c>
      <c r="C19" s="125">
        <f>'Basis Hull'!C20</f>
        <v>0.56999999999999995</v>
      </c>
      <c r="D19" s="124">
        <f>'Basis Hull'!D20</f>
        <v>1.4</v>
      </c>
      <c r="E19" s="115">
        <f>'Basis Hull'!E20</f>
        <v>1.22</v>
      </c>
      <c r="F19" s="124">
        <f>'Basis Hull'!F20</f>
        <v>1.4</v>
      </c>
      <c r="G19" s="115">
        <f>'Basis Hull'!G20</f>
        <v>1.58</v>
      </c>
      <c r="H19" s="63">
        <f>'Basis Hull'!H20</f>
        <v>1.4</v>
      </c>
      <c r="I19" s="113">
        <f>'Basis Hull'!I20</f>
        <v>1.8</v>
      </c>
      <c r="J19" s="111">
        <f>'Basis Hull'!J20</f>
        <v>1.4</v>
      </c>
      <c r="K19" s="113">
        <f>'Basis Hull'!K20</f>
        <v>1.93</v>
      </c>
      <c r="L19" s="111">
        <f>'Basis Hull'!L20</f>
        <v>1.4</v>
      </c>
      <c r="M19" s="113">
        <f>'Basis Hull'!M20</f>
        <v>2</v>
      </c>
      <c r="N19" s="111">
        <f>'Basis Hull'!N20</f>
        <v>1.4</v>
      </c>
      <c r="O19" s="113">
        <f>'Basis Hull'!O20</f>
        <v>2.02</v>
      </c>
      <c r="P19" s="111">
        <f>'Basis Hull'!P20</f>
        <v>1.4</v>
      </c>
      <c r="Q19" s="113">
        <f>'Basis Hull'!Q20</f>
        <v>2.02</v>
      </c>
      <c r="R19" s="111">
        <f>'Basis Hull'!R20</f>
        <v>1.4</v>
      </c>
      <c r="S19" s="113">
        <f>'Basis Hull'!S20</f>
        <v>2.02</v>
      </c>
      <c r="T19" s="111">
        <f>'Basis Hull'!T20</f>
        <v>1.4</v>
      </c>
      <c r="U19" s="114">
        <f>'Basis Hull'!U20</f>
        <v>2.02</v>
      </c>
      <c r="V19" s="111">
        <f>'Basis Hull'!V20</f>
        <v>1.4</v>
      </c>
      <c r="W19" s="113">
        <f>'Basis Hull'!W20</f>
        <v>2.02</v>
      </c>
      <c r="X19" s="111">
        <f>'Basis Hull'!X20</f>
        <v>1.4</v>
      </c>
      <c r="Y19" s="113">
        <f>'Basis Hull'!Y20</f>
        <v>2.02</v>
      </c>
      <c r="Z19" s="111">
        <f>'Basis Hull'!Z20</f>
        <v>1.4</v>
      </c>
      <c r="AA19" s="113">
        <f>'Basis Hull'!AA20</f>
        <v>2.02</v>
      </c>
      <c r="AB19" s="111">
        <f>'Basis Hull'!AB20</f>
        <v>1.4</v>
      </c>
      <c r="AC19" s="113">
        <f>'Basis Hull'!AC20</f>
        <v>2.02</v>
      </c>
      <c r="AD19" s="111">
        <f>'Basis Hull'!AD20</f>
        <v>1.4</v>
      </c>
      <c r="AE19" s="113">
        <f>'Basis Hull'!AE20</f>
        <v>1.96</v>
      </c>
      <c r="AF19" s="111">
        <f>'Basis Hull'!AF20</f>
        <v>1.4</v>
      </c>
      <c r="AG19" s="113">
        <f>'Basis Hull'!AG20</f>
        <v>1.8</v>
      </c>
      <c r="AH19" s="111">
        <f>'Basis Hull'!AH20</f>
        <v>1.4</v>
      </c>
      <c r="AI19" s="113">
        <f>'Basis Hull'!AI20</f>
        <v>1.5</v>
      </c>
      <c r="AJ19" s="111">
        <f>'Basis Hull'!AJ20</f>
        <v>1.4</v>
      </c>
      <c r="AK19" s="113">
        <f>'Basis Hull'!AK20</f>
        <v>1.08</v>
      </c>
      <c r="AL19" s="111">
        <f>'Basis Hull'!AL20</f>
        <v>1.4</v>
      </c>
      <c r="AM19" s="113">
        <f>'Basis Hull'!AM20</f>
        <v>0.64</v>
      </c>
      <c r="AN19" s="111">
        <f>'Basis Hull'!AN20</f>
        <v>1.4</v>
      </c>
      <c r="AO19" s="115">
        <f>'Basis Hull'!AO20</f>
        <v>0.26</v>
      </c>
      <c r="AP19" s="111">
        <f>'Basis Hull'!AP20</f>
        <v>1.4</v>
      </c>
      <c r="AQ19" s="115">
        <f>'Basis Hull'!AQ20</f>
        <v>0</v>
      </c>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row>
    <row r="20" spans="1:145" x14ac:dyDescent="0.2">
      <c r="A20" s="10">
        <v>9</v>
      </c>
      <c r="B20" s="111">
        <f>'Basis Hull'!B21</f>
        <v>1.5999999999999999</v>
      </c>
      <c r="C20" s="115">
        <f>'Basis Hull'!C21</f>
        <v>1.0149999999999999</v>
      </c>
      <c r="D20" s="111">
        <f>'Basis Hull'!D21</f>
        <v>1.5999999999999999</v>
      </c>
      <c r="E20" s="125">
        <f>'Basis Hull'!E21</f>
        <v>1.48</v>
      </c>
      <c r="F20" s="111">
        <f>'Basis Hull'!F21</f>
        <v>1.5999999999999999</v>
      </c>
      <c r="G20" s="125">
        <f>'Basis Hull'!G21</f>
        <v>1.78</v>
      </c>
      <c r="H20" s="63">
        <f>'Basis Hull'!H21</f>
        <v>1.5999999999999999</v>
      </c>
      <c r="I20" s="113">
        <f>'Basis Hull'!I21</f>
        <v>1.95</v>
      </c>
      <c r="J20" s="111">
        <f>'Basis Hull'!J21</f>
        <v>1.5999999999999999</v>
      </c>
      <c r="K20" s="113">
        <f>'Basis Hull'!K21</f>
        <v>2.0499999999999998</v>
      </c>
      <c r="L20" s="111">
        <f>'Basis Hull'!L21</f>
        <v>1.5999999999999999</v>
      </c>
      <c r="M20" s="113">
        <f>'Basis Hull'!M21</f>
        <v>2.1</v>
      </c>
      <c r="N20" s="111">
        <f>'Basis Hull'!N21</f>
        <v>1.5999999999999999</v>
      </c>
      <c r="O20" s="113">
        <f>'Basis Hull'!O21</f>
        <v>2.13</v>
      </c>
      <c r="P20" s="111">
        <f>'Basis Hull'!P21</f>
        <v>1.5999999999999999</v>
      </c>
      <c r="Q20" s="113">
        <f>'Basis Hull'!Q21</f>
        <v>2.13</v>
      </c>
      <c r="R20" s="111">
        <f>'Basis Hull'!R21</f>
        <v>1.5999999999999999</v>
      </c>
      <c r="S20" s="113">
        <f>'Basis Hull'!S21</f>
        <v>2.13</v>
      </c>
      <c r="T20" s="111">
        <f>'Basis Hull'!T21</f>
        <v>1.5999999999999999</v>
      </c>
      <c r="U20" s="114">
        <f>'Basis Hull'!U21</f>
        <v>2.13</v>
      </c>
      <c r="V20" s="111">
        <f>'Basis Hull'!V21</f>
        <v>1.5999999999999999</v>
      </c>
      <c r="W20" s="113">
        <f>'Basis Hull'!W21</f>
        <v>2.13</v>
      </c>
      <c r="X20" s="111">
        <f>'Basis Hull'!X21</f>
        <v>1.5999999999999999</v>
      </c>
      <c r="Y20" s="113">
        <f>'Basis Hull'!Y21</f>
        <v>2.13</v>
      </c>
      <c r="Z20" s="111">
        <f>'Basis Hull'!Z21</f>
        <v>1.5999999999999999</v>
      </c>
      <c r="AA20" s="113">
        <f>'Basis Hull'!AA21</f>
        <v>2.13</v>
      </c>
      <c r="AB20" s="111">
        <f>'Basis Hull'!AB21</f>
        <v>1.5999999999999999</v>
      </c>
      <c r="AC20" s="113">
        <f>'Basis Hull'!AC21</f>
        <v>2.13</v>
      </c>
      <c r="AD20" s="111">
        <f>'Basis Hull'!AD21</f>
        <v>1.5999999999999999</v>
      </c>
      <c r="AE20" s="113">
        <f>'Basis Hull'!AE21</f>
        <v>2.06</v>
      </c>
      <c r="AF20" s="111">
        <f>'Basis Hull'!AF21</f>
        <v>1.5999999999999999</v>
      </c>
      <c r="AG20" s="113">
        <f>'Basis Hull'!AG21</f>
        <v>1.9</v>
      </c>
      <c r="AH20" s="111">
        <f>'Basis Hull'!AH21</f>
        <v>1.5999999999999999</v>
      </c>
      <c r="AI20" s="113">
        <f>'Basis Hull'!AI21</f>
        <v>1.6</v>
      </c>
      <c r="AJ20" s="111">
        <f>'Basis Hull'!AJ21</f>
        <v>1.5999999999999999</v>
      </c>
      <c r="AK20" s="113">
        <f>'Basis Hull'!AK21</f>
        <v>1.1599999999999999</v>
      </c>
      <c r="AL20" s="111">
        <f>'Basis Hull'!AL21</f>
        <v>1.5999999999999999</v>
      </c>
      <c r="AM20" s="113">
        <f>'Basis Hull'!AM21</f>
        <v>0.63</v>
      </c>
      <c r="AN20" s="111">
        <f>'Basis Hull'!AN21</f>
        <v>1.5999999999999999</v>
      </c>
      <c r="AO20" s="115">
        <f>'Basis Hull'!AO21</f>
        <v>0.23</v>
      </c>
      <c r="AP20" s="111">
        <f>'Basis Hull'!AP21</f>
        <v>1.5999999999999999</v>
      </c>
      <c r="AQ20" s="115">
        <f>'Basis Hull'!AQ21</f>
        <v>0</v>
      </c>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row>
    <row r="21" spans="1:145" x14ac:dyDescent="0.2">
      <c r="A21" s="10">
        <v>10</v>
      </c>
      <c r="B21" s="111">
        <f>'Basis Hull'!B22</f>
        <v>1.7999999999999998</v>
      </c>
      <c r="C21" s="115">
        <f>'Basis Hull'!C22</f>
        <v>1.23</v>
      </c>
      <c r="D21" s="111">
        <f>'Basis Hull'!D22</f>
        <v>1.7999999999999998</v>
      </c>
      <c r="E21" s="115">
        <f>'Basis Hull'!E22</f>
        <v>1.67</v>
      </c>
      <c r="F21" s="111">
        <f>'Basis Hull'!F22</f>
        <v>1.7999999999999998</v>
      </c>
      <c r="G21" s="115">
        <f>'Basis Hull'!G22</f>
        <v>1.92</v>
      </c>
      <c r="H21" s="120">
        <f>'Basis Hull'!H22</f>
        <v>1.7999999999999998</v>
      </c>
      <c r="I21" s="63">
        <f>'Basis Hull'!I22</f>
        <v>2.06</v>
      </c>
      <c r="J21" s="111">
        <f>'Basis Hull'!J22</f>
        <v>1.7999999999999998</v>
      </c>
      <c r="K21" s="113">
        <f>'Basis Hull'!K22</f>
        <v>2.14</v>
      </c>
      <c r="L21" s="111">
        <f>'Basis Hull'!L22</f>
        <v>1.7999999999999998</v>
      </c>
      <c r="M21" s="113">
        <f>'Basis Hull'!M22</f>
        <v>2.1800000000000002</v>
      </c>
      <c r="N21" s="111">
        <f>'Basis Hull'!N22</f>
        <v>1.7999999999999998</v>
      </c>
      <c r="O21" s="113">
        <f>'Basis Hull'!O22</f>
        <v>2.1949999999999998</v>
      </c>
      <c r="P21" s="111">
        <f>'Basis Hull'!P22</f>
        <v>1.7999999999999998</v>
      </c>
      <c r="Q21" s="113">
        <f>'Basis Hull'!Q22</f>
        <v>2.1949999999999998</v>
      </c>
      <c r="R21" s="111">
        <f>'Basis Hull'!R22</f>
        <v>1.7999999999999998</v>
      </c>
      <c r="S21" s="113">
        <f>'Basis Hull'!S22</f>
        <v>2.1949999999999998</v>
      </c>
      <c r="T21" s="111">
        <f>'Basis Hull'!T22</f>
        <v>1.7999999999999998</v>
      </c>
      <c r="U21" s="114">
        <f>'Basis Hull'!U22</f>
        <v>2.1949999999999998</v>
      </c>
      <c r="V21" s="111">
        <f>'Basis Hull'!V22</f>
        <v>1.7999999999999998</v>
      </c>
      <c r="W21" s="113">
        <f>'Basis Hull'!W22</f>
        <v>2.1949999999999998</v>
      </c>
      <c r="X21" s="111">
        <f>'Basis Hull'!X22</f>
        <v>1.7999999999999998</v>
      </c>
      <c r="Y21" s="113">
        <f>'Basis Hull'!Y22</f>
        <v>2.1949999999999998</v>
      </c>
      <c r="Z21" s="111">
        <f>'Basis Hull'!Z22</f>
        <v>1.7999999999999998</v>
      </c>
      <c r="AA21" s="113">
        <f>'Basis Hull'!AA22</f>
        <v>2.1949999999999998</v>
      </c>
      <c r="AB21" s="111">
        <f>'Basis Hull'!AB22</f>
        <v>1.7999999999999998</v>
      </c>
      <c r="AC21" s="113">
        <f>'Basis Hull'!AC22</f>
        <v>2.1949999999999998</v>
      </c>
      <c r="AD21" s="111">
        <f>'Basis Hull'!AD22</f>
        <v>1.7999999999999998</v>
      </c>
      <c r="AE21" s="113">
        <f>'Basis Hull'!AE22</f>
        <v>2.13</v>
      </c>
      <c r="AF21" s="111">
        <f>'Basis Hull'!AF22</f>
        <v>1.7999999999999998</v>
      </c>
      <c r="AG21" s="113">
        <f>'Basis Hull'!AG22</f>
        <v>1.98</v>
      </c>
      <c r="AH21" s="111">
        <f>'Basis Hull'!AH22</f>
        <v>1.7999999999999998</v>
      </c>
      <c r="AI21" s="113">
        <f>'Basis Hull'!AI22</f>
        <v>1.66</v>
      </c>
      <c r="AJ21" s="111">
        <f>'Basis Hull'!AJ22</f>
        <v>1.7999999999999998</v>
      </c>
      <c r="AK21" s="113">
        <f>'Basis Hull'!AK22</f>
        <v>1.21</v>
      </c>
      <c r="AL21" s="111">
        <f>'Basis Hull'!AL22</f>
        <v>1.7999999999999998</v>
      </c>
      <c r="AM21" s="113">
        <f>'Basis Hull'!AM22</f>
        <v>0.65</v>
      </c>
      <c r="AN21" s="111">
        <f>'Basis Hull'!AN22</f>
        <v>1.7999999999999998</v>
      </c>
      <c r="AO21" s="115">
        <f>'Basis Hull'!AO22</f>
        <v>0.21</v>
      </c>
      <c r="AP21" s="111">
        <f>'Basis Hull'!AP22</f>
        <v>1.7999999999999998</v>
      </c>
      <c r="AQ21" s="115">
        <f>'Basis Hull'!AQ22</f>
        <v>0</v>
      </c>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row>
    <row r="22" spans="1:145" x14ac:dyDescent="0.2">
      <c r="A22" s="10">
        <v>11</v>
      </c>
      <c r="B22" s="111">
        <f>'Basis Hull'!B23</f>
        <v>1.9999999999999998</v>
      </c>
      <c r="C22" s="115">
        <f>'Basis Hull'!C23</f>
        <v>1.37</v>
      </c>
      <c r="D22" s="111">
        <f>'Basis Hull'!D23</f>
        <v>1.9999999999999998</v>
      </c>
      <c r="E22" s="115">
        <f>'Basis Hull'!E23</f>
        <v>1.78</v>
      </c>
      <c r="F22" s="111">
        <f>'Basis Hull'!F23</f>
        <v>1.9999999999999998</v>
      </c>
      <c r="G22" s="115">
        <f>'Basis Hull'!G23</f>
        <v>2.02</v>
      </c>
      <c r="H22" s="120">
        <f>'Basis Hull'!H23</f>
        <v>1.9999999999999998</v>
      </c>
      <c r="I22" s="113">
        <f>'Basis Hull'!I23</f>
        <v>2.14</v>
      </c>
      <c r="J22" s="111">
        <f>'Basis Hull'!J23</f>
        <v>1.9999999999999998</v>
      </c>
      <c r="K22" s="113">
        <f>'Basis Hull'!K23</f>
        <v>2.2000000000000002</v>
      </c>
      <c r="L22" s="111">
        <f>'Basis Hull'!L23</f>
        <v>1.9999999999999998</v>
      </c>
      <c r="M22" s="113">
        <f>'Basis Hull'!M23</f>
        <v>2.23</v>
      </c>
      <c r="N22" s="111">
        <f>'Basis Hull'!N23</f>
        <v>1.9999999999999998</v>
      </c>
      <c r="O22" s="113">
        <f>'Basis Hull'!O23</f>
        <v>2.2400000000000002</v>
      </c>
      <c r="P22" s="111">
        <f>'Basis Hull'!P23</f>
        <v>1.9999999999999998</v>
      </c>
      <c r="Q22" s="113">
        <f>'Basis Hull'!Q23</f>
        <v>2.2400000000000002</v>
      </c>
      <c r="R22" s="111">
        <f>'Basis Hull'!R23</f>
        <v>1.9999999999999998</v>
      </c>
      <c r="S22" s="113">
        <f>'Basis Hull'!S23</f>
        <v>2.2400000000000002</v>
      </c>
      <c r="T22" s="111">
        <f>'Basis Hull'!T23</f>
        <v>1.9999999999999998</v>
      </c>
      <c r="U22" s="114">
        <f>'Basis Hull'!U23</f>
        <v>2.2400000000000002</v>
      </c>
      <c r="V22" s="111">
        <f>'Basis Hull'!V23</f>
        <v>1.9999999999999998</v>
      </c>
      <c r="W22" s="113">
        <f>'Basis Hull'!W23</f>
        <v>2.2400000000000002</v>
      </c>
      <c r="X22" s="111">
        <f>'Basis Hull'!X23</f>
        <v>1.9999999999999998</v>
      </c>
      <c r="Y22" s="113">
        <f>'Basis Hull'!Y23</f>
        <v>2.2400000000000002</v>
      </c>
      <c r="Z22" s="111">
        <f>'Basis Hull'!Z23</f>
        <v>1.9999999999999998</v>
      </c>
      <c r="AA22" s="113">
        <f>'Basis Hull'!AA23</f>
        <v>2.2400000000000002</v>
      </c>
      <c r="AB22" s="111">
        <f>'Basis Hull'!AB23</f>
        <v>1.9999999999999998</v>
      </c>
      <c r="AC22" s="113">
        <f>'Basis Hull'!AC23</f>
        <v>2.2400000000000002</v>
      </c>
      <c r="AD22" s="111">
        <f>'Basis Hull'!AD23</f>
        <v>1.9999999999999998</v>
      </c>
      <c r="AE22" s="113">
        <f>'Basis Hull'!AE23</f>
        <v>2.17</v>
      </c>
      <c r="AF22" s="111">
        <f>'Basis Hull'!AF23</f>
        <v>1.9999999999999998</v>
      </c>
      <c r="AG22" s="113">
        <f>'Basis Hull'!AG23</f>
        <v>2.02</v>
      </c>
      <c r="AH22" s="111">
        <f>'Basis Hull'!AH23</f>
        <v>1.9999999999999998</v>
      </c>
      <c r="AI22" s="113">
        <f>'Basis Hull'!AI23</f>
        <v>1.71</v>
      </c>
      <c r="AJ22" s="111">
        <f>'Basis Hull'!AJ23</f>
        <v>1.9999999999999998</v>
      </c>
      <c r="AK22" s="113">
        <f>'Basis Hull'!AK23</f>
        <v>1.25</v>
      </c>
      <c r="AL22" s="111">
        <f>'Basis Hull'!AL23</f>
        <v>1.9999999999999998</v>
      </c>
      <c r="AM22" s="113">
        <f>'Basis Hull'!AM23</f>
        <v>0.66</v>
      </c>
      <c r="AN22" s="111">
        <f>'Basis Hull'!AN23</f>
        <v>1.9999999999999998</v>
      </c>
      <c r="AO22" s="115">
        <f>'Basis Hull'!AO23</f>
        <v>0.18</v>
      </c>
      <c r="AP22" s="111">
        <f>'Basis Hull'!AP23</f>
        <v>1.9999999999999998</v>
      </c>
      <c r="AQ22" s="115">
        <f>'Basis Hull'!AQ23</f>
        <v>0</v>
      </c>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row>
    <row r="23" spans="1:145" x14ac:dyDescent="0.2">
      <c r="A23" s="10">
        <v>12</v>
      </c>
      <c r="B23" s="111">
        <f>'Basis Hull'!B24</f>
        <v>2.1999999999999997</v>
      </c>
      <c r="C23" s="115">
        <f>'Basis Hull'!C24</f>
        <v>1.48</v>
      </c>
      <c r="D23" s="111">
        <f>'Basis Hull'!D24</f>
        <v>2.1999999999999997</v>
      </c>
      <c r="E23" s="115">
        <f>'Basis Hull'!E24</f>
        <v>1.87</v>
      </c>
      <c r="F23" s="111">
        <f>'Basis Hull'!F24</f>
        <v>2.1999999999999997</v>
      </c>
      <c r="G23" s="115">
        <f>'Basis Hull'!G24</f>
        <v>2.1</v>
      </c>
      <c r="H23" s="120">
        <f>'Basis Hull'!H24</f>
        <v>2.1999999999999997</v>
      </c>
      <c r="I23" s="113">
        <f>'Basis Hull'!I24</f>
        <v>2.19</v>
      </c>
      <c r="J23" s="111">
        <f>'Basis Hull'!J24</f>
        <v>2.1999999999999997</v>
      </c>
      <c r="K23" s="113">
        <f>'Basis Hull'!K24</f>
        <v>2.2400000000000002</v>
      </c>
      <c r="L23" s="111">
        <f>'Basis Hull'!L24</f>
        <v>2.1999999999999997</v>
      </c>
      <c r="M23" s="113">
        <f>'Basis Hull'!M24</f>
        <v>2.2450000000000001</v>
      </c>
      <c r="N23" s="111">
        <f>'Basis Hull'!N24</f>
        <v>2.1999999999999997</v>
      </c>
      <c r="O23" s="113">
        <f>'Basis Hull'!O24</f>
        <v>2.25</v>
      </c>
      <c r="P23" s="111">
        <f>'Basis Hull'!P24</f>
        <v>2.1999999999999997</v>
      </c>
      <c r="Q23" s="113">
        <f>'Basis Hull'!Q24</f>
        <v>2.25</v>
      </c>
      <c r="R23" s="111">
        <f>'Basis Hull'!R24</f>
        <v>2.1999999999999997</v>
      </c>
      <c r="S23" s="113">
        <f>'Basis Hull'!S24</f>
        <v>2.25</v>
      </c>
      <c r="T23" s="111">
        <f>'Basis Hull'!T24</f>
        <v>2.1999999999999997</v>
      </c>
      <c r="U23" s="114">
        <f>'Basis Hull'!U24</f>
        <v>2.25</v>
      </c>
      <c r="V23" s="111">
        <f>'Basis Hull'!V24</f>
        <v>2.1999999999999997</v>
      </c>
      <c r="W23" s="113">
        <f>'Basis Hull'!W24</f>
        <v>2.25</v>
      </c>
      <c r="X23" s="111">
        <f>'Basis Hull'!X24</f>
        <v>2.1999999999999997</v>
      </c>
      <c r="Y23" s="113">
        <f>'Basis Hull'!Y24</f>
        <v>2.25</v>
      </c>
      <c r="Z23" s="111">
        <f>'Basis Hull'!Z24</f>
        <v>2.1999999999999997</v>
      </c>
      <c r="AA23" s="113">
        <f>'Basis Hull'!AA24</f>
        <v>2.25</v>
      </c>
      <c r="AB23" s="111">
        <f>'Basis Hull'!AB24</f>
        <v>2.1999999999999997</v>
      </c>
      <c r="AC23" s="113">
        <f>'Basis Hull'!AC24</f>
        <v>2.25</v>
      </c>
      <c r="AD23" s="111">
        <f>'Basis Hull'!AD24</f>
        <v>2.1999999999999997</v>
      </c>
      <c r="AE23" s="113">
        <f>'Basis Hull'!AE24</f>
        <v>2.19</v>
      </c>
      <c r="AF23" s="111">
        <f>'Basis Hull'!AF24</f>
        <v>2.1999999999999997</v>
      </c>
      <c r="AG23" s="113">
        <f>'Basis Hull'!AG24</f>
        <v>2.04</v>
      </c>
      <c r="AH23" s="111">
        <f>'Basis Hull'!AH24</f>
        <v>2.1999999999999997</v>
      </c>
      <c r="AI23" s="113">
        <f>'Basis Hull'!AI24</f>
        <v>1.73</v>
      </c>
      <c r="AJ23" s="111">
        <f>'Basis Hull'!AJ24</f>
        <v>2.1999999999999997</v>
      </c>
      <c r="AK23" s="113">
        <f>'Basis Hull'!AK24</f>
        <v>1.2649999999999999</v>
      </c>
      <c r="AL23" s="111">
        <f>'Basis Hull'!AL24</f>
        <v>2.1999999999999997</v>
      </c>
      <c r="AM23" s="113">
        <f>'Basis Hull'!AM24</f>
        <v>0.66</v>
      </c>
      <c r="AN23" s="111">
        <f>'Basis Hull'!AN24</f>
        <v>2.1999999999999997</v>
      </c>
      <c r="AO23" s="115">
        <f>'Basis Hull'!AO24</f>
        <v>0.16</v>
      </c>
      <c r="AP23" s="111">
        <f>'Basis Hull'!AP24</f>
        <v>2.1999999999999997</v>
      </c>
      <c r="AQ23" s="115">
        <f>'Basis Hull'!AQ24</f>
        <v>0</v>
      </c>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row>
    <row r="24" spans="1:145" x14ac:dyDescent="0.2">
      <c r="A24" s="10">
        <v>13</v>
      </c>
      <c r="B24" s="111">
        <f>'Basis Hull'!B25</f>
        <v>2.4</v>
      </c>
      <c r="C24" s="115">
        <f>'Basis Hull'!C25</f>
        <v>1.54</v>
      </c>
      <c r="D24" s="111">
        <f>'Basis Hull'!D25</f>
        <v>2.4</v>
      </c>
      <c r="E24" s="115">
        <f>'Basis Hull'!E25</f>
        <v>1.92</v>
      </c>
      <c r="F24" s="111">
        <f>'Basis Hull'!F25</f>
        <v>2.4</v>
      </c>
      <c r="G24" s="115">
        <f>'Basis Hull'!G25</f>
        <v>2.145</v>
      </c>
      <c r="H24" s="120">
        <f>'Basis Hull'!H25</f>
        <v>2.4</v>
      </c>
      <c r="I24" s="113">
        <f>'Basis Hull'!I25</f>
        <v>2.2200000000000002</v>
      </c>
      <c r="J24" s="111">
        <f>'Basis Hull'!J25</f>
        <v>2.4</v>
      </c>
      <c r="K24" s="113">
        <f>'Basis Hull'!K25</f>
        <v>2.25</v>
      </c>
      <c r="L24" s="111">
        <f>'Basis Hull'!L25</f>
        <v>2.4</v>
      </c>
      <c r="M24" s="113">
        <f>'Basis Hull'!M25</f>
        <v>2.25</v>
      </c>
      <c r="N24" s="111">
        <f>'Basis Hull'!N25</f>
        <v>2.4</v>
      </c>
      <c r="O24" s="113">
        <f>'Basis Hull'!O25</f>
        <v>2.25</v>
      </c>
      <c r="P24" s="111">
        <f>'Basis Hull'!P25</f>
        <v>2.4</v>
      </c>
      <c r="Q24" s="113">
        <f>'Basis Hull'!Q25</f>
        <v>2.25</v>
      </c>
      <c r="R24" s="111">
        <f>'Basis Hull'!R25</f>
        <v>2.4</v>
      </c>
      <c r="S24" s="113">
        <f>'Basis Hull'!S25</f>
        <v>2.25</v>
      </c>
      <c r="T24" s="111">
        <f>'Basis Hull'!T25</f>
        <v>2.4</v>
      </c>
      <c r="U24" s="114">
        <f>'Basis Hull'!U25</f>
        <v>2.25</v>
      </c>
      <c r="V24" s="111">
        <f>'Basis Hull'!V25</f>
        <v>2.4</v>
      </c>
      <c r="W24" s="113">
        <f>'Basis Hull'!W25</f>
        <v>2.25</v>
      </c>
      <c r="X24" s="111">
        <f>'Basis Hull'!X25</f>
        <v>2.4</v>
      </c>
      <c r="Y24" s="113">
        <f>'Basis Hull'!Y25</f>
        <v>2.25</v>
      </c>
      <c r="Z24" s="111">
        <f>'Basis Hull'!Z25</f>
        <v>2.4</v>
      </c>
      <c r="AA24" s="113">
        <f>'Basis Hull'!AA25</f>
        <v>2.25</v>
      </c>
      <c r="AB24" s="111">
        <f>'Basis Hull'!AB25</f>
        <v>2.4</v>
      </c>
      <c r="AC24" s="113">
        <f>'Basis Hull'!AC25</f>
        <v>2.25</v>
      </c>
      <c r="AD24" s="111">
        <f>'Basis Hull'!AD25</f>
        <v>2.4</v>
      </c>
      <c r="AE24" s="113">
        <f>'Basis Hull'!AE25</f>
        <v>2.2000000000000002</v>
      </c>
      <c r="AF24" s="111">
        <f>'Basis Hull'!AF25</f>
        <v>2.4</v>
      </c>
      <c r="AG24" s="113">
        <f>'Basis Hull'!AG25</f>
        <v>2.04</v>
      </c>
      <c r="AH24" s="111">
        <f>'Basis Hull'!AH25</f>
        <v>2.4</v>
      </c>
      <c r="AI24" s="113">
        <f>'Basis Hull'!AI25</f>
        <v>1.73</v>
      </c>
      <c r="AJ24" s="111">
        <f>'Basis Hull'!AJ25</f>
        <v>2.4</v>
      </c>
      <c r="AK24" s="113">
        <f>'Basis Hull'!AK25</f>
        <v>1.2649999999999999</v>
      </c>
      <c r="AL24" s="111">
        <f>'Basis Hull'!AL25</f>
        <v>2.4</v>
      </c>
      <c r="AM24" s="113">
        <f>'Basis Hull'!AM25</f>
        <v>0.66</v>
      </c>
      <c r="AN24" s="111">
        <f>'Basis Hull'!AN25</f>
        <v>2.4</v>
      </c>
      <c r="AO24" s="115">
        <f>'Basis Hull'!AO25</f>
        <v>0.13</v>
      </c>
      <c r="AP24" s="111">
        <f>'Basis Hull'!AP25</f>
        <v>2.4</v>
      </c>
      <c r="AQ24" s="115">
        <f>'Basis Hull'!AQ25</f>
        <v>0</v>
      </c>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row>
    <row r="25" spans="1:145" x14ac:dyDescent="0.2">
      <c r="A25" s="10">
        <v>14</v>
      </c>
      <c r="B25" s="111">
        <f>'Basis Hull'!B26</f>
        <v>0</v>
      </c>
      <c r="C25" s="115">
        <f>'Basis Hull'!C26</f>
        <v>0</v>
      </c>
      <c r="D25" s="111">
        <f>'Basis Hull'!D26</f>
        <v>0</v>
      </c>
      <c r="E25" s="115">
        <f>'Basis Hull'!E26</f>
        <v>0</v>
      </c>
      <c r="F25" s="111">
        <f>'Basis Hull'!F26</f>
        <v>0</v>
      </c>
      <c r="G25" s="115">
        <f>'Basis Hull'!G26</f>
        <v>0</v>
      </c>
      <c r="H25" s="120">
        <f>'Basis Hull'!H26</f>
        <v>0</v>
      </c>
      <c r="I25" s="113">
        <f>'Basis Hull'!I26</f>
        <v>0</v>
      </c>
      <c r="J25" s="111">
        <f>'Basis Hull'!J26</f>
        <v>0</v>
      </c>
      <c r="K25" s="113">
        <f>'Basis Hull'!K26</f>
        <v>0</v>
      </c>
      <c r="L25" s="111">
        <f>'Basis Hull'!L26</f>
        <v>0</v>
      </c>
      <c r="M25" s="113">
        <f>'Basis Hull'!M26</f>
        <v>0</v>
      </c>
      <c r="N25" s="111">
        <f>'Basis Hull'!N26</f>
        <v>0</v>
      </c>
      <c r="O25" s="113">
        <f>'Basis Hull'!O26</f>
        <v>0</v>
      </c>
      <c r="P25" s="111">
        <f>'Basis Hull'!P26</f>
        <v>0</v>
      </c>
      <c r="Q25" s="113">
        <f>'Basis Hull'!Q26</f>
        <v>0</v>
      </c>
      <c r="R25" s="111">
        <f>'Basis Hull'!R26</f>
        <v>0</v>
      </c>
      <c r="S25" s="113">
        <f>'Basis Hull'!S26</f>
        <v>0</v>
      </c>
      <c r="T25" s="111">
        <f>'Basis Hull'!T26</f>
        <v>0</v>
      </c>
      <c r="U25" s="114">
        <f>'Basis Hull'!U26</f>
        <v>0</v>
      </c>
      <c r="V25" s="111">
        <f>'Basis Hull'!V26</f>
        <v>0</v>
      </c>
      <c r="W25" s="113">
        <f>'Basis Hull'!W26</f>
        <v>0</v>
      </c>
      <c r="X25" s="111">
        <f>'Basis Hull'!X26</f>
        <v>0</v>
      </c>
      <c r="Y25" s="113">
        <f>'Basis Hull'!Y26</f>
        <v>0</v>
      </c>
      <c r="Z25" s="111">
        <f>'Basis Hull'!Z26</f>
        <v>0</v>
      </c>
      <c r="AA25" s="113">
        <f>'Basis Hull'!AA26</f>
        <v>0</v>
      </c>
      <c r="AB25" s="111">
        <f>'Basis Hull'!AB26</f>
        <v>0</v>
      </c>
      <c r="AC25" s="113">
        <f>'Basis Hull'!AC26</f>
        <v>0</v>
      </c>
      <c r="AD25" s="111">
        <f>'Basis Hull'!AD26</f>
        <v>0</v>
      </c>
      <c r="AE25" s="113">
        <f>'Basis Hull'!AE26</f>
        <v>0</v>
      </c>
      <c r="AF25" s="111">
        <f>'Basis Hull'!AF26</f>
        <v>0</v>
      </c>
      <c r="AG25" s="113">
        <f>'Basis Hull'!AG26</f>
        <v>0</v>
      </c>
      <c r="AH25" s="111">
        <f>'Basis Hull'!AH26</f>
        <v>0</v>
      </c>
      <c r="AI25" s="113">
        <f>'Basis Hull'!AI26</f>
        <v>0</v>
      </c>
      <c r="AJ25" s="111">
        <f>'Basis Hull'!AJ26</f>
        <v>0</v>
      </c>
      <c r="AK25" s="113">
        <f>'Basis Hull'!AK26</f>
        <v>0</v>
      </c>
      <c r="AL25" s="111">
        <f>'Basis Hull'!AL26</f>
        <v>0</v>
      </c>
      <c r="AM25" s="113">
        <f>'Basis Hull'!AM26</f>
        <v>0</v>
      </c>
      <c r="AN25" s="111">
        <f>'Basis Hull'!AN26</f>
        <v>0</v>
      </c>
      <c r="AO25" s="115">
        <f>'Basis Hull'!AO26</f>
        <v>0</v>
      </c>
      <c r="AP25" s="111">
        <f>'Basis Hull'!AP26</f>
        <v>0</v>
      </c>
      <c r="AQ25" s="115">
        <f>'Basis Hull'!AQ26</f>
        <v>0</v>
      </c>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row>
    <row r="26" spans="1:145" x14ac:dyDescent="0.2">
      <c r="A26" s="10">
        <v>15</v>
      </c>
      <c r="B26" s="111">
        <f>'Basis Hull'!B27</f>
        <v>0</v>
      </c>
      <c r="C26" s="115">
        <f>'Basis Hull'!C27</f>
        <v>0</v>
      </c>
      <c r="D26" s="111">
        <f>'Basis Hull'!D27</f>
        <v>0</v>
      </c>
      <c r="E26" s="115">
        <f>'Basis Hull'!E27</f>
        <v>0</v>
      </c>
      <c r="F26" s="111">
        <f>'Basis Hull'!F27</f>
        <v>0</v>
      </c>
      <c r="G26" s="115">
        <f>'Basis Hull'!G27</f>
        <v>0</v>
      </c>
      <c r="H26" s="120">
        <f>'Basis Hull'!H27</f>
        <v>0</v>
      </c>
      <c r="I26" s="113">
        <f>'Basis Hull'!I27</f>
        <v>0</v>
      </c>
      <c r="J26" s="111">
        <f>'Basis Hull'!J27</f>
        <v>0</v>
      </c>
      <c r="K26" s="113">
        <f>'Basis Hull'!K27</f>
        <v>0</v>
      </c>
      <c r="L26" s="111">
        <f>'Basis Hull'!L27</f>
        <v>0</v>
      </c>
      <c r="M26" s="113">
        <f>'Basis Hull'!M27</f>
        <v>0</v>
      </c>
      <c r="N26" s="111">
        <f>'Basis Hull'!N27</f>
        <v>0</v>
      </c>
      <c r="O26" s="113">
        <f>'Basis Hull'!O27</f>
        <v>0</v>
      </c>
      <c r="P26" s="111">
        <f>'Basis Hull'!P27</f>
        <v>0</v>
      </c>
      <c r="Q26" s="113">
        <f>'Basis Hull'!Q27</f>
        <v>0</v>
      </c>
      <c r="R26" s="111">
        <f>'Basis Hull'!R27</f>
        <v>0</v>
      </c>
      <c r="S26" s="113">
        <f>'Basis Hull'!S27</f>
        <v>0</v>
      </c>
      <c r="T26" s="111">
        <f>'Basis Hull'!T27</f>
        <v>0</v>
      </c>
      <c r="U26" s="114">
        <f>'Basis Hull'!U27</f>
        <v>0</v>
      </c>
      <c r="V26" s="111">
        <f>'Basis Hull'!V27</f>
        <v>0</v>
      </c>
      <c r="W26" s="113">
        <f>'Basis Hull'!W27</f>
        <v>0</v>
      </c>
      <c r="X26" s="111">
        <f>'Basis Hull'!X27</f>
        <v>0</v>
      </c>
      <c r="Y26" s="113">
        <f>'Basis Hull'!Y27</f>
        <v>0</v>
      </c>
      <c r="Z26" s="111">
        <f>'Basis Hull'!Z27</f>
        <v>0</v>
      </c>
      <c r="AA26" s="113">
        <f>'Basis Hull'!AA27</f>
        <v>0</v>
      </c>
      <c r="AB26" s="111">
        <f>'Basis Hull'!AB27</f>
        <v>0</v>
      </c>
      <c r="AC26" s="113">
        <f>'Basis Hull'!AC27</f>
        <v>0</v>
      </c>
      <c r="AD26" s="111">
        <f>'Basis Hull'!AD27</f>
        <v>0</v>
      </c>
      <c r="AE26" s="113">
        <f>'Basis Hull'!AE27</f>
        <v>0</v>
      </c>
      <c r="AF26" s="111">
        <f>'Basis Hull'!AF27</f>
        <v>0</v>
      </c>
      <c r="AG26" s="113">
        <f>'Basis Hull'!AG27</f>
        <v>0</v>
      </c>
      <c r="AH26" s="111">
        <f>'Basis Hull'!AH27</f>
        <v>0</v>
      </c>
      <c r="AI26" s="113">
        <f>'Basis Hull'!AI27</f>
        <v>0</v>
      </c>
      <c r="AJ26" s="111">
        <f>'Basis Hull'!AJ27</f>
        <v>0</v>
      </c>
      <c r="AK26" s="113">
        <f>'Basis Hull'!AK27</f>
        <v>0</v>
      </c>
      <c r="AL26" s="111">
        <f>'Basis Hull'!AL27</f>
        <v>0</v>
      </c>
      <c r="AM26" s="113">
        <f>'Basis Hull'!AM27</f>
        <v>0</v>
      </c>
      <c r="AN26" s="111">
        <f>'Basis Hull'!AN27</f>
        <v>0</v>
      </c>
      <c r="AO26" s="115">
        <f>'Basis Hull'!AO27</f>
        <v>0</v>
      </c>
      <c r="AP26" s="111">
        <f>'Basis Hull'!AP27</f>
        <v>0</v>
      </c>
      <c r="AQ26" s="115">
        <f>'Basis Hull'!AQ27</f>
        <v>0</v>
      </c>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row>
    <row r="27" spans="1:145" x14ac:dyDescent="0.2">
      <c r="A27" s="10">
        <v>16</v>
      </c>
      <c r="B27" s="111">
        <f>'Basis Hull'!B28</f>
        <v>0</v>
      </c>
      <c r="C27" s="115">
        <f>'Basis Hull'!C28</f>
        <v>0</v>
      </c>
      <c r="D27" s="111">
        <f>'Basis Hull'!D28</f>
        <v>0</v>
      </c>
      <c r="E27" s="115">
        <f>'Basis Hull'!E28</f>
        <v>0</v>
      </c>
      <c r="F27" s="111">
        <f>'Basis Hull'!F28</f>
        <v>0</v>
      </c>
      <c r="G27" s="115">
        <f>'Basis Hull'!G28</f>
        <v>0</v>
      </c>
      <c r="H27" s="120">
        <f>'Basis Hull'!H28</f>
        <v>0</v>
      </c>
      <c r="I27" s="113">
        <f>'Basis Hull'!I28</f>
        <v>0</v>
      </c>
      <c r="J27" s="111">
        <f>'Basis Hull'!J28</f>
        <v>0</v>
      </c>
      <c r="K27" s="113">
        <f>'Basis Hull'!K28</f>
        <v>0</v>
      </c>
      <c r="L27" s="111">
        <f>'Basis Hull'!L28</f>
        <v>0</v>
      </c>
      <c r="M27" s="113">
        <f>'Basis Hull'!M28</f>
        <v>0</v>
      </c>
      <c r="N27" s="111">
        <f>'Basis Hull'!N28</f>
        <v>0</v>
      </c>
      <c r="O27" s="113">
        <f>'Basis Hull'!O28</f>
        <v>0</v>
      </c>
      <c r="P27" s="111">
        <f>'Basis Hull'!P28</f>
        <v>0</v>
      </c>
      <c r="Q27" s="113">
        <f>'Basis Hull'!Q28</f>
        <v>0</v>
      </c>
      <c r="R27" s="111">
        <f>'Basis Hull'!R28</f>
        <v>0</v>
      </c>
      <c r="S27" s="113">
        <f>'Basis Hull'!S28</f>
        <v>0</v>
      </c>
      <c r="T27" s="111">
        <f>'Basis Hull'!T28</f>
        <v>0</v>
      </c>
      <c r="U27" s="114">
        <f>'Basis Hull'!U28</f>
        <v>0</v>
      </c>
      <c r="V27" s="111">
        <f>'Basis Hull'!V28</f>
        <v>0</v>
      </c>
      <c r="W27" s="113">
        <f>'Basis Hull'!W28</f>
        <v>0</v>
      </c>
      <c r="X27" s="111">
        <f>'Basis Hull'!X28</f>
        <v>0</v>
      </c>
      <c r="Y27" s="113">
        <f>'Basis Hull'!Y28</f>
        <v>0</v>
      </c>
      <c r="Z27" s="111">
        <f>'Basis Hull'!Z28</f>
        <v>0</v>
      </c>
      <c r="AA27" s="113">
        <f>'Basis Hull'!AA28</f>
        <v>0</v>
      </c>
      <c r="AB27" s="111">
        <f>'Basis Hull'!AB28</f>
        <v>0</v>
      </c>
      <c r="AC27" s="113">
        <f>'Basis Hull'!AC28</f>
        <v>0</v>
      </c>
      <c r="AD27" s="111">
        <f>'Basis Hull'!AD28</f>
        <v>0</v>
      </c>
      <c r="AE27" s="113">
        <f>'Basis Hull'!AE28</f>
        <v>0</v>
      </c>
      <c r="AF27" s="111">
        <f>'Basis Hull'!AF28</f>
        <v>0</v>
      </c>
      <c r="AG27" s="113">
        <f>'Basis Hull'!AG28</f>
        <v>0</v>
      </c>
      <c r="AH27" s="111">
        <f>'Basis Hull'!AH28</f>
        <v>0</v>
      </c>
      <c r="AI27" s="113">
        <f>'Basis Hull'!AI28</f>
        <v>0</v>
      </c>
      <c r="AJ27" s="111">
        <f>'Basis Hull'!AJ28</f>
        <v>0</v>
      </c>
      <c r="AK27" s="113">
        <f>'Basis Hull'!AK28</f>
        <v>0</v>
      </c>
      <c r="AL27" s="111">
        <f>'Basis Hull'!AL28</f>
        <v>0</v>
      </c>
      <c r="AM27" s="113">
        <f>'Basis Hull'!AM28</f>
        <v>0</v>
      </c>
      <c r="AN27" s="111">
        <f>'Basis Hull'!AN28</f>
        <v>0</v>
      </c>
      <c r="AO27" s="115">
        <f>'Basis Hull'!AO28</f>
        <v>0</v>
      </c>
      <c r="AP27" s="111">
        <f>'Basis Hull'!AP28</f>
        <v>0</v>
      </c>
      <c r="AQ27" s="115">
        <f>'Basis Hull'!AQ28</f>
        <v>0</v>
      </c>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row>
    <row r="28" spans="1:145" x14ac:dyDescent="0.2">
      <c r="A28" s="10">
        <v>17</v>
      </c>
      <c r="B28" s="111">
        <f>'Basis Hull'!B29</f>
        <v>0</v>
      </c>
      <c r="C28" s="115">
        <f>'Basis Hull'!C29</f>
        <v>0</v>
      </c>
      <c r="D28" s="111">
        <f>'Basis Hull'!D29</f>
        <v>0</v>
      </c>
      <c r="E28" s="115">
        <f>'Basis Hull'!E29</f>
        <v>0</v>
      </c>
      <c r="F28" s="111">
        <f>'Basis Hull'!F29</f>
        <v>0</v>
      </c>
      <c r="G28" s="115">
        <f>'Basis Hull'!G29</f>
        <v>0</v>
      </c>
      <c r="H28" s="120">
        <f>'Basis Hull'!H29</f>
        <v>0</v>
      </c>
      <c r="I28" s="113">
        <f>'Basis Hull'!I29</f>
        <v>0</v>
      </c>
      <c r="J28" s="111">
        <f>'Basis Hull'!J29</f>
        <v>0</v>
      </c>
      <c r="K28" s="113">
        <f>'Basis Hull'!K29</f>
        <v>0</v>
      </c>
      <c r="L28" s="111">
        <f>'Basis Hull'!L29</f>
        <v>0</v>
      </c>
      <c r="M28" s="113">
        <f>'Basis Hull'!M29</f>
        <v>0</v>
      </c>
      <c r="N28" s="111">
        <f>'Basis Hull'!N29</f>
        <v>0</v>
      </c>
      <c r="O28" s="113">
        <f>'Basis Hull'!O29</f>
        <v>0</v>
      </c>
      <c r="P28" s="111">
        <f>'Basis Hull'!P29</f>
        <v>0</v>
      </c>
      <c r="Q28" s="113">
        <f>'Basis Hull'!Q29</f>
        <v>0</v>
      </c>
      <c r="R28" s="111">
        <f>'Basis Hull'!R29</f>
        <v>0</v>
      </c>
      <c r="S28" s="113">
        <f>'Basis Hull'!S29</f>
        <v>0</v>
      </c>
      <c r="T28" s="111">
        <f>'Basis Hull'!T29</f>
        <v>0</v>
      </c>
      <c r="U28" s="114">
        <f>'Basis Hull'!U29</f>
        <v>0</v>
      </c>
      <c r="V28" s="111">
        <f>'Basis Hull'!V29</f>
        <v>0</v>
      </c>
      <c r="W28" s="113">
        <f>'Basis Hull'!W29</f>
        <v>0</v>
      </c>
      <c r="X28" s="111">
        <f>'Basis Hull'!X29</f>
        <v>0</v>
      </c>
      <c r="Y28" s="113">
        <f>'Basis Hull'!Y29</f>
        <v>0</v>
      </c>
      <c r="Z28" s="111">
        <f>'Basis Hull'!Z29</f>
        <v>0</v>
      </c>
      <c r="AA28" s="113">
        <f>'Basis Hull'!AA29</f>
        <v>0</v>
      </c>
      <c r="AB28" s="111">
        <f>'Basis Hull'!AB29</f>
        <v>0</v>
      </c>
      <c r="AC28" s="113">
        <f>'Basis Hull'!AC29</f>
        <v>0</v>
      </c>
      <c r="AD28" s="111">
        <f>'Basis Hull'!AD29</f>
        <v>0</v>
      </c>
      <c r="AE28" s="113">
        <f>'Basis Hull'!AE29</f>
        <v>0</v>
      </c>
      <c r="AF28" s="111">
        <f>'Basis Hull'!AF29</f>
        <v>0</v>
      </c>
      <c r="AG28" s="113">
        <f>'Basis Hull'!AG29</f>
        <v>0</v>
      </c>
      <c r="AH28" s="111">
        <f>'Basis Hull'!AH29</f>
        <v>0</v>
      </c>
      <c r="AI28" s="113">
        <f>'Basis Hull'!AI29</f>
        <v>0</v>
      </c>
      <c r="AJ28" s="111">
        <f>'Basis Hull'!AJ29</f>
        <v>0</v>
      </c>
      <c r="AK28" s="113">
        <f>'Basis Hull'!AK29</f>
        <v>0</v>
      </c>
      <c r="AL28" s="111">
        <f>'Basis Hull'!AL29</f>
        <v>0</v>
      </c>
      <c r="AM28" s="113">
        <f>'Basis Hull'!AM29</f>
        <v>0</v>
      </c>
      <c r="AN28" s="111">
        <f>'Basis Hull'!AN29</f>
        <v>0</v>
      </c>
      <c r="AO28" s="115">
        <f>'Basis Hull'!AO29</f>
        <v>0</v>
      </c>
      <c r="AP28" s="111">
        <f>'Basis Hull'!AP29</f>
        <v>0</v>
      </c>
      <c r="AQ28" s="115">
        <f>'Basis Hull'!AQ29</f>
        <v>0</v>
      </c>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row>
    <row r="29" spans="1:145" x14ac:dyDescent="0.2">
      <c r="A29" s="10">
        <v>18</v>
      </c>
      <c r="B29" s="111">
        <f>'Basis Hull'!B30</f>
        <v>0</v>
      </c>
      <c r="C29" s="115">
        <f>'Basis Hull'!C30</f>
        <v>0</v>
      </c>
      <c r="D29" s="111">
        <f>'Basis Hull'!D30</f>
        <v>0</v>
      </c>
      <c r="E29" s="115">
        <f>'Basis Hull'!E30</f>
        <v>0</v>
      </c>
      <c r="F29" s="111">
        <f>'Basis Hull'!F30</f>
        <v>0</v>
      </c>
      <c r="G29" s="115">
        <f>'Basis Hull'!G30</f>
        <v>0</v>
      </c>
      <c r="H29" s="120">
        <f>'Basis Hull'!H30</f>
        <v>0</v>
      </c>
      <c r="I29" s="113">
        <f>'Basis Hull'!I30</f>
        <v>0</v>
      </c>
      <c r="J29" s="111">
        <f>'Basis Hull'!J30</f>
        <v>0</v>
      </c>
      <c r="K29" s="113">
        <f>'Basis Hull'!K30</f>
        <v>0</v>
      </c>
      <c r="L29" s="111">
        <f>'Basis Hull'!L30</f>
        <v>0</v>
      </c>
      <c r="M29" s="113">
        <f>'Basis Hull'!M30</f>
        <v>0</v>
      </c>
      <c r="N29" s="111">
        <f>'Basis Hull'!N30</f>
        <v>0</v>
      </c>
      <c r="O29" s="113">
        <f>'Basis Hull'!O30</f>
        <v>0</v>
      </c>
      <c r="P29" s="111">
        <f>'Basis Hull'!P30</f>
        <v>0</v>
      </c>
      <c r="Q29" s="113">
        <f>'Basis Hull'!Q30</f>
        <v>0</v>
      </c>
      <c r="R29" s="111">
        <f>'Basis Hull'!R30</f>
        <v>0</v>
      </c>
      <c r="S29" s="113">
        <f>'Basis Hull'!S30</f>
        <v>0</v>
      </c>
      <c r="T29" s="111">
        <f>'Basis Hull'!T30</f>
        <v>0</v>
      </c>
      <c r="U29" s="114">
        <f>'Basis Hull'!U30</f>
        <v>0</v>
      </c>
      <c r="V29" s="111">
        <f>'Basis Hull'!V30</f>
        <v>0</v>
      </c>
      <c r="W29" s="113">
        <f>'Basis Hull'!W30</f>
        <v>0</v>
      </c>
      <c r="X29" s="111">
        <f>'Basis Hull'!X30</f>
        <v>0</v>
      </c>
      <c r="Y29" s="113">
        <f>'Basis Hull'!Y30</f>
        <v>0</v>
      </c>
      <c r="Z29" s="111">
        <f>'Basis Hull'!Z30</f>
        <v>0</v>
      </c>
      <c r="AA29" s="113">
        <f>'Basis Hull'!AA30</f>
        <v>0</v>
      </c>
      <c r="AB29" s="111">
        <f>'Basis Hull'!AB30</f>
        <v>0</v>
      </c>
      <c r="AC29" s="113">
        <f>'Basis Hull'!AC30</f>
        <v>0</v>
      </c>
      <c r="AD29" s="111">
        <f>'Basis Hull'!AD30</f>
        <v>0</v>
      </c>
      <c r="AE29" s="113">
        <f>'Basis Hull'!AE30</f>
        <v>0</v>
      </c>
      <c r="AF29" s="111">
        <f>'Basis Hull'!AF30</f>
        <v>0</v>
      </c>
      <c r="AG29" s="113">
        <f>'Basis Hull'!AG30</f>
        <v>0</v>
      </c>
      <c r="AH29" s="111">
        <f>'Basis Hull'!AH30</f>
        <v>0</v>
      </c>
      <c r="AI29" s="113">
        <f>'Basis Hull'!AI30</f>
        <v>0</v>
      </c>
      <c r="AJ29" s="111">
        <f>'Basis Hull'!AJ30</f>
        <v>0</v>
      </c>
      <c r="AK29" s="113">
        <f>'Basis Hull'!AK30</f>
        <v>0</v>
      </c>
      <c r="AL29" s="111">
        <f>'Basis Hull'!AL30</f>
        <v>0</v>
      </c>
      <c r="AM29" s="113">
        <f>'Basis Hull'!AM30</f>
        <v>0</v>
      </c>
      <c r="AN29" s="111">
        <f>'Basis Hull'!AN30</f>
        <v>0</v>
      </c>
      <c r="AO29" s="115">
        <f>'Basis Hull'!AO30</f>
        <v>0</v>
      </c>
      <c r="AP29" s="111">
        <f>'Basis Hull'!AP30</f>
        <v>0</v>
      </c>
      <c r="AQ29" s="115">
        <f>'Basis Hull'!AQ30</f>
        <v>0</v>
      </c>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row>
    <row r="30" spans="1:145" x14ac:dyDescent="0.2">
      <c r="A30" s="10">
        <v>19</v>
      </c>
      <c r="B30" s="111">
        <f>'Basis Hull'!B31</f>
        <v>0</v>
      </c>
      <c r="C30" s="115">
        <f>'Basis Hull'!C31</f>
        <v>0</v>
      </c>
      <c r="D30" s="111">
        <f>'Basis Hull'!D31</f>
        <v>0</v>
      </c>
      <c r="E30" s="115">
        <f>'Basis Hull'!E31</f>
        <v>0</v>
      </c>
      <c r="F30" s="111">
        <f>'Basis Hull'!F31</f>
        <v>0</v>
      </c>
      <c r="G30" s="115">
        <f>'Basis Hull'!G31</f>
        <v>0</v>
      </c>
      <c r="H30" s="120">
        <f>'Basis Hull'!H31</f>
        <v>0</v>
      </c>
      <c r="I30" s="113">
        <f>'Basis Hull'!I31</f>
        <v>0</v>
      </c>
      <c r="J30" s="111">
        <f>'Basis Hull'!J31</f>
        <v>0</v>
      </c>
      <c r="K30" s="113">
        <f>'Basis Hull'!K31</f>
        <v>0</v>
      </c>
      <c r="L30" s="111">
        <f>'Basis Hull'!L31</f>
        <v>0</v>
      </c>
      <c r="M30" s="113">
        <f>'Basis Hull'!M31</f>
        <v>0</v>
      </c>
      <c r="N30" s="111">
        <f>'Basis Hull'!N31</f>
        <v>0</v>
      </c>
      <c r="O30" s="113">
        <f>'Basis Hull'!O31</f>
        <v>0</v>
      </c>
      <c r="P30" s="111">
        <f>'Basis Hull'!P31</f>
        <v>0</v>
      </c>
      <c r="Q30" s="113">
        <f>'Basis Hull'!Q31</f>
        <v>0</v>
      </c>
      <c r="R30" s="111">
        <f>'Basis Hull'!R31</f>
        <v>0</v>
      </c>
      <c r="S30" s="113">
        <f>'Basis Hull'!S31</f>
        <v>0</v>
      </c>
      <c r="T30" s="111">
        <f>'Basis Hull'!T31</f>
        <v>0</v>
      </c>
      <c r="U30" s="114">
        <f>'Basis Hull'!U31</f>
        <v>0</v>
      </c>
      <c r="V30" s="111">
        <f>'Basis Hull'!V31</f>
        <v>0</v>
      </c>
      <c r="W30" s="113">
        <f>'Basis Hull'!W31</f>
        <v>0</v>
      </c>
      <c r="X30" s="111">
        <f>'Basis Hull'!X31</f>
        <v>0</v>
      </c>
      <c r="Y30" s="113">
        <f>'Basis Hull'!Y31</f>
        <v>0</v>
      </c>
      <c r="Z30" s="111">
        <f>'Basis Hull'!Z31</f>
        <v>0</v>
      </c>
      <c r="AA30" s="113">
        <f>'Basis Hull'!AA31</f>
        <v>0</v>
      </c>
      <c r="AB30" s="111">
        <f>'Basis Hull'!AB31</f>
        <v>0</v>
      </c>
      <c r="AC30" s="113">
        <f>'Basis Hull'!AC31</f>
        <v>0</v>
      </c>
      <c r="AD30" s="111">
        <f>'Basis Hull'!AD31</f>
        <v>0</v>
      </c>
      <c r="AE30" s="113">
        <f>'Basis Hull'!AE31</f>
        <v>0</v>
      </c>
      <c r="AF30" s="111">
        <f>'Basis Hull'!AF31</f>
        <v>0</v>
      </c>
      <c r="AG30" s="113">
        <f>'Basis Hull'!AG31</f>
        <v>0</v>
      </c>
      <c r="AH30" s="111">
        <f>'Basis Hull'!AH31</f>
        <v>0</v>
      </c>
      <c r="AI30" s="113">
        <f>'Basis Hull'!AI31</f>
        <v>0</v>
      </c>
      <c r="AJ30" s="111">
        <f>'Basis Hull'!AJ31</f>
        <v>0</v>
      </c>
      <c r="AK30" s="113">
        <f>'Basis Hull'!AK31</f>
        <v>0</v>
      </c>
      <c r="AL30" s="111">
        <f>'Basis Hull'!AL31</f>
        <v>0</v>
      </c>
      <c r="AM30" s="113">
        <f>'Basis Hull'!AM31</f>
        <v>0</v>
      </c>
      <c r="AN30" s="111">
        <f>'Basis Hull'!AN31</f>
        <v>0</v>
      </c>
      <c r="AO30" s="115">
        <f>'Basis Hull'!AO31</f>
        <v>0</v>
      </c>
      <c r="AP30" s="111">
        <f>'Basis Hull'!AP31</f>
        <v>0</v>
      </c>
      <c r="AQ30" s="115">
        <f>'Basis Hull'!AQ31</f>
        <v>0</v>
      </c>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row>
    <row r="31" spans="1:145" x14ac:dyDescent="0.2">
      <c r="A31" s="10">
        <v>20</v>
      </c>
      <c r="B31" s="111">
        <f>'Basis Hull'!B32</f>
        <v>0</v>
      </c>
      <c r="C31" s="115">
        <f>'Basis Hull'!C32</f>
        <v>0</v>
      </c>
      <c r="D31" s="111">
        <f>'Basis Hull'!D32</f>
        <v>0</v>
      </c>
      <c r="E31" s="115">
        <f>'Basis Hull'!E32</f>
        <v>0</v>
      </c>
      <c r="F31" s="111">
        <f>'Basis Hull'!F32</f>
        <v>0</v>
      </c>
      <c r="G31" s="115">
        <f>'Basis Hull'!G32</f>
        <v>0</v>
      </c>
      <c r="H31" s="120">
        <f>'Basis Hull'!H32</f>
        <v>0</v>
      </c>
      <c r="I31" s="113">
        <f>'Basis Hull'!I32</f>
        <v>0</v>
      </c>
      <c r="J31" s="111">
        <f>'Basis Hull'!J32</f>
        <v>0</v>
      </c>
      <c r="K31" s="113">
        <f>'Basis Hull'!K32</f>
        <v>0</v>
      </c>
      <c r="L31" s="111">
        <f>'Basis Hull'!L32</f>
        <v>0</v>
      </c>
      <c r="M31" s="113">
        <f>'Basis Hull'!M32</f>
        <v>0</v>
      </c>
      <c r="N31" s="111">
        <f>'Basis Hull'!N32</f>
        <v>0</v>
      </c>
      <c r="O31" s="113">
        <f>'Basis Hull'!O32</f>
        <v>0</v>
      </c>
      <c r="P31" s="111">
        <f>'Basis Hull'!P32</f>
        <v>0</v>
      </c>
      <c r="Q31" s="113">
        <f>'Basis Hull'!Q32</f>
        <v>0</v>
      </c>
      <c r="R31" s="111">
        <f>'Basis Hull'!R32</f>
        <v>0</v>
      </c>
      <c r="S31" s="113">
        <f>'Basis Hull'!S32</f>
        <v>0</v>
      </c>
      <c r="T31" s="111">
        <f>'Basis Hull'!T32</f>
        <v>0</v>
      </c>
      <c r="U31" s="114">
        <f>'Basis Hull'!U32</f>
        <v>0</v>
      </c>
      <c r="V31" s="111">
        <f>'Basis Hull'!V32</f>
        <v>0</v>
      </c>
      <c r="W31" s="113">
        <f>'Basis Hull'!W32</f>
        <v>0</v>
      </c>
      <c r="X31" s="111">
        <f>'Basis Hull'!X32</f>
        <v>0</v>
      </c>
      <c r="Y31" s="113">
        <f>'Basis Hull'!Y32</f>
        <v>0</v>
      </c>
      <c r="Z31" s="111">
        <f>'Basis Hull'!Z32</f>
        <v>0</v>
      </c>
      <c r="AA31" s="113">
        <f>'Basis Hull'!AA32</f>
        <v>0</v>
      </c>
      <c r="AB31" s="111">
        <f>'Basis Hull'!AB32</f>
        <v>0</v>
      </c>
      <c r="AC31" s="113">
        <f>'Basis Hull'!AC32</f>
        <v>0</v>
      </c>
      <c r="AD31" s="111">
        <f>'Basis Hull'!AD32</f>
        <v>0</v>
      </c>
      <c r="AE31" s="113">
        <f>'Basis Hull'!AE32</f>
        <v>0</v>
      </c>
      <c r="AF31" s="111">
        <f>'Basis Hull'!AF32</f>
        <v>0</v>
      </c>
      <c r="AG31" s="113">
        <f>'Basis Hull'!AG32</f>
        <v>0</v>
      </c>
      <c r="AH31" s="111">
        <f>'Basis Hull'!AH32</f>
        <v>0</v>
      </c>
      <c r="AI31" s="113">
        <f>'Basis Hull'!AI32</f>
        <v>0</v>
      </c>
      <c r="AJ31" s="111">
        <f>'Basis Hull'!AJ32</f>
        <v>0</v>
      </c>
      <c r="AK31" s="113">
        <f>'Basis Hull'!AK32</f>
        <v>0</v>
      </c>
      <c r="AL31" s="111">
        <f>'Basis Hull'!AL32</f>
        <v>0</v>
      </c>
      <c r="AM31" s="113">
        <f>'Basis Hull'!AM32</f>
        <v>0</v>
      </c>
      <c r="AN31" s="111">
        <f>'Basis Hull'!AN32</f>
        <v>0</v>
      </c>
      <c r="AO31" s="115">
        <f>'Basis Hull'!AO32</f>
        <v>0</v>
      </c>
      <c r="AP31" s="111">
        <f>'Basis Hull'!AP32</f>
        <v>0</v>
      </c>
      <c r="AQ31" s="115">
        <f>'Basis Hull'!AQ32</f>
        <v>0</v>
      </c>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row>
    <row r="32" spans="1:145" x14ac:dyDescent="0.2">
      <c r="A32" s="10">
        <v>21</v>
      </c>
      <c r="B32" s="111">
        <f>'Basis Hull'!B33</f>
        <v>0</v>
      </c>
      <c r="C32" s="115">
        <f>'Basis Hull'!C33</f>
        <v>0</v>
      </c>
      <c r="D32" s="111">
        <f>'Basis Hull'!D33</f>
        <v>0</v>
      </c>
      <c r="E32" s="115">
        <f>'Basis Hull'!E33</f>
        <v>0</v>
      </c>
      <c r="F32" s="111">
        <f>'Basis Hull'!F33</f>
        <v>0</v>
      </c>
      <c r="G32" s="115">
        <f>'Basis Hull'!G33</f>
        <v>0</v>
      </c>
      <c r="H32" s="120">
        <f>'Basis Hull'!H33</f>
        <v>0</v>
      </c>
      <c r="I32" s="113">
        <f>'Basis Hull'!I33</f>
        <v>0</v>
      </c>
      <c r="J32" s="111">
        <f>'Basis Hull'!J33</f>
        <v>0</v>
      </c>
      <c r="K32" s="113">
        <f>'Basis Hull'!K33</f>
        <v>0</v>
      </c>
      <c r="L32" s="111">
        <f>'Basis Hull'!L33</f>
        <v>0</v>
      </c>
      <c r="M32" s="113">
        <f>'Basis Hull'!M33</f>
        <v>0</v>
      </c>
      <c r="N32" s="111">
        <f>'Basis Hull'!N33</f>
        <v>0</v>
      </c>
      <c r="O32" s="113">
        <f>'Basis Hull'!O33</f>
        <v>0</v>
      </c>
      <c r="P32" s="111">
        <f>'Basis Hull'!P33</f>
        <v>0</v>
      </c>
      <c r="Q32" s="113">
        <f>'Basis Hull'!Q33</f>
        <v>0</v>
      </c>
      <c r="R32" s="111">
        <f>'Basis Hull'!R33</f>
        <v>0</v>
      </c>
      <c r="S32" s="113">
        <f>'Basis Hull'!S33</f>
        <v>0</v>
      </c>
      <c r="T32" s="111">
        <f>'Basis Hull'!T33</f>
        <v>0</v>
      </c>
      <c r="U32" s="114">
        <f>'Basis Hull'!U33</f>
        <v>0</v>
      </c>
      <c r="V32" s="111">
        <f>'Basis Hull'!V33</f>
        <v>0</v>
      </c>
      <c r="W32" s="113">
        <f>'Basis Hull'!W33</f>
        <v>0</v>
      </c>
      <c r="X32" s="111">
        <f>'Basis Hull'!X33</f>
        <v>0</v>
      </c>
      <c r="Y32" s="113">
        <f>'Basis Hull'!Y33</f>
        <v>0</v>
      </c>
      <c r="Z32" s="111">
        <f>'Basis Hull'!Z33</f>
        <v>0</v>
      </c>
      <c r="AA32" s="113">
        <f>'Basis Hull'!AA33</f>
        <v>0</v>
      </c>
      <c r="AB32" s="111">
        <f>'Basis Hull'!AB33</f>
        <v>0</v>
      </c>
      <c r="AC32" s="113">
        <f>'Basis Hull'!AC33</f>
        <v>0</v>
      </c>
      <c r="AD32" s="111">
        <f>'Basis Hull'!AD33</f>
        <v>0</v>
      </c>
      <c r="AE32" s="113">
        <f>'Basis Hull'!AE33</f>
        <v>0</v>
      </c>
      <c r="AF32" s="111">
        <f>'Basis Hull'!AF33</f>
        <v>0</v>
      </c>
      <c r="AG32" s="113">
        <f>'Basis Hull'!AG33</f>
        <v>0</v>
      </c>
      <c r="AH32" s="111">
        <f>'Basis Hull'!AH33</f>
        <v>0</v>
      </c>
      <c r="AI32" s="113">
        <f>'Basis Hull'!AI33</f>
        <v>0</v>
      </c>
      <c r="AJ32" s="111">
        <f>'Basis Hull'!AJ33</f>
        <v>0</v>
      </c>
      <c r="AK32" s="113">
        <f>'Basis Hull'!AK33</f>
        <v>0</v>
      </c>
      <c r="AL32" s="111">
        <f>'Basis Hull'!AL33</f>
        <v>0</v>
      </c>
      <c r="AM32" s="113">
        <f>'Basis Hull'!AM33</f>
        <v>0</v>
      </c>
      <c r="AN32" s="111">
        <f>'Basis Hull'!AN33</f>
        <v>0</v>
      </c>
      <c r="AO32" s="115">
        <f>'Basis Hull'!AO33</f>
        <v>0</v>
      </c>
      <c r="AP32" s="111">
        <f>'Basis Hull'!AP33</f>
        <v>0</v>
      </c>
      <c r="AQ32" s="115">
        <f>'Basis Hull'!AQ33</f>
        <v>0</v>
      </c>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row>
    <row r="33" spans="1:145" x14ac:dyDescent="0.2">
      <c r="A33" s="10">
        <v>22</v>
      </c>
      <c r="B33" s="111">
        <f>'Basis Hull'!B34</f>
        <v>0</v>
      </c>
      <c r="C33" s="115">
        <f>'Basis Hull'!C34</f>
        <v>0</v>
      </c>
      <c r="D33" s="111">
        <f>'Basis Hull'!D34</f>
        <v>0</v>
      </c>
      <c r="E33" s="115">
        <f>'Basis Hull'!E34</f>
        <v>0</v>
      </c>
      <c r="F33" s="111">
        <f>'Basis Hull'!F34</f>
        <v>0</v>
      </c>
      <c r="G33" s="115">
        <f>'Basis Hull'!G34</f>
        <v>0</v>
      </c>
      <c r="H33" s="120">
        <f>'Basis Hull'!H34</f>
        <v>0</v>
      </c>
      <c r="I33" s="113">
        <f>'Basis Hull'!I34</f>
        <v>0</v>
      </c>
      <c r="J33" s="111">
        <f>'Basis Hull'!J34</f>
        <v>0</v>
      </c>
      <c r="K33" s="113">
        <f>'Basis Hull'!K34</f>
        <v>0</v>
      </c>
      <c r="L33" s="111">
        <f>'Basis Hull'!L34</f>
        <v>0</v>
      </c>
      <c r="M33" s="113">
        <f>'Basis Hull'!M34</f>
        <v>0</v>
      </c>
      <c r="N33" s="111">
        <f>'Basis Hull'!N34</f>
        <v>0</v>
      </c>
      <c r="O33" s="113">
        <f>'Basis Hull'!O34</f>
        <v>0</v>
      </c>
      <c r="P33" s="111">
        <f>'Basis Hull'!P34</f>
        <v>0</v>
      </c>
      <c r="Q33" s="113">
        <f>'Basis Hull'!Q34</f>
        <v>0</v>
      </c>
      <c r="R33" s="111">
        <f>'Basis Hull'!R34</f>
        <v>0</v>
      </c>
      <c r="S33" s="113">
        <f>'Basis Hull'!S34</f>
        <v>0</v>
      </c>
      <c r="T33" s="111">
        <f>'Basis Hull'!T34</f>
        <v>0</v>
      </c>
      <c r="U33" s="114">
        <f>'Basis Hull'!U34</f>
        <v>0</v>
      </c>
      <c r="V33" s="111">
        <f>'Basis Hull'!V34</f>
        <v>0</v>
      </c>
      <c r="W33" s="113">
        <f>'Basis Hull'!W34</f>
        <v>0</v>
      </c>
      <c r="X33" s="111">
        <f>'Basis Hull'!X34</f>
        <v>0</v>
      </c>
      <c r="Y33" s="113">
        <f>'Basis Hull'!Y34</f>
        <v>0</v>
      </c>
      <c r="Z33" s="111">
        <f>'Basis Hull'!Z34</f>
        <v>0</v>
      </c>
      <c r="AA33" s="113">
        <f>'Basis Hull'!AA34</f>
        <v>0</v>
      </c>
      <c r="AB33" s="111">
        <f>'Basis Hull'!AB34</f>
        <v>0</v>
      </c>
      <c r="AC33" s="113">
        <f>'Basis Hull'!AC34</f>
        <v>0</v>
      </c>
      <c r="AD33" s="111">
        <f>'Basis Hull'!AD34</f>
        <v>0</v>
      </c>
      <c r="AE33" s="113">
        <f>'Basis Hull'!AE34</f>
        <v>0</v>
      </c>
      <c r="AF33" s="111">
        <f>'Basis Hull'!AF34</f>
        <v>0</v>
      </c>
      <c r="AG33" s="113">
        <f>'Basis Hull'!AG34</f>
        <v>0</v>
      </c>
      <c r="AH33" s="111">
        <f>'Basis Hull'!AH34</f>
        <v>0</v>
      </c>
      <c r="AI33" s="113">
        <f>'Basis Hull'!AI34</f>
        <v>0</v>
      </c>
      <c r="AJ33" s="111">
        <f>'Basis Hull'!AJ34</f>
        <v>0</v>
      </c>
      <c r="AK33" s="113">
        <f>'Basis Hull'!AK34</f>
        <v>0</v>
      </c>
      <c r="AL33" s="111">
        <f>'Basis Hull'!AL34</f>
        <v>0</v>
      </c>
      <c r="AM33" s="113">
        <f>'Basis Hull'!AM34</f>
        <v>0</v>
      </c>
      <c r="AN33" s="111">
        <f>'Basis Hull'!AN34</f>
        <v>0</v>
      </c>
      <c r="AO33" s="115">
        <f>'Basis Hull'!AO34</f>
        <v>0</v>
      </c>
      <c r="AP33" s="111">
        <f>'Basis Hull'!AP34</f>
        <v>0</v>
      </c>
      <c r="AQ33" s="115">
        <f>'Basis Hull'!AQ34</f>
        <v>0</v>
      </c>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row>
    <row r="34" spans="1:145" x14ac:dyDescent="0.2">
      <c r="A34" s="10">
        <v>23</v>
      </c>
      <c r="B34" s="111">
        <f>'Basis Hull'!B35</f>
        <v>0</v>
      </c>
      <c r="C34" s="115">
        <f>'Basis Hull'!C35</f>
        <v>0</v>
      </c>
      <c r="D34" s="111">
        <f>'Basis Hull'!D35</f>
        <v>0</v>
      </c>
      <c r="E34" s="115">
        <f>'Basis Hull'!E35</f>
        <v>0</v>
      </c>
      <c r="F34" s="111">
        <f>'Basis Hull'!F35</f>
        <v>0</v>
      </c>
      <c r="G34" s="115">
        <f>'Basis Hull'!G35</f>
        <v>0</v>
      </c>
      <c r="H34" s="120">
        <f>'Basis Hull'!H35</f>
        <v>0</v>
      </c>
      <c r="I34" s="113">
        <f>'Basis Hull'!I35</f>
        <v>0</v>
      </c>
      <c r="J34" s="111">
        <f>'Basis Hull'!J35</f>
        <v>0</v>
      </c>
      <c r="K34" s="113">
        <f>'Basis Hull'!K35</f>
        <v>0</v>
      </c>
      <c r="L34" s="111">
        <f>'Basis Hull'!L35</f>
        <v>0</v>
      </c>
      <c r="M34" s="113">
        <f>'Basis Hull'!M35</f>
        <v>0</v>
      </c>
      <c r="N34" s="111">
        <f>'Basis Hull'!N35</f>
        <v>0</v>
      </c>
      <c r="O34" s="113">
        <f>'Basis Hull'!O35</f>
        <v>0</v>
      </c>
      <c r="P34" s="111">
        <f>'Basis Hull'!P35</f>
        <v>0</v>
      </c>
      <c r="Q34" s="113">
        <f>'Basis Hull'!Q35</f>
        <v>0</v>
      </c>
      <c r="R34" s="111">
        <f>'Basis Hull'!R35</f>
        <v>0</v>
      </c>
      <c r="S34" s="113">
        <f>'Basis Hull'!S35</f>
        <v>0</v>
      </c>
      <c r="T34" s="111">
        <f>'Basis Hull'!T35</f>
        <v>0</v>
      </c>
      <c r="U34" s="114">
        <f>'Basis Hull'!U35</f>
        <v>0</v>
      </c>
      <c r="V34" s="111">
        <f>'Basis Hull'!V35</f>
        <v>0</v>
      </c>
      <c r="W34" s="113">
        <f>'Basis Hull'!W35</f>
        <v>0</v>
      </c>
      <c r="X34" s="111">
        <f>'Basis Hull'!X35</f>
        <v>0</v>
      </c>
      <c r="Y34" s="113">
        <f>'Basis Hull'!Y35</f>
        <v>0</v>
      </c>
      <c r="Z34" s="111">
        <f>'Basis Hull'!Z35</f>
        <v>0</v>
      </c>
      <c r="AA34" s="113">
        <f>'Basis Hull'!AA35</f>
        <v>0</v>
      </c>
      <c r="AB34" s="111">
        <f>'Basis Hull'!AB35</f>
        <v>0</v>
      </c>
      <c r="AC34" s="113">
        <f>'Basis Hull'!AC35</f>
        <v>0</v>
      </c>
      <c r="AD34" s="111">
        <f>'Basis Hull'!AD35</f>
        <v>0</v>
      </c>
      <c r="AE34" s="113">
        <f>'Basis Hull'!AE35</f>
        <v>0</v>
      </c>
      <c r="AF34" s="111">
        <f>'Basis Hull'!AF35</f>
        <v>0</v>
      </c>
      <c r="AG34" s="113">
        <f>'Basis Hull'!AG35</f>
        <v>0</v>
      </c>
      <c r="AH34" s="111">
        <f>'Basis Hull'!AH35</f>
        <v>0</v>
      </c>
      <c r="AI34" s="113">
        <f>'Basis Hull'!AI35</f>
        <v>0</v>
      </c>
      <c r="AJ34" s="111">
        <f>'Basis Hull'!AJ35</f>
        <v>0</v>
      </c>
      <c r="AK34" s="113">
        <f>'Basis Hull'!AK35</f>
        <v>0</v>
      </c>
      <c r="AL34" s="111">
        <f>'Basis Hull'!AL35</f>
        <v>0</v>
      </c>
      <c r="AM34" s="113">
        <f>'Basis Hull'!AM35</f>
        <v>0</v>
      </c>
      <c r="AN34" s="111">
        <f>'Basis Hull'!AN35</f>
        <v>0</v>
      </c>
      <c r="AO34" s="115">
        <f>'Basis Hull'!AO35</f>
        <v>0</v>
      </c>
      <c r="AP34" s="111">
        <f>'Basis Hull'!AP35</f>
        <v>0</v>
      </c>
      <c r="AQ34" s="115">
        <f>'Basis Hull'!AQ35</f>
        <v>0</v>
      </c>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row>
    <row r="35" spans="1:145" x14ac:dyDescent="0.2">
      <c r="A35" s="10">
        <v>24</v>
      </c>
      <c r="B35" s="111">
        <f>'Basis Hull'!B36</f>
        <v>0</v>
      </c>
      <c r="C35" s="115">
        <f>'Basis Hull'!C36</f>
        <v>0</v>
      </c>
      <c r="D35" s="111">
        <f>'Basis Hull'!D36</f>
        <v>0</v>
      </c>
      <c r="E35" s="115">
        <f>'Basis Hull'!E36</f>
        <v>0</v>
      </c>
      <c r="F35" s="111">
        <f>'Basis Hull'!F36</f>
        <v>0</v>
      </c>
      <c r="G35" s="115">
        <f>'Basis Hull'!G36</f>
        <v>0</v>
      </c>
      <c r="H35" s="120">
        <f>'Basis Hull'!H36</f>
        <v>0</v>
      </c>
      <c r="I35" s="113">
        <f>'Basis Hull'!I36</f>
        <v>0</v>
      </c>
      <c r="J35" s="111">
        <f>'Basis Hull'!J36</f>
        <v>0</v>
      </c>
      <c r="K35" s="113">
        <f>'Basis Hull'!K36</f>
        <v>0</v>
      </c>
      <c r="L35" s="111">
        <f>'Basis Hull'!L36</f>
        <v>0</v>
      </c>
      <c r="M35" s="113">
        <f>'Basis Hull'!M36</f>
        <v>0</v>
      </c>
      <c r="N35" s="111">
        <f>'Basis Hull'!N36</f>
        <v>0</v>
      </c>
      <c r="O35" s="113">
        <f>'Basis Hull'!O36</f>
        <v>0</v>
      </c>
      <c r="P35" s="111">
        <f>'Basis Hull'!P36</f>
        <v>0</v>
      </c>
      <c r="Q35" s="113">
        <f>'Basis Hull'!Q36</f>
        <v>0</v>
      </c>
      <c r="R35" s="111">
        <f>'Basis Hull'!R36</f>
        <v>0</v>
      </c>
      <c r="S35" s="113">
        <f>'Basis Hull'!S36</f>
        <v>0</v>
      </c>
      <c r="T35" s="111">
        <f>'Basis Hull'!T36</f>
        <v>0</v>
      </c>
      <c r="U35" s="114">
        <f>'Basis Hull'!U36</f>
        <v>0</v>
      </c>
      <c r="V35" s="111">
        <f>'Basis Hull'!V36</f>
        <v>0</v>
      </c>
      <c r="W35" s="113">
        <f>'Basis Hull'!W36</f>
        <v>0</v>
      </c>
      <c r="X35" s="111">
        <f>'Basis Hull'!X36</f>
        <v>0</v>
      </c>
      <c r="Y35" s="113">
        <f>'Basis Hull'!Y36</f>
        <v>0</v>
      </c>
      <c r="Z35" s="111">
        <f>'Basis Hull'!Z36</f>
        <v>0</v>
      </c>
      <c r="AA35" s="113">
        <f>'Basis Hull'!AA36</f>
        <v>0</v>
      </c>
      <c r="AB35" s="111">
        <f>'Basis Hull'!AB36</f>
        <v>0</v>
      </c>
      <c r="AC35" s="113">
        <f>'Basis Hull'!AC36</f>
        <v>0</v>
      </c>
      <c r="AD35" s="111">
        <f>'Basis Hull'!AD36</f>
        <v>0</v>
      </c>
      <c r="AE35" s="113">
        <f>'Basis Hull'!AE36</f>
        <v>0</v>
      </c>
      <c r="AF35" s="111">
        <f>'Basis Hull'!AF36</f>
        <v>0</v>
      </c>
      <c r="AG35" s="113">
        <f>'Basis Hull'!AG36</f>
        <v>0</v>
      </c>
      <c r="AH35" s="111">
        <f>'Basis Hull'!AH36</f>
        <v>0</v>
      </c>
      <c r="AI35" s="113">
        <f>'Basis Hull'!AI36</f>
        <v>0</v>
      </c>
      <c r="AJ35" s="111">
        <f>'Basis Hull'!AJ36</f>
        <v>0</v>
      </c>
      <c r="AK35" s="113">
        <f>'Basis Hull'!AK36</f>
        <v>0</v>
      </c>
      <c r="AL35" s="111">
        <f>'Basis Hull'!AL36</f>
        <v>0</v>
      </c>
      <c r="AM35" s="113">
        <f>'Basis Hull'!AM36</f>
        <v>0</v>
      </c>
      <c r="AN35" s="111">
        <f>'Basis Hull'!AN36</f>
        <v>0</v>
      </c>
      <c r="AO35" s="115">
        <f>'Basis Hull'!AO36</f>
        <v>0</v>
      </c>
      <c r="AP35" s="111">
        <f>'Basis Hull'!AP36</f>
        <v>0</v>
      </c>
      <c r="AQ35" s="115">
        <f>'Basis Hull'!AQ36</f>
        <v>0</v>
      </c>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row>
    <row r="36" spans="1:145" x14ac:dyDescent="0.2">
      <c r="A36" s="10">
        <v>25</v>
      </c>
      <c r="B36" s="111">
        <f>'Basis Hull'!B37</f>
        <v>0</v>
      </c>
      <c r="C36" s="115">
        <f>'Basis Hull'!C37</f>
        <v>0</v>
      </c>
      <c r="D36" s="111">
        <f>'Basis Hull'!D37</f>
        <v>0</v>
      </c>
      <c r="E36" s="115">
        <f>'Basis Hull'!E37</f>
        <v>0</v>
      </c>
      <c r="F36" s="111">
        <f>'Basis Hull'!F37</f>
        <v>0</v>
      </c>
      <c r="G36" s="115">
        <f>'Basis Hull'!G37</f>
        <v>0</v>
      </c>
      <c r="H36" s="120">
        <f>'Basis Hull'!H37</f>
        <v>0</v>
      </c>
      <c r="I36" s="113">
        <f>'Basis Hull'!I37</f>
        <v>0</v>
      </c>
      <c r="J36" s="111">
        <f>'Basis Hull'!J37</f>
        <v>0</v>
      </c>
      <c r="K36" s="113">
        <f>'Basis Hull'!K37</f>
        <v>0</v>
      </c>
      <c r="L36" s="111">
        <f>'Basis Hull'!L37</f>
        <v>0</v>
      </c>
      <c r="M36" s="113">
        <f>'Basis Hull'!M37</f>
        <v>0</v>
      </c>
      <c r="N36" s="111">
        <f>'Basis Hull'!N37</f>
        <v>0</v>
      </c>
      <c r="O36" s="113">
        <f>'Basis Hull'!O37</f>
        <v>0</v>
      </c>
      <c r="P36" s="111">
        <f>'Basis Hull'!P37</f>
        <v>0</v>
      </c>
      <c r="Q36" s="113">
        <f>'Basis Hull'!Q37</f>
        <v>0</v>
      </c>
      <c r="R36" s="111">
        <f>'Basis Hull'!R37</f>
        <v>0</v>
      </c>
      <c r="S36" s="113">
        <f>'Basis Hull'!S37</f>
        <v>0</v>
      </c>
      <c r="T36" s="111">
        <f>'Basis Hull'!T37</f>
        <v>0</v>
      </c>
      <c r="U36" s="114">
        <f>'Basis Hull'!U37</f>
        <v>0</v>
      </c>
      <c r="V36" s="111">
        <f>'Basis Hull'!V37</f>
        <v>0</v>
      </c>
      <c r="W36" s="113">
        <f>'Basis Hull'!W37</f>
        <v>0</v>
      </c>
      <c r="X36" s="111">
        <f>'Basis Hull'!X37</f>
        <v>0</v>
      </c>
      <c r="Y36" s="113">
        <f>'Basis Hull'!Y37</f>
        <v>0</v>
      </c>
      <c r="Z36" s="111">
        <f>'Basis Hull'!Z37</f>
        <v>0</v>
      </c>
      <c r="AA36" s="113">
        <f>'Basis Hull'!AA37</f>
        <v>0</v>
      </c>
      <c r="AB36" s="111">
        <f>'Basis Hull'!AB37</f>
        <v>0</v>
      </c>
      <c r="AC36" s="113">
        <f>'Basis Hull'!AC37</f>
        <v>0</v>
      </c>
      <c r="AD36" s="111">
        <f>'Basis Hull'!AD37</f>
        <v>0</v>
      </c>
      <c r="AE36" s="113">
        <f>'Basis Hull'!AE37</f>
        <v>0</v>
      </c>
      <c r="AF36" s="111">
        <f>'Basis Hull'!AF37</f>
        <v>0</v>
      </c>
      <c r="AG36" s="113">
        <f>'Basis Hull'!AG37</f>
        <v>0</v>
      </c>
      <c r="AH36" s="111">
        <f>'Basis Hull'!AH37</f>
        <v>0</v>
      </c>
      <c r="AI36" s="113">
        <f>'Basis Hull'!AI37</f>
        <v>0</v>
      </c>
      <c r="AJ36" s="111">
        <f>'Basis Hull'!AJ37</f>
        <v>0</v>
      </c>
      <c r="AK36" s="113">
        <f>'Basis Hull'!AK37</f>
        <v>0</v>
      </c>
      <c r="AL36" s="111">
        <f>'Basis Hull'!AL37</f>
        <v>0</v>
      </c>
      <c r="AM36" s="113">
        <f>'Basis Hull'!AM37</f>
        <v>0</v>
      </c>
      <c r="AN36" s="111">
        <f>'Basis Hull'!AN37</f>
        <v>0</v>
      </c>
      <c r="AO36" s="115">
        <f>'Basis Hull'!AO37</f>
        <v>0</v>
      </c>
      <c r="AP36" s="111">
        <f>'Basis Hull'!AP37</f>
        <v>0</v>
      </c>
      <c r="AQ36" s="115">
        <f>'Basis Hull'!AQ37</f>
        <v>0</v>
      </c>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row>
    <row r="37" spans="1:145" x14ac:dyDescent="0.2">
      <c r="A37" s="10">
        <v>26</v>
      </c>
      <c r="B37" s="111">
        <f>'Basis Hull'!B38</f>
        <v>0</v>
      </c>
      <c r="C37" s="115">
        <f>'Basis Hull'!C38</f>
        <v>0</v>
      </c>
      <c r="D37" s="111">
        <f>'Basis Hull'!D38</f>
        <v>0</v>
      </c>
      <c r="E37" s="115">
        <f>'Basis Hull'!E38</f>
        <v>0</v>
      </c>
      <c r="F37" s="111">
        <f>'Basis Hull'!F38</f>
        <v>0</v>
      </c>
      <c r="G37" s="115">
        <f>'Basis Hull'!G38</f>
        <v>0</v>
      </c>
      <c r="H37" s="120">
        <f>'Basis Hull'!H38</f>
        <v>0</v>
      </c>
      <c r="I37" s="113">
        <f>'Basis Hull'!I38</f>
        <v>0</v>
      </c>
      <c r="J37" s="111">
        <f>'Basis Hull'!J38</f>
        <v>0</v>
      </c>
      <c r="K37" s="113">
        <f>'Basis Hull'!K38</f>
        <v>0</v>
      </c>
      <c r="L37" s="111">
        <f>'Basis Hull'!L38</f>
        <v>0</v>
      </c>
      <c r="M37" s="113">
        <f>'Basis Hull'!M38</f>
        <v>0</v>
      </c>
      <c r="N37" s="111">
        <f>'Basis Hull'!N38</f>
        <v>0</v>
      </c>
      <c r="O37" s="113">
        <f>'Basis Hull'!O38</f>
        <v>0</v>
      </c>
      <c r="P37" s="111">
        <f>'Basis Hull'!P38</f>
        <v>0</v>
      </c>
      <c r="Q37" s="113">
        <f>'Basis Hull'!Q38</f>
        <v>0</v>
      </c>
      <c r="R37" s="111">
        <f>'Basis Hull'!R38</f>
        <v>0</v>
      </c>
      <c r="S37" s="113">
        <f>'Basis Hull'!S38</f>
        <v>0</v>
      </c>
      <c r="T37" s="111">
        <f>'Basis Hull'!T38</f>
        <v>0</v>
      </c>
      <c r="U37" s="114">
        <f>'Basis Hull'!U38</f>
        <v>0</v>
      </c>
      <c r="V37" s="111">
        <f>'Basis Hull'!V38</f>
        <v>0</v>
      </c>
      <c r="W37" s="113">
        <f>'Basis Hull'!W38</f>
        <v>0</v>
      </c>
      <c r="X37" s="111">
        <f>'Basis Hull'!X38</f>
        <v>0</v>
      </c>
      <c r="Y37" s="113">
        <f>'Basis Hull'!Y38</f>
        <v>0</v>
      </c>
      <c r="Z37" s="111">
        <f>'Basis Hull'!Z38</f>
        <v>0</v>
      </c>
      <c r="AA37" s="113">
        <f>'Basis Hull'!AA38</f>
        <v>0</v>
      </c>
      <c r="AB37" s="111">
        <f>'Basis Hull'!AB38</f>
        <v>0</v>
      </c>
      <c r="AC37" s="113">
        <f>'Basis Hull'!AC38</f>
        <v>0</v>
      </c>
      <c r="AD37" s="111">
        <f>'Basis Hull'!AD38</f>
        <v>0</v>
      </c>
      <c r="AE37" s="113">
        <f>'Basis Hull'!AE38</f>
        <v>0</v>
      </c>
      <c r="AF37" s="111">
        <f>'Basis Hull'!AF38</f>
        <v>0</v>
      </c>
      <c r="AG37" s="113">
        <f>'Basis Hull'!AG38</f>
        <v>0</v>
      </c>
      <c r="AH37" s="111">
        <f>'Basis Hull'!AH38</f>
        <v>0</v>
      </c>
      <c r="AI37" s="113">
        <f>'Basis Hull'!AI38</f>
        <v>0</v>
      </c>
      <c r="AJ37" s="111">
        <f>'Basis Hull'!AJ38</f>
        <v>0</v>
      </c>
      <c r="AK37" s="113">
        <f>'Basis Hull'!AK38</f>
        <v>0</v>
      </c>
      <c r="AL37" s="111">
        <f>'Basis Hull'!AL38</f>
        <v>0</v>
      </c>
      <c r="AM37" s="113">
        <f>'Basis Hull'!AM38</f>
        <v>0</v>
      </c>
      <c r="AN37" s="111">
        <f>'Basis Hull'!AN38</f>
        <v>0</v>
      </c>
      <c r="AO37" s="115">
        <f>'Basis Hull'!AO38</f>
        <v>0</v>
      </c>
      <c r="AP37" s="111">
        <f>'Basis Hull'!AP38</f>
        <v>0</v>
      </c>
      <c r="AQ37" s="115">
        <f>'Basis Hull'!AQ38</f>
        <v>0</v>
      </c>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row>
    <row r="38" spans="1:145" ht="13.5" thickBot="1" x14ac:dyDescent="0.25">
      <c r="A38" s="15">
        <v>27</v>
      </c>
      <c r="B38" s="116">
        <f>'Basis Hull'!B39</f>
        <v>0</v>
      </c>
      <c r="C38" s="119">
        <f>'Basis Hull'!C39</f>
        <v>0</v>
      </c>
      <c r="D38" s="116">
        <f>'Basis Hull'!D39</f>
        <v>0</v>
      </c>
      <c r="E38" s="119">
        <f>'Basis Hull'!E39</f>
        <v>0</v>
      </c>
      <c r="F38" s="116">
        <f>'Basis Hull'!F39</f>
        <v>0</v>
      </c>
      <c r="G38" s="119">
        <f>'Basis Hull'!G39</f>
        <v>0</v>
      </c>
      <c r="H38" s="121">
        <f>'Basis Hull'!H39</f>
        <v>0</v>
      </c>
      <c r="I38" s="117">
        <f>'Basis Hull'!I39</f>
        <v>0</v>
      </c>
      <c r="J38" s="116">
        <f>'Basis Hull'!J39</f>
        <v>0</v>
      </c>
      <c r="K38" s="117">
        <f>'Basis Hull'!K39</f>
        <v>0</v>
      </c>
      <c r="L38" s="116">
        <f>'Basis Hull'!L39</f>
        <v>0</v>
      </c>
      <c r="M38" s="117">
        <f>'Basis Hull'!M39</f>
        <v>0</v>
      </c>
      <c r="N38" s="116">
        <f>'Basis Hull'!N39</f>
        <v>0</v>
      </c>
      <c r="O38" s="117">
        <f>'Basis Hull'!O39</f>
        <v>0</v>
      </c>
      <c r="P38" s="116">
        <f>'Basis Hull'!P39</f>
        <v>0</v>
      </c>
      <c r="Q38" s="117">
        <f>'Basis Hull'!Q39</f>
        <v>0</v>
      </c>
      <c r="R38" s="116">
        <f>'Basis Hull'!R39</f>
        <v>0</v>
      </c>
      <c r="S38" s="117">
        <f>'Basis Hull'!S39</f>
        <v>0</v>
      </c>
      <c r="T38" s="116">
        <f>'Basis Hull'!T39</f>
        <v>0</v>
      </c>
      <c r="U38" s="118">
        <f>'Basis Hull'!U39</f>
        <v>0</v>
      </c>
      <c r="V38" s="116">
        <f>'Basis Hull'!V39</f>
        <v>0</v>
      </c>
      <c r="W38" s="117">
        <f>'Basis Hull'!W39</f>
        <v>0</v>
      </c>
      <c r="X38" s="116">
        <f>'Basis Hull'!X39</f>
        <v>0</v>
      </c>
      <c r="Y38" s="117">
        <f>'Basis Hull'!Y39</f>
        <v>0</v>
      </c>
      <c r="Z38" s="116">
        <f>'Basis Hull'!Z39</f>
        <v>0</v>
      </c>
      <c r="AA38" s="117">
        <f>'Basis Hull'!AA39</f>
        <v>0</v>
      </c>
      <c r="AB38" s="116">
        <f>'Basis Hull'!AB39</f>
        <v>0</v>
      </c>
      <c r="AC38" s="117">
        <f>'Basis Hull'!AC39</f>
        <v>0</v>
      </c>
      <c r="AD38" s="116">
        <f>'Basis Hull'!AD39</f>
        <v>0</v>
      </c>
      <c r="AE38" s="117">
        <f>'Basis Hull'!AE39</f>
        <v>0</v>
      </c>
      <c r="AF38" s="116">
        <f>'Basis Hull'!AF39</f>
        <v>0</v>
      </c>
      <c r="AG38" s="117">
        <f>'Basis Hull'!AG39</f>
        <v>0</v>
      </c>
      <c r="AH38" s="116">
        <f>'Basis Hull'!AH39</f>
        <v>0</v>
      </c>
      <c r="AI38" s="117">
        <f>'Basis Hull'!AI39</f>
        <v>0</v>
      </c>
      <c r="AJ38" s="116">
        <f>'Basis Hull'!AJ39</f>
        <v>0</v>
      </c>
      <c r="AK38" s="117">
        <f>'Basis Hull'!AK39</f>
        <v>0</v>
      </c>
      <c r="AL38" s="116">
        <f>'Basis Hull'!AL39</f>
        <v>0</v>
      </c>
      <c r="AM38" s="117">
        <f>'Basis Hull'!AM39</f>
        <v>0</v>
      </c>
      <c r="AN38" s="116">
        <f>'Basis Hull'!AN39</f>
        <v>0</v>
      </c>
      <c r="AO38" s="119">
        <f>'Basis Hull'!AO39</f>
        <v>0</v>
      </c>
      <c r="AP38" s="116">
        <f>'Basis Hull'!AP39</f>
        <v>0</v>
      </c>
      <c r="AQ38" s="119">
        <f>'Basis Hull'!AQ39</f>
        <v>0</v>
      </c>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row>
    <row r="39" spans="1:145" x14ac:dyDescent="0.2">
      <c r="B39" s="65">
        <f t="shared" ref="B39:AQ39" si="0">COUNTA(B12:B38)</f>
        <v>27</v>
      </c>
      <c r="C39" s="65">
        <f t="shared" si="0"/>
        <v>27</v>
      </c>
      <c r="D39" s="65">
        <f t="shared" si="0"/>
        <v>27</v>
      </c>
      <c r="E39" s="65">
        <f t="shared" si="0"/>
        <v>27</v>
      </c>
      <c r="F39" s="65">
        <f t="shared" si="0"/>
        <v>27</v>
      </c>
      <c r="G39" s="65">
        <f t="shared" si="0"/>
        <v>27</v>
      </c>
      <c r="H39" s="65">
        <f t="shared" si="0"/>
        <v>27</v>
      </c>
      <c r="I39" s="65">
        <f t="shared" si="0"/>
        <v>27</v>
      </c>
      <c r="J39" s="65">
        <f t="shared" si="0"/>
        <v>27</v>
      </c>
      <c r="K39" s="65">
        <f t="shared" si="0"/>
        <v>27</v>
      </c>
      <c r="L39" s="65">
        <f t="shared" si="0"/>
        <v>27</v>
      </c>
      <c r="M39" s="65">
        <f t="shared" si="0"/>
        <v>27</v>
      </c>
      <c r="N39" s="65">
        <f t="shared" si="0"/>
        <v>27</v>
      </c>
      <c r="O39" s="65">
        <f t="shared" si="0"/>
        <v>27</v>
      </c>
      <c r="P39" s="65">
        <f t="shared" si="0"/>
        <v>27</v>
      </c>
      <c r="Q39" s="65">
        <f t="shared" si="0"/>
        <v>27</v>
      </c>
      <c r="R39" s="65">
        <f t="shared" si="0"/>
        <v>27</v>
      </c>
      <c r="S39" s="65">
        <f t="shared" si="0"/>
        <v>27</v>
      </c>
      <c r="T39" s="65">
        <f t="shared" si="0"/>
        <v>27</v>
      </c>
      <c r="U39" s="65">
        <f t="shared" si="0"/>
        <v>27</v>
      </c>
      <c r="V39" s="65">
        <f t="shared" si="0"/>
        <v>27</v>
      </c>
      <c r="W39" s="65">
        <f t="shared" si="0"/>
        <v>27</v>
      </c>
      <c r="X39" s="65">
        <f t="shared" si="0"/>
        <v>27</v>
      </c>
      <c r="Y39" s="65">
        <f t="shared" si="0"/>
        <v>27</v>
      </c>
      <c r="Z39" s="65">
        <f t="shared" si="0"/>
        <v>27</v>
      </c>
      <c r="AA39" s="65">
        <f t="shared" si="0"/>
        <v>27</v>
      </c>
      <c r="AB39" s="65">
        <f t="shared" si="0"/>
        <v>27</v>
      </c>
      <c r="AC39" s="65">
        <f t="shared" si="0"/>
        <v>27</v>
      </c>
      <c r="AD39" s="65">
        <f t="shared" si="0"/>
        <v>27</v>
      </c>
      <c r="AE39" s="65">
        <f t="shared" si="0"/>
        <v>27</v>
      </c>
      <c r="AF39" s="65">
        <f t="shared" si="0"/>
        <v>27</v>
      </c>
      <c r="AG39" s="65">
        <f t="shared" si="0"/>
        <v>27</v>
      </c>
      <c r="AH39" s="65">
        <f t="shared" si="0"/>
        <v>27</v>
      </c>
      <c r="AI39" s="65">
        <f t="shared" si="0"/>
        <v>27</v>
      </c>
      <c r="AJ39" s="65">
        <f t="shared" si="0"/>
        <v>27</v>
      </c>
      <c r="AK39" s="65">
        <f t="shared" si="0"/>
        <v>27</v>
      </c>
      <c r="AL39" s="65">
        <f t="shared" si="0"/>
        <v>27</v>
      </c>
      <c r="AM39" s="65">
        <f t="shared" si="0"/>
        <v>27</v>
      </c>
      <c r="AN39" s="65">
        <f t="shared" si="0"/>
        <v>27</v>
      </c>
      <c r="AO39" s="65">
        <f t="shared" si="0"/>
        <v>27</v>
      </c>
      <c r="AP39" s="65">
        <f t="shared" si="0"/>
        <v>27</v>
      </c>
      <c r="AQ39" s="65">
        <f t="shared" si="0"/>
        <v>27</v>
      </c>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row>
    <row r="40" spans="1:145" x14ac:dyDescent="0.2">
      <c r="O40" s="52"/>
    </row>
    <row r="42" spans="1:145" ht="15.75" x14ac:dyDescent="0.25">
      <c r="B42" s="5" t="s">
        <v>2</v>
      </c>
      <c r="R42" s="21"/>
    </row>
    <row r="43" spans="1:145" ht="15.75" x14ac:dyDescent="0.25">
      <c r="B43" s="5" t="s">
        <v>76</v>
      </c>
      <c r="E43" s="63" t="str">
        <f>E3</f>
        <v>Olympias (outside of planking assumes ram structure included in hydros)</v>
      </c>
      <c r="G43" s="4" t="s">
        <v>106</v>
      </c>
      <c r="I43" s="63">
        <f>Input!B9</f>
        <v>0.97750000000000004</v>
      </c>
      <c r="J43" s="4" t="s">
        <v>61</v>
      </c>
    </row>
    <row r="44" spans="1:145" x14ac:dyDescent="0.2">
      <c r="B44" s="4" t="s">
        <v>86</v>
      </c>
      <c r="E44" s="63">
        <f>Input!B6</f>
        <v>17.2</v>
      </c>
      <c r="F44" s="4" t="s">
        <v>61</v>
      </c>
      <c r="G44" s="4" t="s">
        <v>0</v>
      </c>
      <c r="I44" s="4">
        <f>Input!B10</f>
        <v>0.75900000000000001</v>
      </c>
      <c r="L44" s="63"/>
      <c r="N44" s="4" t="s">
        <v>90</v>
      </c>
      <c r="Q44" s="66">
        <v>0</v>
      </c>
      <c r="R44" s="4" t="s">
        <v>61</v>
      </c>
      <c r="S44" s="4" t="s">
        <v>104</v>
      </c>
      <c r="AA44" s="21"/>
    </row>
    <row r="45" spans="1:145" x14ac:dyDescent="0.2">
      <c r="B45" s="4" t="s">
        <v>97</v>
      </c>
      <c r="E45" s="63">
        <f>Input!B7</f>
        <v>2.8</v>
      </c>
      <c r="F45" s="4" t="s">
        <v>61</v>
      </c>
      <c r="I45" s="63"/>
      <c r="L45" s="65"/>
      <c r="N45" s="4" t="s">
        <v>95</v>
      </c>
      <c r="Q45" s="65">
        <f>'Basis Hull'!Q6</f>
        <v>1</v>
      </c>
      <c r="S45" s="4" t="s">
        <v>83</v>
      </c>
      <c r="T45" s="65">
        <f>Input!B11</f>
        <v>0</v>
      </c>
    </row>
    <row r="46" spans="1:145" x14ac:dyDescent="0.2">
      <c r="B46" s="4" t="s">
        <v>51</v>
      </c>
      <c r="E46" s="63">
        <f>Input!B8</f>
        <v>1.75</v>
      </c>
      <c r="F46" s="4" t="s">
        <v>61</v>
      </c>
      <c r="G46" s="4" t="s">
        <v>70</v>
      </c>
      <c r="I46" s="64">
        <v>1.0249999999999999</v>
      </c>
      <c r="J46" s="4" t="s">
        <v>94</v>
      </c>
      <c r="L46" s="63"/>
      <c r="S46" s="4" t="s">
        <v>84</v>
      </c>
      <c r="T46" s="65">
        <f>Input!B12</f>
        <v>0</v>
      </c>
      <c r="AB46" s="21"/>
    </row>
    <row r="47" spans="1:145" ht="13.5" thickBot="1" x14ac:dyDescent="0.25">
      <c r="B47" s="4" t="s">
        <v>43</v>
      </c>
      <c r="E47" s="4">
        <f>21-COUNTBLANK(B50:AQ50)</f>
        <v>21</v>
      </c>
      <c r="L47" s="63"/>
      <c r="M47" s="21"/>
    </row>
    <row r="48" spans="1:145" s="38" customFormat="1" ht="13.5" thickBot="1" x14ac:dyDescent="0.25">
      <c r="A48" s="35"/>
      <c r="B48" s="36" t="s">
        <v>38</v>
      </c>
      <c r="C48" s="54">
        <f>($T$45*($E$4/2-C10)/($E$4/2)*(1-($E$4/2-C10)/($E$4/2)))/($O$2*(1-2*$O$3))</f>
        <v>0</v>
      </c>
      <c r="D48" s="37"/>
      <c r="E48" s="53"/>
      <c r="F48" s="37"/>
      <c r="G48" s="53"/>
      <c r="H48" s="37"/>
      <c r="I48" s="53"/>
      <c r="J48" s="37"/>
      <c r="K48" s="53"/>
      <c r="L48" s="37"/>
      <c r="M48" s="53"/>
      <c r="N48" s="37"/>
      <c r="O48" s="53"/>
      <c r="P48" s="37"/>
      <c r="Q48" s="53"/>
      <c r="R48" s="37"/>
      <c r="S48" s="53"/>
      <c r="T48" s="37"/>
      <c r="U48" s="53"/>
      <c r="V48" s="37"/>
      <c r="W48" s="53"/>
      <c r="X48" s="37"/>
      <c r="Y48" s="53"/>
      <c r="Z48" s="37"/>
      <c r="AA48" s="53"/>
      <c r="AB48" s="37"/>
      <c r="AC48" s="53"/>
      <c r="AD48" s="37"/>
      <c r="AE48" s="53"/>
      <c r="AF48" s="37"/>
      <c r="AG48" s="53"/>
      <c r="AH48" s="37"/>
      <c r="AI48" s="53"/>
      <c r="AJ48" s="37"/>
      <c r="AK48" s="53"/>
      <c r="AL48" s="37"/>
      <c r="AM48" s="53"/>
      <c r="AN48" s="37"/>
      <c r="AO48" s="53"/>
      <c r="AP48" s="37"/>
      <c r="AQ48" s="53"/>
    </row>
    <row r="49" spans="1:43" s="38" customFormat="1" ht="13.5" thickBot="1" x14ac:dyDescent="0.25">
      <c r="A49" s="39" t="s">
        <v>45</v>
      </c>
      <c r="B49" s="40" t="s">
        <v>46</v>
      </c>
      <c r="C49" s="47">
        <f>C9</f>
        <v>21</v>
      </c>
      <c r="D49" s="40" t="s">
        <v>46</v>
      </c>
      <c r="E49" s="47">
        <f>E9</f>
        <v>20</v>
      </c>
      <c r="F49" s="40" t="s">
        <v>46</v>
      </c>
      <c r="G49" s="47">
        <f>G9</f>
        <v>19</v>
      </c>
      <c r="H49" s="40" t="s">
        <v>46</v>
      </c>
      <c r="I49" s="47">
        <f>I9</f>
        <v>18</v>
      </c>
      <c r="J49" s="40" t="s">
        <v>46</v>
      </c>
      <c r="K49" s="47">
        <f>K9</f>
        <v>17</v>
      </c>
      <c r="L49" s="40" t="s">
        <v>46</v>
      </c>
      <c r="M49" s="47">
        <f>M9</f>
        <v>16</v>
      </c>
      <c r="N49" s="40" t="s">
        <v>46</v>
      </c>
      <c r="O49" s="47">
        <f>O9</f>
        <v>15</v>
      </c>
      <c r="P49" s="40" t="s">
        <v>46</v>
      </c>
      <c r="Q49" s="47">
        <f>Q9</f>
        <v>14</v>
      </c>
      <c r="R49" s="40" t="s">
        <v>46</v>
      </c>
      <c r="S49" s="47">
        <f>S9</f>
        <v>13</v>
      </c>
      <c r="T49" s="40" t="s">
        <v>46</v>
      </c>
      <c r="U49" s="47">
        <f>U9</f>
        <v>12</v>
      </c>
      <c r="V49" s="40" t="s">
        <v>46</v>
      </c>
      <c r="W49" s="47">
        <f>W9</f>
        <v>11</v>
      </c>
      <c r="X49" s="40" t="s">
        <v>46</v>
      </c>
      <c r="Y49" s="47">
        <f>Y9</f>
        <v>10</v>
      </c>
      <c r="Z49" s="40" t="s">
        <v>46</v>
      </c>
      <c r="AA49" s="47">
        <f>AA9</f>
        <v>9</v>
      </c>
      <c r="AB49" s="40" t="s">
        <v>46</v>
      </c>
      <c r="AC49" s="47">
        <f>AC9</f>
        <v>8</v>
      </c>
      <c r="AD49" s="40" t="s">
        <v>46</v>
      </c>
      <c r="AE49" s="47">
        <f>AE9</f>
        <v>7</v>
      </c>
      <c r="AF49" s="40" t="s">
        <v>46</v>
      </c>
      <c r="AG49" s="47">
        <f>AG9</f>
        <v>6</v>
      </c>
      <c r="AH49" s="40" t="s">
        <v>46</v>
      </c>
      <c r="AI49" s="47">
        <f>AI9</f>
        <v>5</v>
      </c>
      <c r="AJ49" s="40" t="s">
        <v>46</v>
      </c>
      <c r="AK49" s="47">
        <f>AK9</f>
        <v>4</v>
      </c>
      <c r="AL49" s="40" t="s">
        <v>46</v>
      </c>
      <c r="AM49" s="47">
        <f>AM9</f>
        <v>3</v>
      </c>
      <c r="AN49" s="40" t="s">
        <v>46</v>
      </c>
      <c r="AO49" s="47">
        <f>AO9</f>
        <v>2</v>
      </c>
      <c r="AP49" s="40" t="s">
        <v>46</v>
      </c>
      <c r="AQ49" s="47">
        <f>AQ9</f>
        <v>1</v>
      </c>
    </row>
    <row r="50" spans="1:43" s="38" customFormat="1" ht="13.5" thickBot="1" x14ac:dyDescent="0.25">
      <c r="A50" s="39" t="s">
        <v>47</v>
      </c>
      <c r="B50" s="41" t="s">
        <v>48</v>
      </c>
      <c r="C50" s="42">
        <v>0</v>
      </c>
      <c r="D50" s="41" t="s">
        <v>48</v>
      </c>
      <c r="E50" s="55">
        <f>($E$44/2)*(1-(($E$4/2-E10)/($E$4/2)+($T$45*($E$4/2-E10)/($E$4/2)*(1-($E$4/2-E10)/($E$4/2)))/($O$2*(1-2*$O$3))))+Input!$B$13*'Basis Hull'!E41</f>
        <v>0.85999999999999976</v>
      </c>
      <c r="F50" s="41" t="s">
        <v>48</v>
      </c>
      <c r="G50" s="55">
        <f>($E$44/2)*(1-(($E$4/2-G10)/($E$4/2)+($T$45*($E$4/2-G10)/($E$4/2)*(1-($E$4/2-G10)/($E$4/2)))/($O$2*(1-2*$O$3))))+Input!$B$13*'Basis Hull'!G41</f>
        <v>1.7199999999999995</v>
      </c>
      <c r="H50" s="41" t="s">
        <v>48</v>
      </c>
      <c r="I50" s="55">
        <f>($E$44/2)*(1-(($E$4/2-I10)/($E$4/2)+($T$45*($E$4/2-I10)/($E$4/2)*(1-($E$4/2-I10)/($E$4/2)))/($O$2*(1-2*$O$3))))+Input!$B$13*'Basis Hull'!I41</f>
        <v>2.58</v>
      </c>
      <c r="J50" s="41" t="s">
        <v>48</v>
      </c>
      <c r="K50" s="55">
        <f>($E$44/2)*(1-(($E$4/2-K10)/($E$4/2)+($T$45*($E$4/2-K10)/($E$4/2)*(1-($E$4/2-K10)/($E$4/2)))/($O$2*(1-2*$O$3))))+Input!$B$13*'Basis Hull'!K41</f>
        <v>3.44</v>
      </c>
      <c r="L50" s="41" t="s">
        <v>48</v>
      </c>
      <c r="M50" s="55">
        <f>($E$44/2)*(1-(($E$4/2-M10)/($E$4/2)+($T$45*($E$4/2-M10)/($E$4/2)*(1-($E$4/2-M10)/($E$4/2)))/($O$2*(1-2*$O$3))))+Input!$B$13*'Basis Hull'!M41</f>
        <v>4.3</v>
      </c>
      <c r="N50" s="41" t="s">
        <v>48</v>
      </c>
      <c r="O50" s="55">
        <f>($E$44/2)*(1-(($E$4/2-O10)/($E$4/2)+($T$45*($E$4/2-O10)/($E$4/2)*(1-($E$4/2-O10)/($E$4/2)))/($O$2*(1-2*$O$3))))+Input!$B$13*'Basis Hull'!O41</f>
        <v>5.1599999999999993</v>
      </c>
      <c r="P50" s="41" t="s">
        <v>48</v>
      </c>
      <c r="Q50" s="55">
        <f>($E$44/2)*(1-(($E$4/2-Q10)/($E$4/2)+($T$45*($E$4/2-Q10)/($E$4/2)*(1-($E$4/2-Q10)/($E$4/2)))/($O$2*(1-2*$O$3))))+Input!$B$13*'Basis Hull'!Q41</f>
        <v>6.02</v>
      </c>
      <c r="R50" s="41" t="s">
        <v>48</v>
      </c>
      <c r="S50" s="55">
        <f>($E$44/2)*(1-(($E$4/2-S10)/($E$4/2)+($T$45*($E$4/2-S10)/($E$4/2)*(1-($E$4/2-S10)/($E$4/2)))/($O$2*(1-2*$O$3))))+Input!$B$13*'Basis Hull'!S41</f>
        <v>6.879999999999999</v>
      </c>
      <c r="T50" s="41" t="s">
        <v>48</v>
      </c>
      <c r="U50" s="55">
        <f>($E$44/2)*(1-(($E$4/2-U10)/($E$4/2)+($T$45*($E$4/2-U10)/($E$4/2)*(1-($E$4/2-U10)/($E$4/2)))/($O$2*(1-2*$O$3))))+Input!$B$13*'Basis Hull'!U41</f>
        <v>7.7399999999999993</v>
      </c>
      <c r="V50" s="41" t="s">
        <v>48</v>
      </c>
      <c r="W50" s="55">
        <f>($E$44/2)*(1+((W10-$E$4/2)/($E$4/2)+($T$46*(W10-$E$4/2)/($E$4/2)*(1-(W10-$E$4/2)/($E$4/2)))/($O$4*(1-2*$O$5))))+Input!$B$13*'Basis Hull'!W41</f>
        <v>8.6</v>
      </c>
      <c r="X50" s="41" t="s">
        <v>48</v>
      </c>
      <c r="Y50" s="55">
        <f>($E$44/2)*(1+((Y10-$E$4/2)/($E$4/2)+($T$46*(Y10-$E$4/2)/($E$4/2)*(1-(Y10-$E$4/2)/($E$4/2)))/($O$4*(1-2*$O$5))))+Input!$B$13*'Basis Hull'!Y41</f>
        <v>9.4600000000000009</v>
      </c>
      <c r="Z50" s="41" t="s">
        <v>48</v>
      </c>
      <c r="AA50" s="55">
        <f>($E$44/2)*(1+((AA10-$E$4/2)/($E$4/2)+($T$46*(AA10-$E$4/2)/($E$4/2)*(1-(AA10-$E$4/2)/($E$4/2)))/($O$4*(1-2*$O$5))))+Input!$B$13*'Basis Hull'!AA41</f>
        <v>10.319999999999999</v>
      </c>
      <c r="AB50" s="41" t="s">
        <v>48</v>
      </c>
      <c r="AC50" s="55">
        <f>($E$44/2)*(1+((AC10-$E$4/2)/($E$4/2)+($T$46*(AC10-$E$4/2)/($E$4/2)*(1-(AC10-$E$4/2)/($E$4/2)))/($O$4*(1-2*$O$5))))+Input!$B$13*'Basis Hull'!AC41</f>
        <v>11.179999999999998</v>
      </c>
      <c r="AD50" s="41" t="s">
        <v>48</v>
      </c>
      <c r="AE50" s="55">
        <f>($E$44/2)*(1+((AE10-$E$4/2)/($E$4/2)+($T$46*(AE10-$E$4/2)/($E$4/2)*(1-(AE10-$E$4/2)/($E$4/2)))/($O$4*(1-2*$O$5))))+Input!$B$13*'Basis Hull'!AE41</f>
        <v>12.04</v>
      </c>
      <c r="AF50" s="41" t="s">
        <v>48</v>
      </c>
      <c r="AG50" s="55">
        <f>($E$44/2)*(1+((AG10-$E$4/2)/($E$4/2)+($T$46*(AG10-$E$4/2)/($E$4/2)*(1-(AG10-$E$4/2)/($E$4/2)))/($O$4*(1-2*$O$5))))+Input!$B$13*'Basis Hull'!AG41</f>
        <v>12.899999999999999</v>
      </c>
      <c r="AH50" s="41" t="s">
        <v>48</v>
      </c>
      <c r="AI50" s="55">
        <f>($E$44/2)*(1+((AI10-$E$4/2)/($E$4/2)+($T$46*(AI10-$E$4/2)/($E$4/2)*(1-(AI10-$E$4/2)/($E$4/2)))/($O$4*(1-2*$O$5))))+Input!$B$13*'Basis Hull'!AI41</f>
        <v>13.759999999999998</v>
      </c>
      <c r="AJ50" s="41" t="s">
        <v>48</v>
      </c>
      <c r="AK50" s="55">
        <f>($E$44/2)*(1+((AK10-$E$4/2)/($E$4/2)+($T$46*(AK10-$E$4/2)/($E$4/2)*(1-(AK10-$E$4/2)/($E$4/2)))/($O$4*(1-2*$O$5))))+Input!$B$13*'Basis Hull'!AK41</f>
        <v>14.619999999999997</v>
      </c>
      <c r="AL50" s="41" t="s">
        <v>48</v>
      </c>
      <c r="AM50" s="55">
        <f>($E$44/2)*(1+((AM10-$E$4/2)/($E$4/2)+($T$46*(AM10-$E$4/2)/($E$4/2)*(1-(AM10-$E$4/2)/($E$4/2)))/($O$4*(1-2*$O$5))))+Input!$B$13*'Basis Hull'!AM41</f>
        <v>15.479999999999999</v>
      </c>
      <c r="AN50" s="41" t="s">
        <v>48</v>
      </c>
      <c r="AO50" s="55">
        <f>($E$44/2)*(1+((AO10-$E$4/2)/($E$4/2)+($T$46*(AO10-$E$4/2)/($E$4/2)*(1-(AO10-$E$4/2)/($E$4/2)))/($O$4*(1-2*$O$5))))+Input!$B$13*'Basis Hull'!AO41</f>
        <v>16.34</v>
      </c>
      <c r="AP50" s="41" t="s">
        <v>48</v>
      </c>
      <c r="AQ50" s="42">
        <f>AQ10*$E$44/$E$4+($E$44/2)*($T$46*(AQ10-$E$4/2)/($E$4/2)*(1-(AQ10-$E$4/2)/($E$4/2)))/($O$4*(1-2*$O$5))+Input!$B$13*AQ10/$E$4*(1-AQ10/$E$4)</f>
        <v>17.2</v>
      </c>
    </row>
    <row r="51" spans="1:43" s="38" customFormat="1" ht="13.5" thickBot="1" x14ac:dyDescent="0.25">
      <c r="A51" s="43"/>
      <c r="B51" s="44" t="s">
        <v>49</v>
      </c>
      <c r="C51" s="45" t="s">
        <v>50</v>
      </c>
      <c r="D51" s="44" t="s">
        <v>49</v>
      </c>
      <c r="E51" s="45" t="s">
        <v>50</v>
      </c>
      <c r="F51" s="44" t="s">
        <v>49</v>
      </c>
      <c r="G51" s="45" t="s">
        <v>50</v>
      </c>
      <c r="H51" s="44" t="s">
        <v>49</v>
      </c>
      <c r="I51" s="45" t="s">
        <v>50</v>
      </c>
      <c r="J51" s="44" t="s">
        <v>49</v>
      </c>
      <c r="K51" s="45" t="s">
        <v>50</v>
      </c>
      <c r="L51" s="44" t="s">
        <v>49</v>
      </c>
      <c r="M51" s="45" t="s">
        <v>50</v>
      </c>
      <c r="N51" s="44" t="s">
        <v>49</v>
      </c>
      <c r="O51" s="45" t="s">
        <v>50</v>
      </c>
      <c r="P51" s="44" t="s">
        <v>49</v>
      </c>
      <c r="Q51" s="45" t="s">
        <v>50</v>
      </c>
      <c r="R51" s="44" t="s">
        <v>49</v>
      </c>
      <c r="S51" s="45" t="s">
        <v>50</v>
      </c>
      <c r="T51" s="44" t="s">
        <v>49</v>
      </c>
      <c r="U51" s="45" t="s">
        <v>50</v>
      </c>
      <c r="V51" s="44" t="s">
        <v>49</v>
      </c>
      <c r="W51" s="45" t="s">
        <v>50</v>
      </c>
      <c r="X51" s="44" t="s">
        <v>49</v>
      </c>
      <c r="Y51" s="45" t="s">
        <v>50</v>
      </c>
      <c r="Z51" s="44" t="s">
        <v>49</v>
      </c>
      <c r="AA51" s="45" t="s">
        <v>50</v>
      </c>
      <c r="AB51" s="44" t="s">
        <v>49</v>
      </c>
      <c r="AC51" s="45" t="s">
        <v>50</v>
      </c>
      <c r="AD51" s="44" t="s">
        <v>49</v>
      </c>
      <c r="AE51" s="45" t="s">
        <v>50</v>
      </c>
      <c r="AF51" s="44" t="s">
        <v>49</v>
      </c>
      <c r="AG51" s="45" t="s">
        <v>50</v>
      </c>
      <c r="AH51" s="44" t="s">
        <v>49</v>
      </c>
      <c r="AI51" s="45" t="s">
        <v>50</v>
      </c>
      <c r="AJ51" s="44" t="s">
        <v>49</v>
      </c>
      <c r="AK51" s="45" t="s">
        <v>50</v>
      </c>
      <c r="AL51" s="44" t="s">
        <v>49</v>
      </c>
      <c r="AM51" s="45" t="s">
        <v>50</v>
      </c>
      <c r="AN51" s="44" t="s">
        <v>49</v>
      </c>
      <c r="AO51" s="46" t="s">
        <v>50</v>
      </c>
      <c r="AP51" s="44" t="s">
        <v>49</v>
      </c>
      <c r="AQ51" s="46" t="s">
        <v>50</v>
      </c>
    </row>
    <row r="52" spans="1:43" s="38" customFormat="1" x14ac:dyDescent="0.2">
      <c r="A52" s="39">
        <v>1</v>
      </c>
      <c r="B52" s="47">
        <f>B12</f>
        <v>0</v>
      </c>
      <c r="C52" s="48">
        <f t="shared" ref="C52:C78" si="1">C12*$E$45/$E$5</f>
        <v>0</v>
      </c>
      <c r="D52" s="47">
        <f>D12</f>
        <v>0</v>
      </c>
      <c r="E52" s="48">
        <f t="shared" ref="E52:E78" si="2">E12*$E$45/$E$5</f>
        <v>0</v>
      </c>
      <c r="F52" s="47">
        <f>F12</f>
        <v>0</v>
      </c>
      <c r="G52" s="48">
        <f t="shared" ref="G52:G78" si="3">G12*$E$45/$E$5</f>
        <v>0</v>
      </c>
      <c r="H52" s="47">
        <f>H12</f>
        <v>0</v>
      </c>
      <c r="I52" s="48">
        <f t="shared" ref="I52:I78" si="4">I12*$E$45/$E$5</f>
        <v>0</v>
      </c>
      <c r="J52" s="47">
        <f>J12</f>
        <v>0</v>
      </c>
      <c r="K52" s="48">
        <f t="shared" ref="K52:K78" si="5">K12*$E$45/$E$5</f>
        <v>0</v>
      </c>
      <c r="L52" s="47">
        <f>L12</f>
        <v>0</v>
      </c>
      <c r="M52" s="48">
        <f t="shared" ref="M52:M78" si="6">M12*$E$45/$E$5</f>
        <v>6.0540540540540533E-2</v>
      </c>
      <c r="N52" s="47">
        <f>N12</f>
        <v>0</v>
      </c>
      <c r="O52" s="48">
        <f t="shared" ref="O52:O78" si="7">O12*$E$45/$E$5</f>
        <v>6.0540540540540533E-2</v>
      </c>
      <c r="P52" s="47">
        <f>P12</f>
        <v>0</v>
      </c>
      <c r="Q52" s="48">
        <f t="shared" ref="Q52:Q78" si="8">Q12*$E$45/$E$5</f>
        <v>6.0540540540540533E-2</v>
      </c>
      <c r="R52" s="47">
        <f>R12</f>
        <v>0</v>
      </c>
      <c r="S52" s="48">
        <f t="shared" ref="S52:S78" si="9">S12*$E$45/$E$5</f>
        <v>6.0540540540540533E-2</v>
      </c>
      <c r="T52" s="47">
        <f>T12</f>
        <v>0</v>
      </c>
      <c r="U52" s="48">
        <f t="shared" ref="U52:U78" si="10">U12*$E$45/$E$5</f>
        <v>6.0540540540540533E-2</v>
      </c>
      <c r="V52" s="47">
        <f>V12</f>
        <v>0</v>
      </c>
      <c r="W52" s="48">
        <f t="shared" ref="W52:W78" si="11">W12*$E$45/$E$5</f>
        <v>6.0540540540540533E-2</v>
      </c>
      <c r="X52" s="47">
        <f>X12</f>
        <v>0</v>
      </c>
      <c r="Y52" s="48">
        <f t="shared" ref="Y52:Y78" si="12">Y12*$E$45/$E$5</f>
        <v>6.0540540540540533E-2</v>
      </c>
      <c r="Z52" s="47">
        <f>Z12</f>
        <v>0</v>
      </c>
      <c r="AA52" s="48">
        <f t="shared" ref="AA52:AA78" si="13">AA12*$E$45/$E$5</f>
        <v>6.0540540540540533E-2</v>
      </c>
      <c r="AB52" s="47">
        <f>AB12</f>
        <v>0</v>
      </c>
      <c r="AC52" s="48">
        <f t="shared" ref="AC52:AC78" si="14">AC12*$E$45/$E$5</f>
        <v>6.0540540540540533E-2</v>
      </c>
      <c r="AD52" s="47">
        <f>AD12</f>
        <v>0</v>
      </c>
      <c r="AE52" s="48">
        <f t="shared" ref="AE52:AE78" si="15">AE12*$E$45/$E$5</f>
        <v>6.0540540540540533E-2</v>
      </c>
      <c r="AF52" s="47">
        <f>AF12</f>
        <v>0</v>
      </c>
      <c r="AG52" s="48">
        <f t="shared" ref="AG52:AG78" si="16">AG12*$E$45/$E$5</f>
        <v>0</v>
      </c>
      <c r="AH52" s="47">
        <f>AH12</f>
        <v>0</v>
      </c>
      <c r="AI52" s="48">
        <f t="shared" ref="AI52:AI78" si="17">AI12*$E$45/$E$5</f>
        <v>0</v>
      </c>
      <c r="AJ52" s="47">
        <f>AJ12</f>
        <v>0</v>
      </c>
      <c r="AK52" s="48">
        <f t="shared" ref="AK52:AK78" si="18">AK12*$E$45/$E$5</f>
        <v>0</v>
      </c>
      <c r="AL52" s="47">
        <f>AL12</f>
        <v>0</v>
      </c>
      <c r="AM52" s="48">
        <f t="shared" ref="AM52:AM78" si="19">AM12*$E$45/$E$5</f>
        <v>0</v>
      </c>
      <c r="AN52" s="47">
        <f>AN12</f>
        <v>0</v>
      </c>
      <c r="AO52" s="48">
        <f t="shared" ref="AO52:AO78" si="20">AO12*$E$45/$E$5</f>
        <v>0</v>
      </c>
      <c r="AP52" s="47">
        <f>AP12</f>
        <v>0</v>
      </c>
      <c r="AQ52" s="48">
        <f t="shared" ref="AQ52:AQ78" si="21">AQ12*$E$45/$E$5</f>
        <v>0</v>
      </c>
    </row>
    <row r="53" spans="1:43" s="38" customFormat="1" x14ac:dyDescent="0.2">
      <c r="A53" s="39">
        <v>2</v>
      </c>
      <c r="B53" s="47">
        <f>IF(B13&lt;$I$4,B13*$I$43/$I$4,$I$43+(B13-$I$4)*($E$46-$I$43)/($E$6-$I$4))-Input!$B$14*B13/$E$6*(1-B13/$E$6)*C$10/$E$4*(1-C$10/$E$4)</f>
        <v>0.16999999999999998</v>
      </c>
      <c r="C53" s="48">
        <f t="shared" si="1"/>
        <v>0</v>
      </c>
      <c r="D53" s="47">
        <f>IF(D13&lt;$I$4,D13*$I$43/$I$4,$I$43+(D13-$I$4)*($E$46-$I$43)/($E$6-$I$4))-Input!$B$14*D13/$E$6*(1-D13/$E$6)*E$10/$E$4*(1-E$10/$E$4)</f>
        <v>0.151393633722744</v>
      </c>
      <c r="E53" s="48">
        <f t="shared" si="2"/>
        <v>0</v>
      </c>
      <c r="F53" s="47">
        <f>IF(F13&lt;$I$4,F13*$I$43/$I$4,$I$43+(F13-$I$4)*($E$46-$I$43)/($E$6-$I$4))-Input!$B$14*F13/$E$6*(1-F13/$E$6)*G$10/$E$4*(1-G$10/$E$4)</f>
        <v>0.13474583231677811</v>
      </c>
      <c r="G53" s="48">
        <f t="shared" si="3"/>
        <v>0</v>
      </c>
      <c r="H53" s="47">
        <f>IF(H13&lt;$I$4,H13*$I$43/$I$4,$I$43+(H13-$I$4)*($E$46-$I$43)/($E$6-$I$4))-Input!$B$14*H13/$E$6*(1-H13/$E$6)*I$10/$E$4*(1-I$10/$E$4)</f>
        <v>0.12005659578210232</v>
      </c>
      <c r="I53" s="48">
        <f t="shared" si="4"/>
        <v>0</v>
      </c>
      <c r="J53" s="47">
        <f>IF(J13&lt;$I$4,J13*$I$43/$I$4,$I$43+(J13-$I$4)*($E$46-$I$43)/($E$6-$I$4))-Input!$B$14*J13/$E$6*(1-J13/$E$6)*K$10/$E$4*(1-K$10/$E$4)</f>
        <v>0.10732592411871666</v>
      </c>
      <c r="K53" s="48">
        <f t="shared" si="5"/>
        <v>5.6756756756756753E-2</v>
      </c>
      <c r="L53" s="47">
        <f>IF(L13&lt;$I$4,L13*$I$43/$I$4,$I$43+(L13-$I$4)*($E$46-$I$43)/($E$6-$I$4))-Input!$B$14*L13/$E$6*(1-L13/$E$6)*M$10/$E$4*(1-M$10/$E$4)</f>
        <v>9.6553817326621091E-2</v>
      </c>
      <c r="M53" s="48">
        <f t="shared" si="6"/>
        <v>6.8108108108108106E-2</v>
      </c>
      <c r="N53" s="47">
        <f>IF(N13&lt;$I$4,N13*$I$43/$I$4,$I$43+(N13-$I$4)*($E$46-$I$43)/($E$6-$I$4))-Input!$B$14*N13/$E$6*(1-N13/$E$6)*O$10/$E$4*(1-O$10/$E$4)</f>
        <v>8.7740275405815624E-2</v>
      </c>
      <c r="O53" s="48">
        <f t="shared" si="7"/>
        <v>6.8108108108108106E-2</v>
      </c>
      <c r="P53" s="47">
        <f>IF(P13&lt;$I$4,P13*$I$43/$I$4,$I$43+(P13-$I$4)*($E$46-$I$43)/($E$6-$I$4))-Input!$B$14*P13/$E$6*(1-P13/$E$6)*Q$10/$E$4*(1-Q$10/$E$4)</f>
        <v>8.0885298356300275E-2</v>
      </c>
      <c r="Q53" s="48">
        <f t="shared" si="8"/>
        <v>6.8108108108108106E-2</v>
      </c>
      <c r="R53" s="47">
        <f>IF(R13&lt;$I$4,R13*$I$43/$I$4,$I$43+(R13-$I$4)*($E$46-$I$43)/($E$6-$I$4))-Input!$B$14*R13/$E$6*(1-R13/$E$6)*S$10/$E$4*(1-S$10/$E$4)</f>
        <v>7.5988886178075005E-2</v>
      </c>
      <c r="S53" s="48">
        <f t="shared" si="9"/>
        <v>6.8108108108108106E-2</v>
      </c>
      <c r="T53" s="47">
        <f>IF(T13&lt;$I$4,T13*$I$43/$I$4,$I$43+(T13-$I$4)*($E$46-$I$43)/($E$6-$I$4))-Input!$B$14*T13/$E$6*(1-T13/$E$6)*U$10/$E$4*(1-U$10/$E$4)</f>
        <v>7.3051038871139853E-2</v>
      </c>
      <c r="U53" s="48">
        <f t="shared" si="10"/>
        <v>6.8108108108108106E-2</v>
      </c>
      <c r="V53" s="47">
        <f>IF(V13&lt;$I$4,V13*$I$43/$I$4,$I$43+(V13-$I$4)*($E$46-$I$43)/($E$6-$I$4))-Input!$B$14*V13/$E$6*(1-V13/$E$6)*W$10/$E$4*(1-W$10/$E$4)</f>
        <v>7.2071756435494794E-2</v>
      </c>
      <c r="W53" s="48">
        <f t="shared" si="11"/>
        <v>6.8108108108108106E-2</v>
      </c>
      <c r="X53" s="47">
        <f>IF(X13&lt;$I$4,X13*$I$43/$I$4,$I$43+(X13-$I$4)*($E$46-$I$43)/($E$6-$I$4))-Input!$B$14*X13/$E$6*(1-X13/$E$6)*Y$10/$E$4*(1-Y$10/$E$4)</f>
        <v>7.3051038871139853E-2</v>
      </c>
      <c r="Y53" s="48">
        <f t="shared" si="12"/>
        <v>6.8108108108108106E-2</v>
      </c>
      <c r="Z53" s="47">
        <f>IF(Z13&lt;$I$4,Z13*$I$43/$I$4,$I$43+(Z13-$I$4)*($E$46-$I$43)/($E$6-$I$4))-Input!$B$14*Z13/$E$6*(1-Z13/$E$6)*AA$10/$E$4*(1-AA$10/$E$4)</f>
        <v>7.5988886178074991E-2</v>
      </c>
      <c r="AA53" s="48">
        <f t="shared" si="13"/>
        <v>6.8108108108108106E-2</v>
      </c>
      <c r="AB53" s="47">
        <f>IF(AB13&lt;$I$4,AB13*$I$43/$I$4,$I$43+(AB13-$I$4)*($E$46-$I$43)/($E$6-$I$4))-Input!$B$14*AB13/$E$6*(1-AB13/$E$6)*AC$10/$E$4*(1-AC$10/$E$4)</f>
        <v>8.0885298356300275E-2</v>
      </c>
      <c r="AC53" s="48">
        <f t="shared" si="14"/>
        <v>6.8108108108108106E-2</v>
      </c>
      <c r="AD53" s="47">
        <f>IF(AD13&lt;$I$4,AD13*$I$43/$I$4,$I$43+(AD13-$I$4)*($E$46-$I$43)/($E$6-$I$4))-Input!$B$14*AD13/$E$6*(1-AD13/$E$6)*AE$10/$E$4*(1-AE$10/$E$4)</f>
        <v>8.7740275405815624E-2</v>
      </c>
      <c r="AE53" s="48">
        <f t="shared" si="15"/>
        <v>6.8108108108108106E-2</v>
      </c>
      <c r="AF53" s="47">
        <f>IF(AF13&lt;$I$4,AF13*$I$43/$I$4,$I$43+(AF13-$I$4)*($E$46-$I$43)/($E$6-$I$4))-Input!$B$14*AF13/$E$6*(1-AF13/$E$6)*AG$10/$E$4*(1-AG$10/$E$4)</f>
        <v>9.6553817326621105E-2</v>
      </c>
      <c r="AG53" s="48">
        <f t="shared" si="16"/>
        <v>4.54054054054054E-2</v>
      </c>
      <c r="AH53" s="47">
        <f>IF(AH13&lt;$I$4,AH13*$I$43/$I$4,$I$43+(AH13-$I$4)*($E$46-$I$43)/($E$6-$I$4))-Input!$B$14*AH13/$E$6*(1-AH13/$E$6)*AI$10/$E$4*(1-AI$10/$E$4)</f>
        <v>0.10732592411871665</v>
      </c>
      <c r="AI53" s="48">
        <f t="shared" si="17"/>
        <v>0</v>
      </c>
      <c r="AJ53" s="47">
        <f>IF(AJ13&lt;$I$4,AJ13*$I$43/$I$4,$I$43+(AJ13-$I$4)*($E$46-$I$43)/($E$6-$I$4))-Input!$B$14*AJ13/$E$6*(1-AJ13/$E$6)*AK$10/$E$4*(1-AK$10/$E$4)</f>
        <v>0.12005659578210234</v>
      </c>
      <c r="AK53" s="48">
        <f t="shared" si="18"/>
        <v>0</v>
      </c>
      <c r="AL53" s="47">
        <f>IF(AL13&lt;$I$4,AL13*$I$43/$I$4,$I$43+(AL13-$I$4)*($E$46-$I$43)/($E$6-$I$4))-Input!$B$14*AL13/$E$6*(1-AL13/$E$6)*AM$10/$E$4*(1-AM$10/$E$4)</f>
        <v>0.13474583231677809</v>
      </c>
      <c r="AM53" s="48">
        <f t="shared" si="19"/>
        <v>0</v>
      </c>
      <c r="AN53" s="47">
        <f>IF(AN13&lt;$I$4,AN13*$I$43/$I$4,$I$43+(AN13-$I$4)*($E$46-$I$43)/($E$6-$I$4))-Input!$B$14*AN13/$E$6*(1-AN13/$E$6)*AO$10/$E$4*(1-AO$10/$E$4)</f>
        <v>0.15139363372274398</v>
      </c>
      <c r="AO53" s="48">
        <f t="shared" si="20"/>
        <v>0</v>
      </c>
      <c r="AP53" s="47">
        <f>IF(AP13&lt;$I$4,AP13*$I$43/$I$4,$I$43+(AP13-$I$4)*($E$46-$I$43)/($E$6-$I$4))-Input!$B$14*AP13/$E$6*(1-AP13/$E$6)*AQ$10/$E$4*(1-AQ$10/$E$4)</f>
        <v>0.16999999999999998</v>
      </c>
      <c r="AQ53" s="48">
        <f t="shared" si="21"/>
        <v>0</v>
      </c>
    </row>
    <row r="54" spans="1:43" s="38" customFormat="1" x14ac:dyDescent="0.2">
      <c r="A54" s="39">
        <v>3</v>
      </c>
      <c r="B54" s="47">
        <f>IF(B14&lt;$I$4,B14*$I$43/$I$4,$I$43+(B14-$I$4)*($E$46-$I$43)/($E$6-$I$4))-Input!$B$14*B14/$E$6*(1-B14/$E$6)*C$10/$E$4*(1-C$10/$E$4)</f>
        <v>0.33999999999999997</v>
      </c>
      <c r="C54" s="48">
        <f t="shared" si="1"/>
        <v>0</v>
      </c>
      <c r="D54" s="47">
        <f>IF(D14&lt;$I$4,D14*$I$43/$I$4,$I$43+(D14-$I$4)*($E$46-$I$43)/($E$6-$I$4))-Input!$B$14*D14/$E$6*(1-D14/$E$6)*E$10/$E$4*(1-E$10/$E$4)</f>
        <v>0.30617024313226182</v>
      </c>
      <c r="E54" s="48">
        <f t="shared" si="2"/>
        <v>0</v>
      </c>
      <c r="F54" s="47">
        <f>IF(F14&lt;$I$4,F14*$I$43/$I$4,$I$43+(F14-$I$4)*($E$46-$I$43)/($E$6-$I$4))-Input!$B$14*F14/$E$6*(1-F14/$E$6)*G$10/$E$4*(1-G$10/$E$4)</f>
        <v>0.27590151330323293</v>
      </c>
      <c r="G54" s="48">
        <f t="shared" si="3"/>
        <v>0</v>
      </c>
      <c r="H54" s="47">
        <f>IF(H14&lt;$I$4,H14*$I$43/$I$4,$I$43+(H14-$I$4)*($E$46-$I$43)/($E$6-$I$4))-Input!$B$14*H14/$E$6*(1-H14/$E$6)*I$10/$E$4*(1-I$10/$E$4)</f>
        <v>0.24919381051291334</v>
      </c>
      <c r="I54" s="48">
        <f t="shared" si="4"/>
        <v>7.5675675675675666E-2</v>
      </c>
      <c r="J54" s="47">
        <f>IF(J14&lt;$I$4,J14*$I$43/$I$4,$I$43+(J14-$I$4)*($E$46-$I$43)/($E$6-$I$4))-Input!$B$14*J14/$E$6*(1-J14/$E$6)*K$10/$E$4*(1-K$10/$E$4)</f>
        <v>0.226047134761303</v>
      </c>
      <c r="K54" s="48">
        <f t="shared" si="5"/>
        <v>0.13621621621621621</v>
      </c>
      <c r="L54" s="47">
        <f>IF(L14&lt;$I$4,L14*$I$43/$I$4,$I$43+(L14-$I$4)*($E$46-$I$43)/($E$6-$I$4))-Input!$B$14*L14/$E$6*(1-L14/$E$6)*M$10/$E$4*(1-M$10/$E$4)</f>
        <v>0.20646148604840198</v>
      </c>
      <c r="M54" s="48">
        <f t="shared" si="6"/>
        <v>0.16648648648648648</v>
      </c>
      <c r="N54" s="47">
        <f>IF(N14&lt;$I$4,N14*$I$43/$I$4,$I$43+(N14-$I$4)*($E$46-$I$43)/($E$6-$I$4))-Input!$B$14*N14/$E$6*(1-N14/$E$6)*O$10/$E$4*(1-O$10/$E$4)</f>
        <v>0.19043686437421023</v>
      </c>
      <c r="O54" s="48">
        <f t="shared" si="7"/>
        <v>0.16648648648648648</v>
      </c>
      <c r="P54" s="47">
        <f>IF(P14&lt;$I$4,P14*$I$43/$I$4,$I$43+(P14-$I$4)*($E$46-$I$43)/($E$6-$I$4))-Input!$B$14*P14/$E$6*(1-P14/$E$6)*Q$10/$E$4*(1-Q$10/$E$4)</f>
        <v>0.17797326973872776</v>
      </c>
      <c r="Q54" s="48">
        <f t="shared" si="8"/>
        <v>0.16648648648648648</v>
      </c>
      <c r="R54" s="47">
        <f>IF(R14&lt;$I$4,R14*$I$43/$I$4,$I$43+(R14-$I$4)*($E$46-$I$43)/($E$6-$I$4))-Input!$B$14*R14/$E$6*(1-R14/$E$6)*S$10/$E$4*(1-S$10/$E$4)</f>
        <v>0.16907070214195452</v>
      </c>
      <c r="S54" s="48">
        <f t="shared" si="9"/>
        <v>0.16648648648648648</v>
      </c>
      <c r="T54" s="47">
        <f>IF(T14&lt;$I$4,T14*$I$43/$I$4,$I$43+(T14-$I$4)*($E$46-$I$43)/($E$6-$I$4))-Input!$B$14*T14/$E$6*(1-T14/$E$6)*U$10/$E$4*(1-U$10/$E$4)</f>
        <v>0.16372916158389061</v>
      </c>
      <c r="U54" s="48">
        <f t="shared" si="10"/>
        <v>0.16648648648648648</v>
      </c>
      <c r="V54" s="47">
        <f>IF(V14&lt;$I$4,V14*$I$43/$I$4,$I$43+(V14-$I$4)*($E$46-$I$43)/($E$6-$I$4))-Input!$B$14*V14/$E$6*(1-V14/$E$6)*W$10/$E$4*(1-W$10/$E$4)</f>
        <v>0.16194864806453599</v>
      </c>
      <c r="W54" s="48">
        <f t="shared" si="11"/>
        <v>0.16648648648648648</v>
      </c>
      <c r="X54" s="47">
        <f>IF(X14&lt;$I$4,X14*$I$43/$I$4,$I$43+(X14-$I$4)*($E$46-$I$43)/($E$6-$I$4))-Input!$B$14*X14/$E$6*(1-X14/$E$6)*Y$10/$E$4*(1-Y$10/$E$4)</f>
        <v>0.16372916158389064</v>
      </c>
      <c r="Y54" s="48">
        <f t="shared" si="12"/>
        <v>0.16648648648648648</v>
      </c>
      <c r="Z54" s="47">
        <f>IF(Z14&lt;$I$4,Z14*$I$43/$I$4,$I$43+(Z14-$I$4)*($E$46-$I$43)/($E$6-$I$4))-Input!$B$14*Z14/$E$6*(1-Z14/$E$6)*AA$10/$E$4*(1-AA$10/$E$4)</f>
        <v>0.16907070214195452</v>
      </c>
      <c r="AA54" s="48">
        <f t="shared" si="13"/>
        <v>0.16648648648648648</v>
      </c>
      <c r="AB54" s="47">
        <f>IF(AB14&lt;$I$4,AB14*$I$43/$I$4,$I$43+(AB14-$I$4)*($E$46-$I$43)/($E$6-$I$4))-Input!$B$14*AB14/$E$6*(1-AB14/$E$6)*AC$10/$E$4*(1-AC$10/$E$4)</f>
        <v>0.17797326973872776</v>
      </c>
      <c r="AC54" s="48">
        <f t="shared" si="14"/>
        <v>0.16648648648648648</v>
      </c>
      <c r="AD54" s="47">
        <f>IF(AD14&lt;$I$4,AD14*$I$43/$I$4,$I$43+(AD14-$I$4)*($E$46-$I$43)/($E$6-$I$4))-Input!$B$14*AD14/$E$6*(1-AD14/$E$6)*AE$10/$E$4*(1-AE$10/$E$4)</f>
        <v>0.1904368643742102</v>
      </c>
      <c r="AE54" s="48">
        <f t="shared" si="15"/>
        <v>0.16648648648648648</v>
      </c>
      <c r="AF54" s="47">
        <f>IF(AF14&lt;$I$4,AF14*$I$43/$I$4,$I$43+(AF14-$I$4)*($E$46-$I$43)/($E$6-$I$4))-Input!$B$14*AF14/$E$6*(1-AF14/$E$6)*AG$10/$E$4*(1-AG$10/$E$4)</f>
        <v>0.206461486048402</v>
      </c>
      <c r="AG54" s="48">
        <f t="shared" si="16"/>
        <v>0.12864864864864864</v>
      </c>
      <c r="AH54" s="47">
        <f>IF(AH14&lt;$I$4,AH14*$I$43/$I$4,$I$43+(AH14-$I$4)*($E$46-$I$43)/($E$6-$I$4))-Input!$B$14*AH14/$E$6*(1-AH14/$E$6)*AI$10/$E$4*(1-AI$10/$E$4)</f>
        <v>0.226047134761303</v>
      </c>
      <c r="AI54" s="48">
        <f t="shared" si="17"/>
        <v>9.8378378378378373E-2</v>
      </c>
      <c r="AJ54" s="47">
        <f>IF(AJ14&lt;$I$4,AJ14*$I$43/$I$4,$I$43+(AJ14-$I$4)*($E$46-$I$43)/($E$6-$I$4))-Input!$B$14*AJ14/$E$6*(1-AJ14/$E$6)*AK$10/$E$4*(1-AK$10/$E$4)</f>
        <v>0.24919381051291334</v>
      </c>
      <c r="AK54" s="48">
        <f t="shared" si="18"/>
        <v>2.27027027027027E-2</v>
      </c>
      <c r="AL54" s="47">
        <f>IF(AL14&lt;$I$4,AL14*$I$43/$I$4,$I$43+(AL14-$I$4)*($E$46-$I$43)/($E$6-$I$4))-Input!$B$14*AL14/$E$6*(1-AL14/$E$6)*AM$10/$E$4*(1-AM$10/$E$4)</f>
        <v>0.27590151330323287</v>
      </c>
      <c r="AM54" s="48">
        <f t="shared" si="19"/>
        <v>0</v>
      </c>
      <c r="AN54" s="47">
        <f>IF(AN14&lt;$I$4,AN14*$I$43/$I$4,$I$43+(AN14-$I$4)*($E$46-$I$43)/($E$6-$I$4))-Input!$B$14*AN14/$E$6*(1-AN14/$E$6)*AO$10/$E$4*(1-AO$10/$E$4)</f>
        <v>0.30617024313226182</v>
      </c>
      <c r="AO54" s="48">
        <f t="shared" si="20"/>
        <v>0</v>
      </c>
      <c r="AP54" s="47">
        <f>IF(AP14&lt;$I$4,AP14*$I$43/$I$4,$I$43+(AP14-$I$4)*($E$46-$I$43)/($E$6-$I$4))-Input!$B$14*AP14/$E$6*(1-AP14/$E$6)*AQ$10/$E$4*(1-AQ$10/$E$4)</f>
        <v>0.33999999999999997</v>
      </c>
      <c r="AQ54" s="48">
        <f t="shared" si="21"/>
        <v>0</v>
      </c>
    </row>
    <row r="55" spans="1:43" s="38" customFormat="1" x14ac:dyDescent="0.2">
      <c r="A55" s="39">
        <v>4</v>
      </c>
      <c r="B55" s="47">
        <f>IF(B15&lt;$I$4,B15*$I$43/$I$4,$I$43+(B15-$I$4)*($E$46-$I$43)/($E$6-$I$4))-Input!$B$14*B15/$E$6*(1-B15/$E$6)*C$10/$E$4*(1-C$10/$E$4)</f>
        <v>0.51</v>
      </c>
      <c r="C55" s="48">
        <f t="shared" si="1"/>
        <v>0</v>
      </c>
      <c r="D55" s="47">
        <f>IF(D15&lt;$I$4,D15*$I$43/$I$4,$I$43+(D15-$I$4)*($E$46-$I$43)/($E$6-$I$4))-Input!$B$14*D15/$E$6*(1-D15/$E$6)*E$10/$E$4*(1-E$10/$E$4)</f>
        <v>0.46432982822855351</v>
      </c>
      <c r="E55" s="48">
        <f t="shared" si="2"/>
        <v>0</v>
      </c>
      <c r="F55" s="47">
        <f>IF(F15&lt;$I$4,F15*$I$43/$I$4,$I$43+(F15-$I$4)*($E$46-$I$43)/($E$6-$I$4))-Input!$B$14*F15/$E$6*(1-F15/$E$6)*G$10/$E$4*(1-G$10/$E$4)</f>
        <v>0.42346704295936449</v>
      </c>
      <c r="G55" s="48">
        <f t="shared" si="3"/>
        <v>5.2972972972972973E-2</v>
      </c>
      <c r="H55" s="47">
        <f>IF(H15&lt;$I$4,H15*$I$43/$I$4,$I$43+(H15-$I$4)*($E$46-$I$43)/($E$6-$I$4))-Input!$B$14*H15/$E$6*(1-H15/$E$6)*I$10/$E$4*(1-I$10/$E$4)</f>
        <v>0.38741164419243307</v>
      </c>
      <c r="I55" s="48">
        <f>I15*$E$45/$E$5</f>
        <v>0.26486486486486482</v>
      </c>
      <c r="J55" s="47">
        <f>IF(J15&lt;$I$4,J15*$I$43/$I$4,$I$43+(J15-$I$4)*($E$46-$I$43)/($E$6-$I$4))-Input!$B$14*J15/$E$6*(1-J15/$E$6)*K$10/$E$4*(1-K$10/$E$4)</f>
        <v>0.35616363192775913</v>
      </c>
      <c r="K55" s="48">
        <f t="shared" si="5"/>
        <v>0.46918918918918917</v>
      </c>
      <c r="L55" s="47">
        <f>IF(L15&lt;$I$4,L15*$I$43/$I$4,$I$43+(L15-$I$4)*($E$46-$I$43)/($E$6-$I$4))-Input!$B$14*L15/$E$6*(1-L15/$E$6)*M$10/$E$4*(1-M$10/$E$4)</f>
        <v>0.32972300616534272</v>
      </c>
      <c r="M55" s="48">
        <f t="shared" si="6"/>
        <v>0.59027027027027013</v>
      </c>
      <c r="N55" s="47">
        <f>IF(N15&lt;$I$4,N15*$I$43/$I$4,$I$43+(N15-$I$4)*($E$46-$I$43)/($E$6-$I$4))-Input!$B$14*N15/$E$6*(1-N15/$E$6)*O$10/$E$4*(1-O$10/$E$4)</f>
        <v>0.30808976690518386</v>
      </c>
      <c r="O55" s="48">
        <f t="shared" si="7"/>
        <v>0.74162162162162149</v>
      </c>
      <c r="P55" s="47">
        <f>IF(P15&lt;$I$4,P15*$I$43/$I$4,$I$43+(P15-$I$4)*($E$46-$I$43)/($E$6-$I$4))-Input!$B$14*P15/$E$6*(1-P15/$E$6)*Q$10/$E$4*(1-Q$10/$E$4)</f>
        <v>0.29126391414728248</v>
      </c>
      <c r="Q55" s="48">
        <f t="shared" si="8"/>
        <v>0.74162162162162149</v>
      </c>
      <c r="R55" s="47">
        <f>IF(R15&lt;$I$4,R15*$I$43/$I$4,$I$43+(R15-$I$4)*($E$46-$I$43)/($E$6-$I$4))-Input!$B$14*R15/$E$6*(1-R15/$E$6)*S$10/$E$4*(1-S$10/$E$4)</f>
        <v>0.27924544789163869</v>
      </c>
      <c r="S55" s="48">
        <f t="shared" si="9"/>
        <v>0.74162162162162149</v>
      </c>
      <c r="T55" s="47">
        <f>IF(T15&lt;$I$4,T15*$I$43/$I$4,$I$43+(T15-$I$4)*($E$46-$I$43)/($E$6-$I$4))-Input!$B$14*T15/$E$6*(1-T15/$E$6)*U$10/$E$4*(1-U$10/$E$4)</f>
        <v>0.27203436813825244</v>
      </c>
      <c r="U55" s="48">
        <f t="shared" si="10"/>
        <v>0.74162162162162149</v>
      </c>
      <c r="V55" s="47">
        <f>IF(V15&lt;$I$4,V15*$I$43/$I$4,$I$43+(V15-$I$4)*($E$46-$I$43)/($E$6-$I$4))-Input!$B$14*V15/$E$6*(1-V15/$E$6)*W$10/$E$4*(1-W$10/$E$4)</f>
        <v>0.26963067488712367</v>
      </c>
      <c r="W55" s="48">
        <f t="shared" si="11"/>
        <v>0.74162162162162149</v>
      </c>
      <c r="X55" s="47">
        <f>IF(X15&lt;$I$4,X15*$I$43/$I$4,$I$43+(X15-$I$4)*($E$46-$I$43)/($E$6-$I$4))-Input!$B$14*X15/$E$6*(1-X15/$E$6)*Y$10/$E$4*(1-Y$10/$E$4)</f>
        <v>0.27203436813825244</v>
      </c>
      <c r="Y55" s="48">
        <f t="shared" si="12"/>
        <v>0.74162162162162149</v>
      </c>
      <c r="Z55" s="47">
        <f>IF(Z15&lt;$I$4,Z15*$I$43/$I$4,$I$43+(Z15-$I$4)*($E$46-$I$43)/($E$6-$I$4))-Input!$B$14*Z15/$E$6*(1-Z15/$E$6)*AA$10/$E$4*(1-AA$10/$E$4)</f>
        <v>0.27924544789163874</v>
      </c>
      <c r="AA55" s="48">
        <f t="shared" si="13"/>
        <v>0.74162162162162149</v>
      </c>
      <c r="AB55" s="47">
        <f>IF(AB15&lt;$I$4,AB15*$I$43/$I$4,$I$43+(AB15-$I$4)*($E$46-$I$43)/($E$6-$I$4))-Input!$B$14*AB15/$E$6*(1-AB15/$E$6)*AC$10/$E$4*(1-AC$10/$E$4)</f>
        <v>0.29126391414728259</v>
      </c>
      <c r="AC55" s="48">
        <f t="shared" si="14"/>
        <v>0.74162162162162149</v>
      </c>
      <c r="AD55" s="47">
        <f>IF(AD15&lt;$I$4,AD15*$I$43/$I$4,$I$43+(AD15-$I$4)*($E$46-$I$43)/($E$6-$I$4))-Input!$B$14*AD15/$E$6*(1-AD15/$E$6)*AE$10/$E$4*(1-AE$10/$E$4)</f>
        <v>0.30808976690518386</v>
      </c>
      <c r="AE55" s="48">
        <f t="shared" si="15"/>
        <v>0.69621621621621621</v>
      </c>
      <c r="AF55" s="47">
        <f>IF(AF15&lt;$I$4,AF15*$I$43/$I$4,$I$43+(AF15-$I$4)*($E$46-$I$43)/($E$6-$I$4))-Input!$B$14*AF15/$E$6*(1-AF15/$E$6)*AG$10/$E$4*(1-AG$10/$E$4)</f>
        <v>0.32972300616534272</v>
      </c>
      <c r="AG55" s="48">
        <f t="shared" si="16"/>
        <v>0.54486486486486485</v>
      </c>
      <c r="AH55" s="47">
        <f>IF(AH15&lt;$I$4,AH15*$I$43/$I$4,$I$43+(AH15-$I$4)*($E$46-$I$43)/($E$6-$I$4))-Input!$B$14*AH15/$E$6*(1-AH15/$E$6)*AI$10/$E$4*(1-AI$10/$E$4)</f>
        <v>0.35616363192775913</v>
      </c>
      <c r="AI55" s="48">
        <f t="shared" si="17"/>
        <v>0.3405405405405405</v>
      </c>
      <c r="AJ55" s="47">
        <f>IF(AJ15&lt;$I$4,AJ15*$I$43/$I$4,$I$43+(AJ15-$I$4)*($E$46-$I$43)/($E$6-$I$4))-Input!$B$14*AJ15/$E$6*(1-AJ15/$E$6)*AK$10/$E$4*(1-AK$10/$E$4)</f>
        <v>0.38741164419243307</v>
      </c>
      <c r="AK55" s="48">
        <f t="shared" si="18"/>
        <v>0.17405405405405405</v>
      </c>
      <c r="AL55" s="47">
        <f>IF(AL15&lt;$I$4,AL15*$I$43/$I$4,$I$43+(AL15-$I$4)*($E$46-$I$43)/($E$6-$I$4))-Input!$B$14*AL15/$E$6*(1-AL15/$E$6)*AM$10/$E$4*(1-AM$10/$E$4)</f>
        <v>0.42346704295936444</v>
      </c>
      <c r="AM55" s="48">
        <f t="shared" si="19"/>
        <v>6.0540540540540533E-2</v>
      </c>
      <c r="AN55" s="47">
        <f>IF(AN15&lt;$I$4,AN15*$I$43/$I$4,$I$43+(AN15-$I$4)*($E$46-$I$43)/($E$6-$I$4))-Input!$B$14*AN15/$E$6*(1-AN15/$E$6)*AO$10/$E$4*(1-AO$10/$E$4)</f>
        <v>0.46432982822855345</v>
      </c>
      <c r="AO55" s="48">
        <f t="shared" si="20"/>
        <v>0</v>
      </c>
      <c r="AP55" s="47">
        <f>IF(AP15&lt;$I$4,AP15*$I$43/$I$4,$I$43+(AP15-$I$4)*($E$46-$I$43)/($E$6-$I$4))-Input!$B$14*AP15/$E$6*(1-AP15/$E$6)*AQ$10/$E$4*(1-AQ$10/$E$4)</f>
        <v>0.51</v>
      </c>
      <c r="AQ55" s="48">
        <f t="shared" si="21"/>
        <v>0</v>
      </c>
    </row>
    <row r="56" spans="1:43" s="38" customFormat="1" x14ac:dyDescent="0.2">
      <c r="A56" s="39">
        <v>5</v>
      </c>
      <c r="B56" s="47">
        <f>IF(B16&lt;$I$4,B16*$I$43/$I$4,$I$43+(B16-$I$4)*($E$46-$I$43)/($E$6-$I$4))-Input!$B$14*B16/$E$6*(1-B16/$E$6)*C$10/$E$4*(1-C$10/$E$4)</f>
        <v>0.67999999999999994</v>
      </c>
      <c r="C56" s="48">
        <f t="shared" si="1"/>
        <v>0</v>
      </c>
      <c r="D56" s="47">
        <f>IF(D16&lt;$I$4,D16*$I$43/$I$4,$I$43+(D16-$I$4)*($E$46-$I$43)/($E$6-$I$4))-Input!$B$14*D16/$E$6*(1-D16/$E$6)*E$10/$E$4*(1-E$10/$E$4)</f>
        <v>0.6258723890116189</v>
      </c>
      <c r="E56" s="48">
        <f t="shared" si="2"/>
        <v>0</v>
      </c>
      <c r="F56" s="47">
        <f>IF(F16&lt;$I$4,F16*$I$43/$I$4,$I$43+(F16-$I$4)*($E$46-$I$43)/($E$6-$I$4))-Input!$B$14*F16/$E$6*(1-F16/$E$6)*G$10/$E$4*(1-G$10/$E$4)</f>
        <v>0.57744242128517265</v>
      </c>
      <c r="G56" s="48">
        <f t="shared" si="3"/>
        <v>0.28756756756756752</v>
      </c>
      <c r="H56" s="47">
        <f>IF(H16&lt;$I$4,H16*$I$43/$I$4,$I$43+(H16-$I$4)*($E$46-$I$43)/($E$6-$I$4))-Input!$B$14*H16/$E$6*(1-H16/$E$6)*I$10/$E$4*(1-I$10/$E$4)</f>
        <v>0.53471009682066128</v>
      </c>
      <c r="I56" s="48">
        <f t="shared" si="4"/>
        <v>0.62810810810810802</v>
      </c>
      <c r="J56" s="47">
        <f>IF(J16&lt;$I$4,J16*$I$43/$I$4,$I$43+(J16-$I$4)*($E$46-$I$43)/($E$6-$I$4))-Input!$B$14*J16/$E$6*(1-J16/$E$6)*K$10/$E$4*(1-K$10/$E$4)</f>
        <v>0.49767541561808482</v>
      </c>
      <c r="K56" s="48">
        <f t="shared" si="5"/>
        <v>0.87027027027027015</v>
      </c>
      <c r="L56" s="47">
        <f>IF(L16&lt;$I$4,L16*$I$43/$I$4,$I$43+(L16-$I$4)*($E$46-$I$43)/($E$6-$I$4))-Input!$B$14*L16/$E$6*(1-L16/$E$6)*M$10/$E$4*(1-M$10/$E$4)</f>
        <v>0.46633837767744313</v>
      </c>
      <c r="M56" s="48">
        <f t="shared" si="6"/>
        <v>1.0291891891891891</v>
      </c>
      <c r="N56" s="47">
        <f>IF(N16&lt;$I$4,N16*$I$43/$I$4,$I$43+(N16-$I$4)*($E$46-$I$43)/($E$6-$I$4))-Input!$B$14*N16/$E$6*(1-N16/$E$6)*O$10/$E$4*(1-O$10/$E$4)</f>
        <v>0.44069898299873633</v>
      </c>
      <c r="O56" s="48">
        <f t="shared" si="7"/>
        <v>1.0897297297297297</v>
      </c>
      <c r="P56" s="47">
        <f>IF(P16&lt;$I$4,P16*$I$43/$I$4,$I$43+(P16-$I$4)*($E$46-$I$43)/($E$6-$I$4))-Input!$B$14*P16/$E$6*(1-P16/$E$6)*Q$10/$E$4*(1-Q$10/$E$4)</f>
        <v>0.42075723158196432</v>
      </c>
      <c r="Q56" s="48">
        <f t="shared" si="8"/>
        <v>1.0897297297297297</v>
      </c>
      <c r="R56" s="47">
        <f>IF(R16&lt;$I$4,R16*$I$43/$I$4,$I$43+(R16-$I$4)*($E$46-$I$43)/($E$6-$I$4))-Input!$B$14*R16/$E$6*(1-R16/$E$6)*S$10/$E$4*(1-S$10/$E$4)</f>
        <v>0.4065131234271272</v>
      </c>
      <c r="S56" s="48">
        <f t="shared" si="9"/>
        <v>1.0897297297297297</v>
      </c>
      <c r="T56" s="47">
        <f>IF(T16&lt;$I$4,T16*$I$43/$I$4,$I$43+(T16-$I$4)*($E$46-$I$43)/($E$6-$I$4))-Input!$B$14*T16/$E$6*(1-T16/$E$6)*U$10/$E$4*(1-U$10/$E$4)</f>
        <v>0.39796665853422492</v>
      </c>
      <c r="U56" s="48">
        <f t="shared" si="10"/>
        <v>1.0897297297297297</v>
      </c>
      <c r="V56" s="47">
        <f>IF(V16&lt;$I$4,V16*$I$43/$I$4,$I$43+(V16-$I$4)*($E$46-$I$43)/($E$6-$I$4))-Input!$B$14*V16/$E$6*(1-V16/$E$6)*W$10/$E$4*(1-W$10/$E$4)</f>
        <v>0.39511783690325752</v>
      </c>
      <c r="W56" s="48">
        <f t="shared" si="11"/>
        <v>1.0897297297297297</v>
      </c>
      <c r="X56" s="47">
        <f>IF(X16&lt;$I$4,X16*$I$43/$I$4,$I$43+(X16-$I$4)*($E$46-$I$43)/($E$6-$I$4))-Input!$B$14*X16/$E$6*(1-X16/$E$6)*Y$10/$E$4*(1-Y$10/$E$4)</f>
        <v>0.39796665853422497</v>
      </c>
      <c r="Y56" s="48">
        <f t="shared" si="12"/>
        <v>1.0897297297297297</v>
      </c>
      <c r="Z56" s="47">
        <f>IF(Z16&lt;$I$4,Z16*$I$43/$I$4,$I$43+(Z16-$I$4)*($E$46-$I$43)/($E$6-$I$4))-Input!$B$14*Z16/$E$6*(1-Z16/$E$6)*AA$10/$E$4*(1-AA$10/$E$4)</f>
        <v>0.4065131234271272</v>
      </c>
      <c r="AA56" s="48">
        <f t="shared" si="13"/>
        <v>1.0897297297297297</v>
      </c>
      <c r="AB56" s="47">
        <f>IF(AB16&lt;$I$4,AB16*$I$43/$I$4,$I$43+(AB16-$I$4)*($E$46-$I$43)/($E$6-$I$4))-Input!$B$14*AB16/$E$6*(1-AB16/$E$6)*AC$10/$E$4*(1-AC$10/$E$4)</f>
        <v>0.42075723158196437</v>
      </c>
      <c r="AC56" s="48">
        <f t="shared" si="14"/>
        <v>1.0897297297297297</v>
      </c>
      <c r="AD56" s="47">
        <f>IF(AD16&lt;$I$4,AD16*$I$43/$I$4,$I$43+(AD16-$I$4)*($E$46-$I$43)/($E$6-$I$4))-Input!$B$14*AD16/$E$6*(1-AD16/$E$6)*AE$10/$E$4*(1-AE$10/$E$4)</f>
        <v>0.44069898299873628</v>
      </c>
      <c r="AE56" s="48">
        <f t="shared" si="15"/>
        <v>1.0367567567567566</v>
      </c>
      <c r="AF56" s="47">
        <f>IF(AF16&lt;$I$4,AF16*$I$43/$I$4,$I$43+(AF16-$I$4)*($E$46-$I$43)/($E$6-$I$4))-Input!$B$14*AF16/$E$6*(1-AF16/$E$6)*AG$10/$E$4*(1-AG$10/$E$4)</f>
        <v>0.46633837767744313</v>
      </c>
      <c r="AG56" s="48">
        <f t="shared" si="16"/>
        <v>0.91567567567567565</v>
      </c>
      <c r="AH56" s="47">
        <f>IF(AH16&lt;$I$4,AH16*$I$43/$I$4,$I$43+(AH16-$I$4)*($E$46-$I$43)/($E$6-$I$4))-Input!$B$14*AH16/$E$6*(1-AH16/$E$6)*AI$10/$E$4*(1-AI$10/$E$4)</f>
        <v>0.49767541561808476</v>
      </c>
      <c r="AI56" s="48">
        <f t="shared" si="17"/>
        <v>0.69621621621621621</v>
      </c>
      <c r="AJ56" s="47">
        <f>IF(AJ16&lt;$I$4,AJ16*$I$43/$I$4,$I$43+(AJ16-$I$4)*($E$46-$I$43)/($E$6-$I$4))-Input!$B$14*AJ16/$E$6*(1-AJ16/$E$6)*AK$10/$E$4*(1-AK$10/$E$4)</f>
        <v>0.53471009682066128</v>
      </c>
      <c r="AK56" s="48">
        <f t="shared" si="18"/>
        <v>0.42378378378378379</v>
      </c>
      <c r="AL56" s="47">
        <f>IF(AL16&lt;$I$4,AL16*$I$43/$I$4,$I$43+(AL16-$I$4)*($E$46-$I$43)/($E$6-$I$4))-Input!$B$14*AL16/$E$6*(1-AL16/$E$6)*AM$10/$E$4*(1-AM$10/$E$4)</f>
        <v>0.57744242128517254</v>
      </c>
      <c r="AM56" s="48">
        <f t="shared" si="19"/>
        <v>0.22702702702702701</v>
      </c>
      <c r="AN56" s="47">
        <f>IF(AN16&lt;$I$4,AN16*$I$43/$I$4,$I$43+(AN16-$I$4)*($E$46-$I$43)/($E$6-$I$4))-Input!$B$14*AN16/$E$6*(1-AN16/$E$6)*AO$10/$E$4*(1-AO$10/$E$4)</f>
        <v>0.62587238901161879</v>
      </c>
      <c r="AO56" s="48">
        <f t="shared" si="20"/>
        <v>8.324324324324324E-2</v>
      </c>
      <c r="AP56" s="47">
        <f>IF(AP16&lt;$I$4,AP16*$I$43/$I$4,$I$43+(AP16-$I$4)*($E$46-$I$43)/($E$6-$I$4))-Input!$B$14*AP16/$E$6*(1-AP16/$E$6)*AQ$10/$E$4*(1-AQ$10/$E$4)</f>
        <v>0.67999999999999994</v>
      </c>
      <c r="AQ56" s="48">
        <f t="shared" si="21"/>
        <v>0</v>
      </c>
    </row>
    <row r="57" spans="1:43" s="38" customFormat="1" x14ac:dyDescent="0.2">
      <c r="A57" s="39">
        <v>6</v>
      </c>
      <c r="B57" s="47">
        <f>IF(B17&lt;$I$4,B17*$I$43/$I$4,$I$43+(B17-$I$4)*($E$46-$I$43)/($E$6-$I$4))-Input!$B$14*B17/$E$6*(1-B17/$E$6)*C$10/$E$4*(1-C$10/$E$4)</f>
        <v>0.85</v>
      </c>
      <c r="C57" s="48">
        <f t="shared" si="1"/>
        <v>0</v>
      </c>
      <c r="D57" s="47">
        <f>IF(D17&lt;$I$4,D17*$I$43/$I$4,$I$43+(D17-$I$4)*($E$46-$I$43)/($E$6-$I$4))-Input!$B$14*D17/$E$6*(1-D17/$E$6)*E$10/$E$4*(1-E$10/$E$4)</f>
        <v>0.79079792548145822</v>
      </c>
      <c r="E57" s="48">
        <f t="shared" si="2"/>
        <v>0.22702702702702701</v>
      </c>
      <c r="F57" s="47">
        <f>IF(F17&lt;$I$4,F17*$I$43/$I$4,$I$43+(F17-$I$4)*($E$46-$I$43)/($E$6-$I$4))-Input!$B$14*F17/$E$6*(1-F17/$E$6)*G$10/$E$4*(1-G$10/$E$4)</f>
        <v>0.73782764828065772</v>
      </c>
      <c r="G57" s="48">
        <f t="shared" si="3"/>
        <v>0.66594594594594592</v>
      </c>
      <c r="H57" s="47">
        <f>IF(H17&lt;$I$4,H17*$I$43/$I$4,$I$43+(H17-$I$4)*($E$46-$I$43)/($E$6-$I$4))-Input!$B$14*H17/$E$6*(1-H17/$E$6)*I$10/$E$4*(1-I$10/$E$4)</f>
        <v>0.69108916839759837</v>
      </c>
      <c r="I57" s="48">
        <f t="shared" si="4"/>
        <v>0.97621621621621613</v>
      </c>
      <c r="J57" s="47">
        <f>IF(J17&lt;$I$4,J17*$I$43/$I$4,$I$43+(J17-$I$4)*($E$46-$I$43)/($E$6-$I$4))-Input!$B$14*J17/$E$6*(1-J17/$E$6)*K$10/$E$4*(1-K$10/$E$4)</f>
        <v>0.65058248583228029</v>
      </c>
      <c r="K57" s="48">
        <f t="shared" si="5"/>
        <v>1.1578378378378378</v>
      </c>
      <c r="L57" s="47">
        <f>IF(L17&lt;$I$4,L17*$I$43/$I$4,$I$43+(L17-$I$4)*($E$46-$I$43)/($E$6-$I$4))-Input!$B$14*L17/$E$6*(1-L17/$E$6)*M$10/$E$4*(1-M$10/$E$4)</f>
        <v>0.61630760058470346</v>
      </c>
      <c r="M57" s="48">
        <f t="shared" si="6"/>
        <v>1.2486486486486483</v>
      </c>
      <c r="N57" s="47">
        <f>IF(N17&lt;$I$4,N17*$I$43/$I$4,$I$43+(N17-$I$4)*($E$46-$I$43)/($E$6-$I$4))-Input!$B$14*N17/$E$6*(1-N17/$E$6)*O$10/$E$4*(1-O$10/$E$4)</f>
        <v>0.58826451265486801</v>
      </c>
      <c r="O57" s="48">
        <f t="shared" si="7"/>
        <v>1.2940540540540537</v>
      </c>
      <c r="P57" s="47">
        <f>IF(P17&lt;$I$4,P17*$I$43/$I$4,$I$43+(P17-$I$4)*($E$46-$I$43)/($E$6-$I$4))-Input!$B$14*P17/$E$6*(1-P17/$E$6)*Q$10/$E$4*(1-Q$10/$E$4)</f>
        <v>0.5664532220427736</v>
      </c>
      <c r="Q57" s="48">
        <f t="shared" si="8"/>
        <v>1.2940540540540537</v>
      </c>
      <c r="R57" s="47">
        <f>IF(R17&lt;$I$4,R17*$I$43/$I$4,$I$43+(R17-$I$4)*($E$46-$I$43)/($E$6-$I$4))-Input!$B$14*R17/$E$6*(1-R17/$E$6)*S$10/$E$4*(1-S$10/$E$4)</f>
        <v>0.55087372874842044</v>
      </c>
      <c r="S57" s="48">
        <f t="shared" si="9"/>
        <v>1.2940540540540537</v>
      </c>
      <c r="T57" s="47">
        <f>IF(T17&lt;$I$4,T17*$I$43/$I$4,$I$43+(T17-$I$4)*($E$46-$I$43)/($E$6-$I$4))-Input!$B$14*T17/$E$6*(1-T17/$E$6)*U$10/$E$4*(1-U$10/$E$4)</f>
        <v>0.54152603277180866</v>
      </c>
      <c r="U57" s="48">
        <f t="shared" si="10"/>
        <v>1.2940540540540537</v>
      </c>
      <c r="V57" s="47">
        <f>IF(V17&lt;$I$4,V17*$I$43/$I$4,$I$43+(V17-$I$4)*($E$46-$I$43)/($E$6-$I$4))-Input!$B$14*V17/$E$6*(1-V17/$E$6)*W$10/$E$4*(1-W$10/$E$4)</f>
        <v>0.53841013411293803</v>
      </c>
      <c r="W57" s="48">
        <f t="shared" si="11"/>
        <v>1.2940540540540537</v>
      </c>
      <c r="X57" s="47">
        <f>IF(X17&lt;$I$4,X17*$I$43/$I$4,$I$43+(X17-$I$4)*($E$46-$I$43)/($E$6-$I$4))-Input!$B$14*X17/$E$6*(1-X17/$E$6)*Y$10/$E$4*(1-Y$10/$E$4)</f>
        <v>0.54152603277180866</v>
      </c>
      <c r="Y57" s="48">
        <f t="shared" si="12"/>
        <v>1.2940540540540537</v>
      </c>
      <c r="Z57" s="47">
        <f>IF(Z17&lt;$I$4,Z17*$I$43/$I$4,$I$43+(Z17-$I$4)*($E$46-$I$43)/($E$6-$I$4))-Input!$B$14*Z17/$E$6*(1-Z17/$E$6)*AA$10/$E$4*(1-AA$10/$E$4)</f>
        <v>0.55087372874842055</v>
      </c>
      <c r="AA57" s="48">
        <f t="shared" si="13"/>
        <v>1.2940540540540537</v>
      </c>
      <c r="AB57" s="47">
        <f>IF(AB17&lt;$I$4,AB17*$I$43/$I$4,$I$43+(AB17-$I$4)*($E$46-$I$43)/($E$6-$I$4))-Input!$B$14*AB17/$E$6*(1-AB17/$E$6)*AC$10/$E$4*(1-AC$10/$E$4)</f>
        <v>0.5664532220427736</v>
      </c>
      <c r="AC57" s="48">
        <f t="shared" si="14"/>
        <v>1.2940540540540537</v>
      </c>
      <c r="AD57" s="47">
        <f>IF(AD17&lt;$I$4,AD17*$I$43/$I$4,$I$43+(AD17-$I$4)*($E$46-$I$43)/($E$6-$I$4))-Input!$B$14*AD17/$E$6*(1-AD17/$E$6)*AE$10/$E$4*(1-AE$10/$E$4)</f>
        <v>0.58826451265486801</v>
      </c>
      <c r="AE57" s="48">
        <f t="shared" si="15"/>
        <v>1.2486486486486483</v>
      </c>
      <c r="AF57" s="47">
        <f>IF(AF17&lt;$I$4,AF17*$I$43/$I$4,$I$43+(AF17-$I$4)*($E$46-$I$43)/($E$6-$I$4))-Input!$B$14*AF17/$E$6*(1-AF17/$E$6)*AG$10/$E$4*(1-AG$10/$E$4)</f>
        <v>0.61630760058470346</v>
      </c>
      <c r="AG57" s="48">
        <f t="shared" si="16"/>
        <v>1.1199999999999999</v>
      </c>
      <c r="AH57" s="47">
        <f>IF(AH17&lt;$I$4,AH17*$I$43/$I$4,$I$43+(AH17-$I$4)*($E$46-$I$43)/($E$6-$I$4))-Input!$B$14*AH17/$E$6*(1-AH17/$E$6)*AI$10/$E$4*(1-AI$10/$E$4)</f>
        <v>0.65058248583228029</v>
      </c>
      <c r="AI57" s="48">
        <f t="shared" si="17"/>
        <v>0.89297297297297284</v>
      </c>
      <c r="AJ57" s="47">
        <f>IF(AJ17&lt;$I$4,AJ17*$I$43/$I$4,$I$43+(AJ17-$I$4)*($E$46-$I$43)/($E$6-$I$4))-Input!$B$14*AJ17/$E$6*(1-AJ17/$E$6)*AK$10/$E$4*(1-AK$10/$E$4)</f>
        <v>0.69108916839759837</v>
      </c>
      <c r="AK57" s="48">
        <f t="shared" si="18"/>
        <v>0.59783783783783773</v>
      </c>
      <c r="AL57" s="47">
        <f>IF(AL17&lt;$I$4,AL17*$I$43/$I$4,$I$43+(AL17-$I$4)*($E$46-$I$43)/($E$6-$I$4))-Input!$B$14*AL17/$E$6*(1-AL17/$E$6)*AM$10/$E$4*(1-AM$10/$E$4)</f>
        <v>0.73782764828065761</v>
      </c>
      <c r="AM57" s="48">
        <f t="shared" si="19"/>
        <v>0.40108108108108104</v>
      </c>
      <c r="AN57" s="47">
        <f>IF(AN17&lt;$I$4,AN17*$I$43/$I$4,$I$43+(AN17-$I$4)*($E$46-$I$43)/($E$6-$I$4))-Input!$B$14*AN17/$E$6*(1-AN17/$E$6)*AO$10/$E$4*(1-AO$10/$E$4)</f>
        <v>0.79079792548145811</v>
      </c>
      <c r="AO57" s="48">
        <f t="shared" si="20"/>
        <v>0.22702702702702701</v>
      </c>
      <c r="AP57" s="47">
        <f>IF(AP17&lt;$I$4,AP17*$I$43/$I$4,$I$43+(AP17-$I$4)*($E$46-$I$43)/($E$6-$I$4))-Input!$B$14*AP17/$E$6*(1-AP17/$E$6)*AQ$10/$E$4*(1-AQ$10/$E$4)</f>
        <v>0.85</v>
      </c>
      <c r="AQ57" s="48">
        <f t="shared" si="21"/>
        <v>0</v>
      </c>
    </row>
    <row r="58" spans="1:43" s="38" customFormat="1" x14ac:dyDescent="0.2">
      <c r="A58" s="39">
        <v>7</v>
      </c>
      <c r="B58" s="47">
        <f>IF(B18&lt;$I$4,B18*$I$43/$I$4,$I$43+(B18-$I$4)*($E$46-$I$43)/($E$6-$I$4))-Input!$B$14*B18/$E$6*(1-B18/$E$6)*C$10/$E$4*(1-C$10/$E$4)</f>
        <v>1.0084</v>
      </c>
      <c r="C58" s="49">
        <f t="shared" si="1"/>
        <v>2.27027027027027E-2</v>
      </c>
      <c r="D58" s="47">
        <f>IF(D18&lt;$I$4,D18*$I$43/$I$4,$I$43+(D18-$I$4)*($E$46-$I$43)/($E$6-$I$4))-Input!$B$14*D18/$E$6*(1-D18/$E$6)*E$10/$E$4*(1-E$10/$E$4)</f>
        <v>0.9475064376380713</v>
      </c>
      <c r="E58" s="49">
        <f t="shared" si="2"/>
        <v>0.60540540540540533</v>
      </c>
      <c r="F58" s="47">
        <f>IF(F18&lt;$I$4,F18*$I$43/$I$4,$I$43+(F18-$I$4)*($E$46-$I$43)/($E$6-$I$4))-Input!$B$14*F18/$E$6*(1-F18/$E$6)*G$10/$E$4*(1-G$10/$E$4)</f>
        <v>0.89302272394581927</v>
      </c>
      <c r="G58" s="49">
        <f t="shared" si="3"/>
        <v>0.99891891891891882</v>
      </c>
      <c r="H58" s="47">
        <f>IF(H18&lt;$I$4,H18*$I$43/$I$4,$I$43+(H18-$I$4)*($E$46-$I$43)/($E$6-$I$4))-Input!$B$14*H18/$E$6*(1-H18/$E$6)*I$10/$E$4*(1-I$10/$E$4)</f>
        <v>0.84494885892324401</v>
      </c>
      <c r="I58" s="49">
        <f t="shared" si="4"/>
        <v>1.2108108108108107</v>
      </c>
      <c r="J58" s="47">
        <f>IF(J18&lt;$I$4,J18*$I$43/$I$4,$I$43+(J18-$I$4)*($E$46-$I$43)/($E$6-$I$4))-Input!$B$14*J18/$E$6*(1-J18/$E$6)*K$10/$E$4*(1-K$10/$E$4)</f>
        <v>0.80328484257034538</v>
      </c>
      <c r="K58" s="49">
        <f t="shared" si="5"/>
        <v>1.3318918918918918</v>
      </c>
      <c r="L58" s="47">
        <f>IF(L18&lt;$I$4,L18*$I$43/$I$4,$I$43+(L18-$I$4)*($E$46-$I$43)/($E$6-$I$4))-Input!$B$14*L18/$E$6*(1-L18/$E$6)*M$10/$E$4*(1-M$10/$E$4)</f>
        <v>0.76803067488712362</v>
      </c>
      <c r="M58" s="49">
        <f t="shared" si="6"/>
        <v>1.4</v>
      </c>
      <c r="N58" s="47">
        <f>IF(N18&lt;$I$4,N18*$I$43/$I$4,$I$43+(N18-$I$4)*($E$46-$I$43)/($E$6-$I$4))-Input!$B$14*N18/$E$6*(1-N18/$E$6)*O$10/$E$4*(1-O$10/$E$4)</f>
        <v>0.7391863558735785</v>
      </c>
      <c r="O58" s="49">
        <f t="shared" si="7"/>
        <v>1.4302702702702701</v>
      </c>
      <c r="P58" s="47">
        <f>IF(P18&lt;$I$4,P18*$I$43/$I$4,$I$43+(P18-$I$4)*($E$46-$I$43)/($E$6-$I$4))-Input!$B$14*P18/$E$6*(1-P18/$E$6)*Q$10/$E$4*(1-Q$10/$E$4)</f>
        <v>0.71675188552970992</v>
      </c>
      <c r="Q58" s="49">
        <f t="shared" si="8"/>
        <v>1.4302702702702701</v>
      </c>
      <c r="R58" s="47">
        <f>IF(R18&lt;$I$4,R18*$I$43/$I$4,$I$43+(R18-$I$4)*($E$46-$I$43)/($E$6-$I$4))-Input!$B$14*R18/$E$6*(1-R18/$E$6)*S$10/$E$4*(1-S$10/$E$4)</f>
        <v>0.7007272638555182</v>
      </c>
      <c r="S58" s="49">
        <f t="shared" si="9"/>
        <v>1.4302702702702701</v>
      </c>
      <c r="T58" s="47">
        <f>IF(T18&lt;$I$4,T18*$I$43/$I$4,$I$43+(T18-$I$4)*($E$46-$I$43)/($E$6-$I$4))-Input!$B$14*T18/$E$6*(1-T18/$E$6)*U$10/$E$4*(1-U$10/$E$4)</f>
        <v>0.69111249085100313</v>
      </c>
      <c r="U58" s="49">
        <f t="shared" si="10"/>
        <v>1.4302702702702701</v>
      </c>
      <c r="V58" s="47">
        <f>IF(V18&lt;$I$4,V18*$I$43/$I$4,$I$43+(V18-$I$4)*($E$46-$I$43)/($E$6-$I$4))-Input!$B$14*V18/$E$6*(1-V18/$E$6)*W$10/$E$4*(1-W$10/$E$4)</f>
        <v>0.6879075665161648</v>
      </c>
      <c r="W58" s="49">
        <f t="shared" si="11"/>
        <v>1.4302702702702701</v>
      </c>
      <c r="X58" s="47">
        <f>IF(X18&lt;$I$4,X18*$I$43/$I$4,$I$43+(X18-$I$4)*($E$46-$I$43)/($E$6-$I$4))-Input!$B$14*X18/$E$6*(1-X18/$E$6)*Y$10/$E$4*(1-Y$10/$E$4)</f>
        <v>0.69111249085100313</v>
      </c>
      <c r="Y58" s="49">
        <f t="shared" si="12"/>
        <v>1.4302702702702701</v>
      </c>
      <c r="Z58" s="47">
        <f>IF(Z18&lt;$I$4,Z18*$I$43/$I$4,$I$43+(Z18-$I$4)*($E$46-$I$43)/($E$6-$I$4))-Input!$B$14*Z18/$E$6*(1-Z18/$E$6)*AA$10/$E$4*(1-AA$10/$E$4)</f>
        <v>0.7007272638555182</v>
      </c>
      <c r="AA58" s="49">
        <f t="shared" si="13"/>
        <v>1.4302702702702701</v>
      </c>
      <c r="AB58" s="47">
        <f>IF(AB18&lt;$I$4,AB18*$I$43/$I$4,$I$43+(AB18-$I$4)*($E$46-$I$43)/($E$6-$I$4))-Input!$B$14*AB18/$E$6*(1-AB18/$E$6)*AC$10/$E$4*(1-AC$10/$E$4)</f>
        <v>0.71675188552970992</v>
      </c>
      <c r="AC58" s="49">
        <f t="shared" si="14"/>
        <v>1.4302702702702701</v>
      </c>
      <c r="AD58" s="47">
        <f>IF(AD18&lt;$I$4,AD18*$I$43/$I$4,$I$43+(AD18-$I$4)*($E$46-$I$43)/($E$6-$I$4))-Input!$B$14*AD18/$E$6*(1-AD18/$E$6)*AE$10/$E$4*(1-AE$10/$E$4)</f>
        <v>0.73918635587357839</v>
      </c>
      <c r="AE58" s="49">
        <f t="shared" si="15"/>
        <v>1.3848648648648647</v>
      </c>
      <c r="AF58" s="47">
        <f>IF(AF18&lt;$I$4,AF18*$I$43/$I$4,$I$43+(AF18-$I$4)*($E$46-$I$43)/($E$6-$I$4))-Input!$B$14*AF18/$E$6*(1-AF18/$E$6)*AG$10/$E$4*(1-AG$10/$E$4)</f>
        <v>0.76803067488712362</v>
      </c>
      <c r="AG58" s="49">
        <f t="shared" si="16"/>
        <v>1.256216216216216</v>
      </c>
      <c r="AH58" s="47">
        <f>IF(AH18&lt;$I$4,AH18*$I$43/$I$4,$I$43+(AH18-$I$4)*($E$46-$I$43)/($E$6-$I$4))-Input!$B$14*AH18/$E$6*(1-AH18/$E$6)*AI$10/$E$4*(1-AI$10/$E$4)</f>
        <v>0.80328484257034538</v>
      </c>
      <c r="AI58" s="49">
        <f t="shared" si="17"/>
        <v>1.0367567567567566</v>
      </c>
      <c r="AJ58" s="47">
        <f>IF(AJ18&lt;$I$4,AJ18*$I$43/$I$4,$I$43+(AJ18-$I$4)*($E$46-$I$43)/($E$6-$I$4))-Input!$B$14*AJ18/$E$6*(1-AJ18/$E$6)*AK$10/$E$4*(1-AK$10/$E$4)</f>
        <v>0.84494885892324401</v>
      </c>
      <c r="AK58" s="49">
        <f t="shared" si="18"/>
        <v>0.71891891891891879</v>
      </c>
      <c r="AL58" s="47">
        <f>IF(AL18&lt;$I$4,AL18*$I$43/$I$4,$I$43+(AL18-$I$4)*($E$46-$I$43)/($E$6-$I$4))-Input!$B$14*AL18/$E$6*(1-AL18/$E$6)*AM$10/$E$4*(1-AM$10/$E$4)</f>
        <v>0.89302272394581927</v>
      </c>
      <c r="AM58" s="49">
        <f t="shared" si="19"/>
        <v>0.49945945945945941</v>
      </c>
      <c r="AN58" s="47">
        <f>IF(AN18&lt;$I$4,AN18*$I$43/$I$4,$I$43+(AN18-$I$4)*($E$46-$I$43)/($E$6-$I$4))-Input!$B$14*AN18/$E$6*(1-AN18/$E$6)*AO$10/$E$4*(1-AO$10/$E$4)</f>
        <v>0.94750643763807119</v>
      </c>
      <c r="AO58" s="49">
        <f t="shared" si="20"/>
        <v>0.21189189189189189</v>
      </c>
      <c r="AP58" s="47">
        <f>IF(AP18&lt;$I$4,AP18*$I$43/$I$4,$I$43+(AP18-$I$4)*($E$46-$I$43)/($E$6-$I$4))-Input!$B$14*AP18/$E$6*(1-AP18/$E$6)*AQ$10/$E$4*(1-AQ$10/$E$4)</f>
        <v>1.0084</v>
      </c>
      <c r="AQ58" s="49">
        <f t="shared" si="21"/>
        <v>0</v>
      </c>
    </row>
    <row r="59" spans="1:43" s="38" customFormat="1" x14ac:dyDescent="0.2">
      <c r="A59" s="39">
        <v>8</v>
      </c>
      <c r="B59" s="47">
        <f>IF(B19&lt;$I$4,B19*$I$43/$I$4,$I$43+(B19-$I$4)*($E$46-$I$43)/($E$6-$I$4))-Input!$B$14*B19/$E$6*(1-B19/$E$6)*C$10/$E$4*(1-C$10/$E$4)</f>
        <v>1.1320000000000001</v>
      </c>
      <c r="C59" s="48">
        <f t="shared" si="1"/>
        <v>0.43135135135135128</v>
      </c>
      <c r="D59" s="47">
        <f>IF(D19&lt;$I$4,D19*$I$43/$I$4,$I$43+(D19-$I$4)*($E$46-$I$43)/($E$6-$I$4))-Input!$B$14*D19/$E$6*(1-D19/$E$6)*E$10/$E$4*(1-E$10/$E$4)</f>
        <v>1.0727979254814584</v>
      </c>
      <c r="E59" s="48">
        <f t="shared" si="2"/>
        <v>0.92324324324324314</v>
      </c>
      <c r="F59" s="47">
        <f>IF(F19&lt;$I$4,F19*$I$43/$I$4,$I$43+(F19-$I$4)*($E$46-$I$43)/($E$6-$I$4))-Input!$B$14*F19/$E$6*(1-F19/$E$6)*G$10/$E$4*(1-G$10/$E$4)</f>
        <v>1.0198276482806579</v>
      </c>
      <c r="G59" s="48">
        <f t="shared" si="3"/>
        <v>1.1956756756756755</v>
      </c>
      <c r="H59" s="47">
        <f>IF(H19&lt;$I$4,H19*$I$43/$I$4,$I$43+(H19-$I$4)*($E$46-$I$43)/($E$6-$I$4))-Input!$B$14*H19/$E$6*(1-H19/$E$6)*I$10/$E$4*(1-I$10/$E$4)</f>
        <v>0.97308916839759851</v>
      </c>
      <c r="I59" s="48">
        <f t="shared" si="4"/>
        <v>1.362162162162162</v>
      </c>
      <c r="J59" s="47">
        <f>IF(J19&lt;$I$4,J19*$I$43/$I$4,$I$43+(J19-$I$4)*($E$46-$I$43)/($E$6-$I$4))-Input!$B$14*J19/$E$6*(1-J19/$E$6)*K$10/$E$4*(1-K$10/$E$4)</f>
        <v>0.93258248583228043</v>
      </c>
      <c r="K59" s="48">
        <f t="shared" si="5"/>
        <v>1.4605405405405405</v>
      </c>
      <c r="L59" s="47">
        <f>IF(L19&lt;$I$4,L19*$I$43/$I$4,$I$43+(L19-$I$4)*($E$46-$I$43)/($E$6-$I$4))-Input!$B$14*L19/$E$6*(1-L19/$E$6)*M$10/$E$4*(1-M$10/$E$4)</f>
        <v>0.89830760058470371</v>
      </c>
      <c r="M59" s="48">
        <f t="shared" si="6"/>
        <v>1.5135135135135134</v>
      </c>
      <c r="N59" s="47">
        <f>IF(N19&lt;$I$4,N19*$I$43/$I$4,$I$43+(N19-$I$4)*($E$46-$I$43)/($E$6-$I$4))-Input!$B$14*N19/$E$6*(1-N19/$E$6)*O$10/$E$4*(1-O$10/$E$4)</f>
        <v>0.87026451265486815</v>
      </c>
      <c r="O59" s="48">
        <f t="shared" si="7"/>
        <v>1.5286486486486486</v>
      </c>
      <c r="P59" s="47">
        <f>IF(P19&lt;$I$4,P19*$I$43/$I$4,$I$43+(P19-$I$4)*($E$46-$I$43)/($E$6-$I$4))-Input!$B$14*P19/$E$6*(1-P19/$E$6)*Q$10/$E$4*(1-Q$10/$E$4)</f>
        <v>0.84845322204277385</v>
      </c>
      <c r="Q59" s="48">
        <f t="shared" si="8"/>
        <v>1.5286486486486486</v>
      </c>
      <c r="R59" s="47">
        <f>IF(R19&lt;$I$4,R19*$I$43/$I$4,$I$43+(R19-$I$4)*($E$46-$I$43)/($E$6-$I$4))-Input!$B$14*R19/$E$6*(1-R19/$E$6)*S$10/$E$4*(1-S$10/$E$4)</f>
        <v>0.83287372874842058</v>
      </c>
      <c r="S59" s="48">
        <f t="shared" si="9"/>
        <v>1.5286486486486486</v>
      </c>
      <c r="T59" s="47">
        <f>IF(T19&lt;$I$4,T19*$I$43/$I$4,$I$43+(T19-$I$4)*($E$46-$I$43)/($E$6-$I$4))-Input!$B$14*T19/$E$6*(1-T19/$E$6)*U$10/$E$4*(1-U$10/$E$4)</f>
        <v>0.8235260327718088</v>
      </c>
      <c r="U59" s="48">
        <f t="shared" si="10"/>
        <v>1.5286486486486486</v>
      </c>
      <c r="V59" s="47">
        <f>IF(V19&lt;$I$4,V19*$I$43/$I$4,$I$43+(V19-$I$4)*($E$46-$I$43)/($E$6-$I$4))-Input!$B$14*V19/$E$6*(1-V19/$E$6)*W$10/$E$4*(1-W$10/$E$4)</f>
        <v>0.82041013411293817</v>
      </c>
      <c r="W59" s="48">
        <f t="shared" si="11"/>
        <v>1.5286486486486486</v>
      </c>
      <c r="X59" s="47">
        <f>IF(X19&lt;$I$4,X19*$I$43/$I$4,$I$43+(X19-$I$4)*($E$46-$I$43)/($E$6-$I$4))-Input!$B$14*X19/$E$6*(1-X19/$E$6)*Y$10/$E$4*(1-Y$10/$E$4)</f>
        <v>0.8235260327718088</v>
      </c>
      <c r="Y59" s="48">
        <f t="shared" si="12"/>
        <v>1.5286486486486486</v>
      </c>
      <c r="Z59" s="47">
        <f>IF(Z19&lt;$I$4,Z19*$I$43/$I$4,$I$43+(Z19-$I$4)*($E$46-$I$43)/($E$6-$I$4))-Input!$B$14*Z19/$E$6*(1-Z19/$E$6)*AA$10/$E$4*(1-AA$10/$E$4)</f>
        <v>0.83287372874842069</v>
      </c>
      <c r="AA59" s="48">
        <f t="shared" si="13"/>
        <v>1.5286486486486486</v>
      </c>
      <c r="AB59" s="47">
        <f>IF(AB19&lt;$I$4,AB19*$I$43/$I$4,$I$43+(AB19-$I$4)*($E$46-$I$43)/($E$6-$I$4))-Input!$B$14*AB19/$E$6*(1-AB19/$E$6)*AC$10/$E$4*(1-AC$10/$E$4)</f>
        <v>0.84845322204277385</v>
      </c>
      <c r="AC59" s="48">
        <f t="shared" si="14"/>
        <v>1.5286486486486486</v>
      </c>
      <c r="AD59" s="47">
        <f>IF(AD19&lt;$I$4,AD19*$I$43/$I$4,$I$43+(AD19-$I$4)*($E$46-$I$43)/($E$6-$I$4))-Input!$B$14*AD19/$E$6*(1-AD19/$E$6)*AE$10/$E$4*(1-AE$10/$E$4)</f>
        <v>0.87026451265486804</v>
      </c>
      <c r="AE59" s="48">
        <f t="shared" si="15"/>
        <v>1.483243243243243</v>
      </c>
      <c r="AF59" s="47">
        <f>IF(AF19&lt;$I$4,AF19*$I$43/$I$4,$I$43+(AF19-$I$4)*($E$46-$I$43)/($E$6-$I$4))-Input!$B$14*AF19/$E$6*(1-AF19/$E$6)*AG$10/$E$4*(1-AG$10/$E$4)</f>
        <v>0.89830760058470371</v>
      </c>
      <c r="AG59" s="48">
        <f t="shared" si="16"/>
        <v>1.362162162162162</v>
      </c>
      <c r="AH59" s="47">
        <f>IF(AH19&lt;$I$4,AH19*$I$43/$I$4,$I$43+(AH19-$I$4)*($E$46-$I$43)/($E$6-$I$4))-Input!$B$14*AH19/$E$6*(1-AH19/$E$6)*AI$10/$E$4*(1-AI$10/$E$4)</f>
        <v>0.93258248583228043</v>
      </c>
      <c r="AI59" s="48">
        <f t="shared" si="17"/>
        <v>1.1351351351351349</v>
      </c>
      <c r="AJ59" s="47">
        <f>IF(AJ19&lt;$I$4,AJ19*$I$43/$I$4,$I$43+(AJ19-$I$4)*($E$46-$I$43)/($E$6-$I$4))-Input!$B$14*AJ19/$E$6*(1-AJ19/$E$6)*AK$10/$E$4*(1-AK$10/$E$4)</f>
        <v>0.97308916839759851</v>
      </c>
      <c r="AK59" s="48">
        <f t="shared" si="18"/>
        <v>0.81729729729729728</v>
      </c>
      <c r="AL59" s="47">
        <f>IF(AL19&lt;$I$4,AL19*$I$43/$I$4,$I$43+(AL19-$I$4)*($E$46-$I$43)/($E$6-$I$4))-Input!$B$14*AL19/$E$6*(1-AL19/$E$6)*AM$10/$E$4*(1-AM$10/$E$4)</f>
        <v>1.0198276482806576</v>
      </c>
      <c r="AM59" s="48">
        <f t="shared" si="19"/>
        <v>0.48432432432432426</v>
      </c>
      <c r="AN59" s="47">
        <f>IF(AN19&lt;$I$4,AN19*$I$43/$I$4,$I$43+(AN19-$I$4)*($E$46-$I$43)/($E$6-$I$4))-Input!$B$14*AN19/$E$6*(1-AN19/$E$6)*AO$10/$E$4*(1-AO$10/$E$4)</f>
        <v>1.0727979254814584</v>
      </c>
      <c r="AO59" s="48">
        <f t="shared" si="20"/>
        <v>0.19675675675675675</v>
      </c>
      <c r="AP59" s="47">
        <f>IF(AP19&lt;$I$4,AP19*$I$43/$I$4,$I$43+(AP19-$I$4)*($E$46-$I$43)/($E$6-$I$4))-Input!$B$14*AP19/$E$6*(1-AP19/$E$6)*AQ$10/$E$4*(1-AQ$10/$E$4)</f>
        <v>1.1320000000000001</v>
      </c>
      <c r="AQ59" s="48">
        <f t="shared" si="21"/>
        <v>0</v>
      </c>
    </row>
    <row r="60" spans="1:43" s="38" customFormat="1" x14ac:dyDescent="0.2">
      <c r="A60" s="39">
        <v>9</v>
      </c>
      <c r="B60" s="47">
        <f>IF(B20&lt;$I$4,B20*$I$43/$I$4,$I$43+(B20-$I$4)*($E$46-$I$43)/($E$6-$I$4))-Input!$B$14*B20/$E$6*(1-B20/$E$6)*C$10/$E$4*(1-C$10/$E$4)</f>
        <v>1.2556</v>
      </c>
      <c r="C60" s="48">
        <f t="shared" si="1"/>
        <v>0.76810810810810792</v>
      </c>
      <c r="D60" s="47">
        <f>IF(D20&lt;$I$4,D20*$I$43/$I$4,$I$43+(D20-$I$4)*($E$46-$I$43)/($E$6-$I$4))-Input!$B$14*D20/$E$6*(1-D20/$E$6)*E$10/$E$4*(1-E$10/$E$4)</f>
        <v>1.201472389011619</v>
      </c>
      <c r="E60" s="48">
        <f t="shared" si="2"/>
        <v>1.1199999999999999</v>
      </c>
      <c r="F60" s="47">
        <f>IF(F20&lt;$I$4,F20*$I$43/$I$4,$I$43+(F20-$I$4)*($E$46-$I$43)/($E$6-$I$4))-Input!$B$14*F20/$E$6*(1-F20/$E$6)*G$10/$E$4*(1-G$10/$E$4)</f>
        <v>1.1530424212851729</v>
      </c>
      <c r="G60" s="48">
        <f t="shared" si="3"/>
        <v>1.347027027027027</v>
      </c>
      <c r="H60" s="47">
        <f>IF(H20&lt;$I$4,H20*$I$43/$I$4,$I$43+(H20-$I$4)*($E$46-$I$43)/($E$6-$I$4))-Input!$B$14*H20/$E$6*(1-H20/$E$6)*I$10/$E$4*(1-I$10/$E$4)</f>
        <v>1.1103100968206614</v>
      </c>
      <c r="I60" s="48">
        <f t="shared" si="4"/>
        <v>1.4756756756756757</v>
      </c>
      <c r="J60" s="47">
        <f>IF(J20&lt;$I$4,J20*$I$43/$I$4,$I$43+(J20-$I$4)*($E$46-$I$43)/($E$6-$I$4))-Input!$B$14*J20/$E$6*(1-J20/$E$6)*K$10/$E$4*(1-K$10/$E$4)</f>
        <v>1.0732754156180848</v>
      </c>
      <c r="K60" s="48">
        <f t="shared" si="5"/>
        <v>1.551351351351351</v>
      </c>
      <c r="L60" s="47">
        <f>IF(L20&lt;$I$4,L20*$I$43/$I$4,$I$43+(L20-$I$4)*($E$46-$I$43)/($E$6-$I$4))-Input!$B$14*L20/$E$6*(1-L20/$E$6)*M$10/$E$4*(1-M$10/$E$4)</f>
        <v>1.0419383776774431</v>
      </c>
      <c r="M60" s="48">
        <f t="shared" si="6"/>
        <v>1.5891891891891892</v>
      </c>
      <c r="N60" s="47">
        <f>IF(N20&lt;$I$4,N20*$I$43/$I$4,$I$43+(N20-$I$4)*($E$46-$I$43)/($E$6-$I$4))-Input!$B$14*N20/$E$6*(1-N20/$E$6)*O$10/$E$4*(1-O$10/$E$4)</f>
        <v>1.0162989829987366</v>
      </c>
      <c r="O60" s="48">
        <f t="shared" si="7"/>
        <v>1.6118918918918916</v>
      </c>
      <c r="P60" s="47">
        <f>IF(P20&lt;$I$4,P20*$I$43/$I$4,$I$43+(P20-$I$4)*($E$46-$I$43)/($E$6-$I$4))-Input!$B$14*P20/$E$6*(1-P20/$E$6)*Q$10/$E$4*(1-Q$10/$E$4)</f>
        <v>0.99635723158196443</v>
      </c>
      <c r="Q60" s="48">
        <f t="shared" si="8"/>
        <v>1.6118918918918916</v>
      </c>
      <c r="R60" s="47">
        <f>IF(R20&lt;$I$4,R20*$I$43/$I$4,$I$43+(R20-$I$4)*($E$46-$I$43)/($E$6-$I$4))-Input!$B$14*R20/$E$6*(1-R20/$E$6)*S$10/$E$4*(1-S$10/$E$4)</f>
        <v>0.98211312342712731</v>
      </c>
      <c r="S60" s="48">
        <f t="shared" si="9"/>
        <v>1.6118918918918916</v>
      </c>
      <c r="T60" s="47">
        <f>IF(T20&lt;$I$4,T20*$I$43/$I$4,$I$43+(T20-$I$4)*($E$46-$I$43)/($E$6-$I$4))-Input!$B$14*T20/$E$6*(1-T20/$E$6)*U$10/$E$4*(1-U$10/$E$4)</f>
        <v>0.97356665853422508</v>
      </c>
      <c r="U60" s="48">
        <f t="shared" si="10"/>
        <v>1.6118918918918916</v>
      </c>
      <c r="V60" s="47">
        <f>IF(V20&lt;$I$4,V20*$I$43/$I$4,$I$43+(V20-$I$4)*($E$46-$I$43)/($E$6-$I$4))-Input!$B$14*V20/$E$6*(1-V20/$E$6)*W$10/$E$4*(1-W$10/$E$4)</f>
        <v>0.97071783690325764</v>
      </c>
      <c r="W60" s="48">
        <f t="shared" si="11"/>
        <v>1.6118918918918916</v>
      </c>
      <c r="X60" s="47">
        <f>IF(X20&lt;$I$4,X20*$I$43/$I$4,$I$43+(X20-$I$4)*($E$46-$I$43)/($E$6-$I$4))-Input!$B$14*X20/$E$6*(1-X20/$E$6)*Y$10/$E$4*(1-Y$10/$E$4)</f>
        <v>0.97356665853422508</v>
      </c>
      <c r="Y60" s="48">
        <f t="shared" si="12"/>
        <v>1.6118918918918916</v>
      </c>
      <c r="Z60" s="47">
        <f>IF(Z20&lt;$I$4,Z20*$I$43/$I$4,$I$43+(Z20-$I$4)*($E$46-$I$43)/($E$6-$I$4))-Input!$B$14*Z20/$E$6*(1-Z20/$E$6)*AA$10/$E$4*(1-AA$10/$E$4)</f>
        <v>0.98211312342712731</v>
      </c>
      <c r="AA60" s="48">
        <f t="shared" si="13"/>
        <v>1.6118918918918916</v>
      </c>
      <c r="AB60" s="47">
        <f>IF(AB20&lt;$I$4,AB20*$I$43/$I$4,$I$43+(AB20-$I$4)*($E$46-$I$43)/($E$6-$I$4))-Input!$B$14*AB20/$E$6*(1-AB20/$E$6)*AC$10/$E$4*(1-AC$10/$E$4)</f>
        <v>0.99635723158196443</v>
      </c>
      <c r="AC60" s="48">
        <f t="shared" si="14"/>
        <v>1.6118918918918916</v>
      </c>
      <c r="AD60" s="47">
        <f>IF(AD20&lt;$I$4,AD20*$I$43/$I$4,$I$43+(AD20-$I$4)*($E$46-$I$43)/($E$6-$I$4))-Input!$B$14*AD20/$E$6*(1-AD20/$E$6)*AE$10/$E$4*(1-AE$10/$E$4)</f>
        <v>1.0162989829987363</v>
      </c>
      <c r="AE60" s="48">
        <f t="shared" si="15"/>
        <v>1.5589189189189188</v>
      </c>
      <c r="AF60" s="47">
        <f>IF(AF20&lt;$I$4,AF20*$I$43/$I$4,$I$43+(AF20-$I$4)*($E$46-$I$43)/($E$6-$I$4))-Input!$B$14*AF20/$E$6*(1-AF20/$E$6)*AG$10/$E$4*(1-AG$10/$E$4)</f>
        <v>1.0419383776774434</v>
      </c>
      <c r="AG60" s="48">
        <f t="shared" si="16"/>
        <v>1.4378378378378376</v>
      </c>
      <c r="AH60" s="47">
        <f>IF(AH20&lt;$I$4,AH20*$I$43/$I$4,$I$43+(AH20-$I$4)*($E$46-$I$43)/($E$6-$I$4))-Input!$B$14*AH20/$E$6*(1-AH20/$E$6)*AI$10/$E$4*(1-AI$10/$E$4)</f>
        <v>1.0732754156180848</v>
      </c>
      <c r="AI60" s="48">
        <f t="shared" si="17"/>
        <v>1.2108108108108107</v>
      </c>
      <c r="AJ60" s="47">
        <f>IF(AJ20&lt;$I$4,AJ20*$I$43/$I$4,$I$43+(AJ20-$I$4)*($E$46-$I$43)/($E$6-$I$4))-Input!$B$14*AJ20/$E$6*(1-AJ20/$E$6)*AK$10/$E$4*(1-AK$10/$E$4)</f>
        <v>1.1103100968206614</v>
      </c>
      <c r="AK60" s="48">
        <f t="shared" si="18"/>
        <v>0.87783783783783775</v>
      </c>
      <c r="AL60" s="47">
        <f>IF(AL20&lt;$I$4,AL20*$I$43/$I$4,$I$43+(AL20-$I$4)*($E$46-$I$43)/($E$6-$I$4))-Input!$B$14*AL20/$E$6*(1-AL20/$E$6)*AM$10/$E$4*(1-AM$10/$E$4)</f>
        <v>1.1530424212851726</v>
      </c>
      <c r="AM60" s="48">
        <f t="shared" si="19"/>
        <v>0.47675675675675666</v>
      </c>
      <c r="AN60" s="47">
        <f>IF(AN20&lt;$I$4,AN20*$I$43/$I$4,$I$43+(AN20-$I$4)*($E$46-$I$43)/($E$6-$I$4))-Input!$B$14*AN20/$E$6*(1-AN20/$E$6)*AO$10/$E$4*(1-AO$10/$E$4)</f>
        <v>1.201472389011619</v>
      </c>
      <c r="AO60" s="48">
        <f t="shared" si="20"/>
        <v>0.17405405405405405</v>
      </c>
      <c r="AP60" s="47">
        <f>IF(AP20&lt;$I$4,AP20*$I$43/$I$4,$I$43+(AP20-$I$4)*($E$46-$I$43)/($E$6-$I$4))-Input!$B$14*AP20/$E$6*(1-AP20/$E$6)*AQ$10/$E$4*(1-AQ$10/$E$4)</f>
        <v>1.2556</v>
      </c>
      <c r="AQ60" s="48">
        <f t="shared" si="21"/>
        <v>0</v>
      </c>
    </row>
    <row r="61" spans="1:43" s="38" customFormat="1" x14ac:dyDescent="0.2">
      <c r="A61" s="39">
        <v>10</v>
      </c>
      <c r="B61" s="47">
        <f>IF(B21&lt;$I$4,B21*$I$43/$I$4,$I$43+(B21-$I$4)*($E$46-$I$43)/($E$6-$I$4))-Input!$B$14*B21/$E$6*(1-B21/$E$6)*C$10/$E$4*(1-C$10/$E$4)</f>
        <v>1.3792</v>
      </c>
      <c r="C61" s="48">
        <f t="shared" si="1"/>
        <v>0.93081081081081074</v>
      </c>
      <c r="D61" s="47">
        <f>IF(D21&lt;$I$4,D21*$I$43/$I$4,$I$43+(D21-$I$4)*($E$46-$I$43)/($E$6-$I$4))-Input!$B$14*D21/$E$6*(1-D21/$E$6)*E$10/$E$4*(1-E$10/$E$4)</f>
        <v>1.3335298282285535</v>
      </c>
      <c r="E61" s="48">
        <f t="shared" si="2"/>
        <v>1.2637837837837835</v>
      </c>
      <c r="F61" s="47">
        <f>IF(F21&lt;$I$4,F21*$I$43/$I$4,$I$43+(F21-$I$4)*($E$46-$I$43)/($E$6-$I$4))-Input!$B$14*F21/$E$6*(1-F21/$E$6)*G$10/$E$4*(1-G$10/$E$4)</f>
        <v>1.2926670429593645</v>
      </c>
      <c r="G61" s="48">
        <f t="shared" si="3"/>
        <v>1.4529729729729728</v>
      </c>
      <c r="H61" s="47">
        <f>IF(H21&lt;$I$4,H21*$I$43/$I$4,$I$43+(H21-$I$4)*($E$46-$I$43)/($E$6-$I$4))-Input!$B$14*H21/$E$6*(1-H21/$E$6)*I$10/$E$4*(1-I$10/$E$4)</f>
        <v>1.2566116441924331</v>
      </c>
      <c r="I61" s="48">
        <f t="shared" si="4"/>
        <v>1.5589189189189188</v>
      </c>
      <c r="J61" s="47">
        <f>IF(J21&lt;$I$4,J21*$I$43/$I$4,$I$43+(J21-$I$4)*($E$46-$I$43)/($E$6-$I$4))-Input!$B$14*J21/$E$6*(1-J21/$E$6)*K$10/$E$4*(1-K$10/$E$4)</f>
        <v>1.2253636319277592</v>
      </c>
      <c r="K61" s="48">
        <f t="shared" si="5"/>
        <v>1.6194594594594593</v>
      </c>
      <c r="L61" s="47">
        <f>IF(L21&lt;$I$4,L21*$I$43/$I$4,$I$43+(L21-$I$4)*($E$46-$I$43)/($E$6-$I$4))-Input!$B$14*L21/$E$6*(1-L21/$E$6)*M$10/$E$4*(1-M$10/$E$4)</f>
        <v>1.1989230061653426</v>
      </c>
      <c r="M61" s="48">
        <f t="shared" si="6"/>
        <v>1.6497297297297298</v>
      </c>
      <c r="N61" s="47">
        <f>IF(N21&lt;$I$4,N21*$I$43/$I$4,$I$43+(N21-$I$4)*($E$46-$I$43)/($E$6-$I$4))-Input!$B$14*N21/$E$6*(1-N21/$E$6)*O$10/$E$4*(1-O$10/$E$4)</f>
        <v>1.1772897669051838</v>
      </c>
      <c r="O61" s="48">
        <f t="shared" si="7"/>
        <v>1.6610810810810808</v>
      </c>
      <c r="P61" s="47">
        <f>IF(P21&lt;$I$4,P21*$I$43/$I$4,$I$43+(P21-$I$4)*($E$46-$I$43)/($E$6-$I$4))-Input!$B$14*P21/$E$6*(1-P21/$E$6)*Q$10/$E$4*(1-Q$10/$E$4)</f>
        <v>1.1604639141472826</v>
      </c>
      <c r="Q61" s="48">
        <f t="shared" si="8"/>
        <v>1.6610810810810808</v>
      </c>
      <c r="R61" s="47">
        <f>IF(R21&lt;$I$4,R21*$I$43/$I$4,$I$43+(R21-$I$4)*($E$46-$I$43)/($E$6-$I$4))-Input!$B$14*R21/$E$6*(1-R21/$E$6)*S$10/$E$4*(1-S$10/$E$4)</f>
        <v>1.1484454478916386</v>
      </c>
      <c r="S61" s="48">
        <f t="shared" si="9"/>
        <v>1.6610810810810808</v>
      </c>
      <c r="T61" s="47">
        <f>IF(T21&lt;$I$4,T21*$I$43/$I$4,$I$43+(T21-$I$4)*($E$46-$I$43)/($E$6-$I$4))-Input!$B$14*T21/$E$6*(1-T21/$E$6)*U$10/$E$4*(1-U$10/$E$4)</f>
        <v>1.1412343681382524</v>
      </c>
      <c r="U61" s="48">
        <f t="shared" si="10"/>
        <v>1.6610810810810808</v>
      </c>
      <c r="V61" s="47">
        <f>IF(V21&lt;$I$4,V21*$I$43/$I$4,$I$43+(V21-$I$4)*($E$46-$I$43)/($E$6-$I$4))-Input!$B$14*V21/$E$6*(1-V21/$E$6)*W$10/$E$4*(1-W$10/$E$4)</f>
        <v>1.1388306748871235</v>
      </c>
      <c r="W61" s="48">
        <f t="shared" si="11"/>
        <v>1.6610810810810808</v>
      </c>
      <c r="X61" s="47">
        <f>IF(X21&lt;$I$4,X21*$I$43/$I$4,$I$43+(X21-$I$4)*($E$46-$I$43)/($E$6-$I$4))-Input!$B$14*X21/$E$6*(1-X21/$E$6)*Y$10/$E$4*(1-Y$10/$E$4)</f>
        <v>1.1412343681382524</v>
      </c>
      <c r="Y61" s="48">
        <f t="shared" si="12"/>
        <v>1.6610810810810808</v>
      </c>
      <c r="Z61" s="47">
        <f>IF(Z21&lt;$I$4,Z21*$I$43/$I$4,$I$43+(Z21-$I$4)*($E$46-$I$43)/($E$6-$I$4))-Input!$B$14*Z21/$E$6*(1-Z21/$E$6)*AA$10/$E$4*(1-AA$10/$E$4)</f>
        <v>1.1484454478916386</v>
      </c>
      <c r="AA61" s="48">
        <f t="shared" si="13"/>
        <v>1.6610810810810808</v>
      </c>
      <c r="AB61" s="47">
        <f>IF(AB21&lt;$I$4,AB21*$I$43/$I$4,$I$43+(AB21-$I$4)*($E$46-$I$43)/($E$6-$I$4))-Input!$B$14*AB21/$E$6*(1-AB21/$E$6)*AC$10/$E$4*(1-AC$10/$E$4)</f>
        <v>1.1604639141472826</v>
      </c>
      <c r="AC61" s="48">
        <f t="shared" si="14"/>
        <v>1.6610810810810808</v>
      </c>
      <c r="AD61" s="47">
        <f>IF(AD21&lt;$I$4,AD21*$I$43/$I$4,$I$43+(AD21-$I$4)*($E$46-$I$43)/($E$6-$I$4))-Input!$B$14*AD21/$E$6*(1-AD21/$E$6)*AE$10/$E$4*(1-AE$10/$E$4)</f>
        <v>1.1772897669051838</v>
      </c>
      <c r="AE61" s="48">
        <f t="shared" si="15"/>
        <v>1.6118918918918916</v>
      </c>
      <c r="AF61" s="47">
        <f>IF(AF21&lt;$I$4,AF21*$I$43/$I$4,$I$43+(AF21-$I$4)*($E$46-$I$43)/($E$6-$I$4))-Input!$B$14*AF21/$E$6*(1-AF21/$E$6)*AG$10/$E$4*(1-AG$10/$E$4)</f>
        <v>1.1989230061653426</v>
      </c>
      <c r="AG61" s="48">
        <f t="shared" si="16"/>
        <v>1.4983783783783782</v>
      </c>
      <c r="AH61" s="47">
        <f>IF(AH21&lt;$I$4,AH21*$I$43/$I$4,$I$43+(AH21-$I$4)*($E$46-$I$43)/($E$6-$I$4))-Input!$B$14*AH21/$E$6*(1-AH21/$E$6)*AI$10/$E$4*(1-AI$10/$E$4)</f>
        <v>1.2253636319277592</v>
      </c>
      <c r="AI61" s="48">
        <f t="shared" si="17"/>
        <v>1.256216216216216</v>
      </c>
      <c r="AJ61" s="47">
        <f>IF(AJ21&lt;$I$4,AJ21*$I$43/$I$4,$I$43+(AJ21-$I$4)*($E$46-$I$43)/($E$6-$I$4))-Input!$B$14*AJ21/$E$6*(1-AJ21/$E$6)*AK$10/$E$4*(1-AK$10/$E$4)</f>
        <v>1.2566116441924331</v>
      </c>
      <c r="AK61" s="48">
        <f t="shared" si="18"/>
        <v>0.91567567567567565</v>
      </c>
      <c r="AL61" s="47">
        <f>IF(AL21&lt;$I$4,AL21*$I$43/$I$4,$I$43+(AL21-$I$4)*($E$46-$I$43)/($E$6-$I$4))-Input!$B$14*AL21/$E$6*(1-AL21/$E$6)*AM$10/$E$4*(1-AM$10/$E$4)</f>
        <v>1.2926670429593645</v>
      </c>
      <c r="AM61" s="48">
        <f t="shared" si="19"/>
        <v>0.49189189189189181</v>
      </c>
      <c r="AN61" s="47">
        <f>IF(AN21&lt;$I$4,AN21*$I$43/$I$4,$I$43+(AN21-$I$4)*($E$46-$I$43)/($E$6-$I$4))-Input!$B$14*AN21/$E$6*(1-AN21/$E$6)*AO$10/$E$4*(1-AO$10/$E$4)</f>
        <v>1.3335298282285535</v>
      </c>
      <c r="AO61" s="48">
        <f t="shared" si="20"/>
        <v>0.15891891891891891</v>
      </c>
      <c r="AP61" s="47">
        <f>IF(AP21&lt;$I$4,AP21*$I$43/$I$4,$I$43+(AP21-$I$4)*($E$46-$I$43)/($E$6-$I$4))-Input!$B$14*AP21/$E$6*(1-AP21/$E$6)*AQ$10/$E$4*(1-AQ$10/$E$4)</f>
        <v>1.3792</v>
      </c>
      <c r="AQ61" s="48">
        <f t="shared" si="21"/>
        <v>0</v>
      </c>
    </row>
    <row r="62" spans="1:43" s="38" customFormat="1" x14ac:dyDescent="0.2">
      <c r="A62" s="39">
        <v>11</v>
      </c>
      <c r="B62" s="47">
        <f>IF(B22&lt;$I$4,B22*$I$43/$I$4,$I$43+(B22-$I$4)*($E$46-$I$43)/($E$6-$I$4))-Input!$B$14*B22/$E$6*(1-B22/$E$6)*C$10/$E$4*(1-C$10/$E$4)</f>
        <v>1.5027999999999999</v>
      </c>
      <c r="C62" s="48">
        <f t="shared" si="1"/>
        <v>1.0367567567567566</v>
      </c>
      <c r="D62" s="47">
        <f>IF(D22&lt;$I$4,D22*$I$43/$I$4,$I$43+(D22-$I$4)*($E$46-$I$43)/($E$6-$I$4))-Input!$B$14*D22/$E$6*(1-D22/$E$6)*E$10/$E$4*(1-E$10/$E$4)</f>
        <v>1.4689702431322618</v>
      </c>
      <c r="E62" s="48">
        <f t="shared" si="2"/>
        <v>1.347027027027027</v>
      </c>
      <c r="F62" s="47">
        <f>IF(F22&lt;$I$4,F22*$I$43/$I$4,$I$43+(F22-$I$4)*($E$46-$I$43)/($E$6-$I$4))-Input!$B$14*F22/$E$6*(1-F22/$E$6)*G$10/$E$4*(1-G$10/$E$4)</f>
        <v>1.4387015133032328</v>
      </c>
      <c r="G62" s="48">
        <f t="shared" si="3"/>
        <v>1.5286486486486486</v>
      </c>
      <c r="H62" s="47">
        <f>IF(H22&lt;$I$4,H22*$I$43/$I$4,$I$43+(H22-$I$4)*($E$46-$I$43)/($E$6-$I$4))-Input!$B$14*H22/$E$6*(1-H22/$E$6)*I$10/$E$4*(1-I$10/$E$4)</f>
        <v>1.4119938105129133</v>
      </c>
      <c r="I62" s="48">
        <f t="shared" si="4"/>
        <v>1.6194594594594593</v>
      </c>
      <c r="J62" s="47">
        <f>IF(J22&lt;$I$4,J22*$I$43/$I$4,$I$43+(J22-$I$4)*($E$46-$I$43)/($E$6-$I$4))-Input!$B$14*J22/$E$6*(1-J22/$E$6)*K$10/$E$4*(1-K$10/$E$4)</f>
        <v>1.3888471347613029</v>
      </c>
      <c r="K62" s="48">
        <f t="shared" si="5"/>
        <v>1.6648648648648647</v>
      </c>
      <c r="L62" s="47">
        <f>IF(L22&lt;$I$4,L22*$I$43/$I$4,$I$43+(L22-$I$4)*($E$46-$I$43)/($E$6-$I$4))-Input!$B$14*L22/$E$6*(1-L22/$E$6)*M$10/$E$4*(1-M$10/$E$4)</f>
        <v>1.3692614860484018</v>
      </c>
      <c r="M62" s="48">
        <f t="shared" si="6"/>
        <v>1.6875675675675674</v>
      </c>
      <c r="N62" s="47">
        <f>IF(N22&lt;$I$4,N22*$I$43/$I$4,$I$43+(N22-$I$4)*($E$46-$I$43)/($E$6-$I$4))-Input!$B$14*N22/$E$6*(1-N22/$E$6)*O$10/$E$4*(1-O$10/$E$4)</f>
        <v>1.3532368643742101</v>
      </c>
      <c r="O62" s="48">
        <f t="shared" si="7"/>
        <v>1.6951351351351351</v>
      </c>
      <c r="P62" s="47">
        <f>IF(P22&lt;$I$4,P22*$I$43/$I$4,$I$43+(P22-$I$4)*($E$46-$I$43)/($E$6-$I$4))-Input!$B$14*P22/$E$6*(1-P22/$E$6)*Q$10/$E$4*(1-Q$10/$E$4)</f>
        <v>1.3407732697387276</v>
      </c>
      <c r="Q62" s="48">
        <f t="shared" si="8"/>
        <v>1.6951351351351351</v>
      </c>
      <c r="R62" s="47">
        <f>IF(R22&lt;$I$4,R22*$I$43/$I$4,$I$43+(R22-$I$4)*($E$46-$I$43)/($E$6-$I$4))-Input!$B$14*R22/$E$6*(1-R22/$E$6)*S$10/$E$4*(1-S$10/$E$4)</f>
        <v>1.3318707021419545</v>
      </c>
      <c r="S62" s="48">
        <f t="shared" si="9"/>
        <v>1.6951351351351351</v>
      </c>
      <c r="T62" s="47">
        <f>IF(T22&lt;$I$4,T22*$I$43/$I$4,$I$43+(T22-$I$4)*($E$46-$I$43)/($E$6-$I$4))-Input!$B$14*T22/$E$6*(1-T22/$E$6)*U$10/$E$4*(1-U$10/$E$4)</f>
        <v>1.3265291615838906</v>
      </c>
      <c r="U62" s="48">
        <f t="shared" si="10"/>
        <v>1.6951351351351351</v>
      </c>
      <c r="V62" s="47">
        <f>IF(V22&lt;$I$4,V22*$I$43/$I$4,$I$43+(V22-$I$4)*($E$46-$I$43)/($E$6-$I$4))-Input!$B$14*V22/$E$6*(1-V22/$E$6)*W$10/$E$4*(1-W$10/$E$4)</f>
        <v>1.3247486480645358</v>
      </c>
      <c r="W62" s="48">
        <f t="shared" si="11"/>
        <v>1.6951351351351351</v>
      </c>
      <c r="X62" s="47">
        <f>IF(X22&lt;$I$4,X22*$I$43/$I$4,$I$43+(X22-$I$4)*($E$46-$I$43)/($E$6-$I$4))-Input!$B$14*X22/$E$6*(1-X22/$E$6)*Y$10/$E$4*(1-Y$10/$E$4)</f>
        <v>1.3265291615838906</v>
      </c>
      <c r="Y62" s="48">
        <f t="shared" si="12"/>
        <v>1.6951351351351351</v>
      </c>
      <c r="Z62" s="47">
        <f>IF(Z22&lt;$I$4,Z22*$I$43/$I$4,$I$43+(Z22-$I$4)*($E$46-$I$43)/($E$6-$I$4))-Input!$B$14*Z22/$E$6*(1-Z22/$E$6)*AA$10/$E$4*(1-AA$10/$E$4)</f>
        <v>1.3318707021419545</v>
      </c>
      <c r="AA62" s="48">
        <f t="shared" si="13"/>
        <v>1.6951351351351351</v>
      </c>
      <c r="AB62" s="47">
        <f>IF(AB22&lt;$I$4,AB22*$I$43/$I$4,$I$43+(AB22-$I$4)*($E$46-$I$43)/($E$6-$I$4))-Input!$B$14*AB22/$E$6*(1-AB22/$E$6)*AC$10/$E$4*(1-AC$10/$E$4)</f>
        <v>1.3407732697387276</v>
      </c>
      <c r="AC62" s="48">
        <f t="shared" si="14"/>
        <v>1.6951351351351351</v>
      </c>
      <c r="AD62" s="47">
        <f>IF(AD22&lt;$I$4,AD22*$I$43/$I$4,$I$43+(AD22-$I$4)*($E$46-$I$43)/($E$6-$I$4))-Input!$B$14*AD22/$E$6*(1-AD22/$E$6)*AE$10/$E$4*(1-AE$10/$E$4)</f>
        <v>1.3532368643742101</v>
      </c>
      <c r="AE62" s="48">
        <f t="shared" si="15"/>
        <v>1.642162162162162</v>
      </c>
      <c r="AF62" s="47">
        <f>IF(AF22&lt;$I$4,AF22*$I$43/$I$4,$I$43+(AF22-$I$4)*($E$46-$I$43)/($E$6-$I$4))-Input!$B$14*AF22/$E$6*(1-AF22/$E$6)*AG$10/$E$4*(1-AG$10/$E$4)</f>
        <v>1.3692614860484018</v>
      </c>
      <c r="AG62" s="48">
        <f t="shared" si="16"/>
        <v>1.5286486486486486</v>
      </c>
      <c r="AH62" s="47">
        <f>IF(AH22&lt;$I$4,AH22*$I$43/$I$4,$I$43+(AH22-$I$4)*($E$46-$I$43)/($E$6-$I$4))-Input!$B$14*AH22/$E$6*(1-AH22/$E$6)*AI$10/$E$4*(1-AI$10/$E$4)</f>
        <v>1.3888471347613029</v>
      </c>
      <c r="AI62" s="48">
        <f t="shared" si="17"/>
        <v>1.2940540540540537</v>
      </c>
      <c r="AJ62" s="47">
        <f>IF(AJ22&lt;$I$4,AJ22*$I$43/$I$4,$I$43+(AJ22-$I$4)*($E$46-$I$43)/($E$6-$I$4))-Input!$B$14*AJ22/$E$6*(1-AJ22/$E$6)*AK$10/$E$4*(1-AK$10/$E$4)</f>
        <v>1.4119938105129133</v>
      </c>
      <c r="AK62" s="48">
        <f t="shared" si="18"/>
        <v>0.94594594594594594</v>
      </c>
      <c r="AL62" s="47">
        <f>IF(AL22&lt;$I$4,AL22*$I$43/$I$4,$I$43+(AL22-$I$4)*($E$46-$I$43)/($E$6-$I$4))-Input!$B$14*AL22/$E$6*(1-AL22/$E$6)*AM$10/$E$4*(1-AM$10/$E$4)</f>
        <v>1.4387015133032328</v>
      </c>
      <c r="AM62" s="48">
        <f t="shared" si="19"/>
        <v>0.49945945945945941</v>
      </c>
      <c r="AN62" s="47">
        <f>IF(AN22&lt;$I$4,AN22*$I$43/$I$4,$I$43+(AN22-$I$4)*($E$46-$I$43)/($E$6-$I$4))-Input!$B$14*AN22/$E$6*(1-AN22/$E$6)*AO$10/$E$4*(1-AO$10/$E$4)</f>
        <v>1.4689702431322618</v>
      </c>
      <c r="AO62" s="48">
        <f t="shared" si="20"/>
        <v>0.13621621621621621</v>
      </c>
      <c r="AP62" s="47">
        <f>IF(AP22&lt;$I$4,AP22*$I$43/$I$4,$I$43+(AP22-$I$4)*($E$46-$I$43)/($E$6-$I$4))-Input!$B$14*AP22/$E$6*(1-AP22/$E$6)*AQ$10/$E$4*(1-AQ$10/$E$4)</f>
        <v>1.5027999999999999</v>
      </c>
      <c r="AQ62" s="48">
        <f t="shared" si="21"/>
        <v>0</v>
      </c>
    </row>
    <row r="63" spans="1:43" s="38" customFormat="1" x14ac:dyDescent="0.2">
      <c r="A63" s="39">
        <v>12</v>
      </c>
      <c r="B63" s="47">
        <f>IF(B23&lt;$I$4,B23*$I$43/$I$4,$I$43+(B23-$I$4)*($E$46-$I$43)/($E$6-$I$4))-Input!$B$14*B23/$E$6*(1-B23/$E$6)*C$10/$E$4*(1-C$10/$E$4)</f>
        <v>1.6263999999999998</v>
      </c>
      <c r="C63" s="48">
        <f t="shared" si="1"/>
        <v>1.1199999999999999</v>
      </c>
      <c r="D63" s="47">
        <f>IF(D23&lt;$I$4,D23*$I$43/$I$4,$I$43+(D23-$I$4)*($E$46-$I$43)/($E$6-$I$4))-Input!$B$14*D23/$E$6*(1-D23/$E$6)*E$10/$E$4*(1-E$10/$E$4)</f>
        <v>1.6077936337227439</v>
      </c>
      <c r="E63" s="48">
        <f t="shared" si="2"/>
        <v>1.4151351351351351</v>
      </c>
      <c r="F63" s="47">
        <f>IF(F23&lt;$I$4,F23*$I$43/$I$4,$I$43+(F23-$I$4)*($E$46-$I$43)/($E$6-$I$4))-Input!$B$14*F23/$E$6*(1-F23/$E$6)*G$10/$E$4*(1-G$10/$E$4)</f>
        <v>1.591145832316778</v>
      </c>
      <c r="G63" s="48">
        <f t="shared" si="3"/>
        <v>1.5891891891891892</v>
      </c>
      <c r="H63" s="47">
        <f>IF(H23&lt;$I$4,H23*$I$43/$I$4,$I$43+(H23-$I$4)*($E$46-$I$43)/($E$6-$I$4))-Input!$B$14*H23/$E$6*(1-H23/$E$6)*I$10/$E$4*(1-I$10/$E$4)</f>
        <v>1.5764565957821022</v>
      </c>
      <c r="I63" s="48">
        <f t="shared" si="4"/>
        <v>1.657297297297297</v>
      </c>
      <c r="J63" s="47">
        <f>IF(J23&lt;$I$4,J23*$I$43/$I$4,$I$43+(J23-$I$4)*($E$46-$I$43)/($E$6-$I$4))-Input!$B$14*J23/$E$6*(1-J23/$E$6)*K$10/$E$4*(1-K$10/$E$4)</f>
        <v>1.5637259241187165</v>
      </c>
      <c r="K63" s="48">
        <f t="shared" si="5"/>
        <v>1.6951351351351351</v>
      </c>
      <c r="L63" s="47">
        <f>IF(L23&lt;$I$4,L23*$I$43/$I$4,$I$43+(L23-$I$4)*($E$46-$I$43)/($E$6-$I$4))-Input!$B$14*L23/$E$6*(1-L23/$E$6)*M$10/$E$4*(1-M$10/$E$4)</f>
        <v>1.5529538173266209</v>
      </c>
      <c r="M63" s="48">
        <f t="shared" si="6"/>
        <v>1.6989189189189187</v>
      </c>
      <c r="N63" s="47">
        <f>IF(N23&lt;$I$4,N23*$I$43/$I$4,$I$43+(N23-$I$4)*($E$46-$I$43)/($E$6-$I$4))-Input!$B$14*N23/$E$6*(1-N23/$E$6)*O$10/$E$4*(1-O$10/$E$4)</f>
        <v>1.5441402754058156</v>
      </c>
      <c r="O63" s="48">
        <f t="shared" si="7"/>
        <v>1.7027027027027026</v>
      </c>
      <c r="P63" s="47">
        <f>IF(P23&lt;$I$4,P23*$I$43/$I$4,$I$43+(P23-$I$4)*($E$46-$I$43)/($E$6-$I$4))-Input!$B$14*P23/$E$6*(1-P23/$E$6)*Q$10/$E$4*(1-Q$10/$E$4)</f>
        <v>1.5372852983563001</v>
      </c>
      <c r="Q63" s="48">
        <f t="shared" si="8"/>
        <v>1.7027027027027026</v>
      </c>
      <c r="R63" s="47">
        <f>IF(R23&lt;$I$4,R23*$I$43/$I$4,$I$43+(R23-$I$4)*($E$46-$I$43)/($E$6-$I$4))-Input!$B$14*R23/$E$6*(1-R23/$E$6)*S$10/$E$4*(1-S$10/$E$4)</f>
        <v>1.5323888861780748</v>
      </c>
      <c r="S63" s="48">
        <f t="shared" si="9"/>
        <v>1.7027027027027026</v>
      </c>
      <c r="T63" s="47">
        <f>IF(T23&lt;$I$4,T23*$I$43/$I$4,$I$43+(T23-$I$4)*($E$46-$I$43)/($E$6-$I$4))-Input!$B$14*T23/$E$6*(1-T23/$E$6)*U$10/$E$4*(1-U$10/$E$4)</f>
        <v>1.5294510388711398</v>
      </c>
      <c r="U63" s="48">
        <f t="shared" si="10"/>
        <v>1.7027027027027026</v>
      </c>
      <c r="V63" s="47">
        <f>IF(V23&lt;$I$4,V23*$I$43/$I$4,$I$43+(V23-$I$4)*($E$46-$I$43)/($E$6-$I$4))-Input!$B$14*V23/$E$6*(1-V23/$E$6)*W$10/$E$4*(1-W$10/$E$4)</f>
        <v>1.5284717564354946</v>
      </c>
      <c r="W63" s="48">
        <f t="shared" si="11"/>
        <v>1.7027027027027026</v>
      </c>
      <c r="X63" s="47">
        <f>IF(X23&lt;$I$4,X23*$I$43/$I$4,$I$43+(X23-$I$4)*($E$46-$I$43)/($E$6-$I$4))-Input!$B$14*X23/$E$6*(1-X23/$E$6)*Y$10/$E$4*(1-Y$10/$E$4)</f>
        <v>1.5294510388711398</v>
      </c>
      <c r="Y63" s="48">
        <f t="shared" si="12"/>
        <v>1.7027027027027026</v>
      </c>
      <c r="Z63" s="47">
        <f>IF(Z23&lt;$I$4,Z23*$I$43/$I$4,$I$43+(Z23-$I$4)*($E$46-$I$43)/($E$6-$I$4))-Input!$B$14*Z23/$E$6*(1-Z23/$E$6)*AA$10/$E$4*(1-AA$10/$E$4)</f>
        <v>1.5323888861780748</v>
      </c>
      <c r="AA63" s="48">
        <f t="shared" si="13"/>
        <v>1.7027027027027026</v>
      </c>
      <c r="AB63" s="47">
        <f>IF(AB23&lt;$I$4,AB23*$I$43/$I$4,$I$43+(AB23-$I$4)*($E$46-$I$43)/($E$6-$I$4))-Input!$B$14*AB23/$E$6*(1-AB23/$E$6)*AC$10/$E$4*(1-AC$10/$E$4)</f>
        <v>1.5372852983563001</v>
      </c>
      <c r="AC63" s="48">
        <f t="shared" si="14"/>
        <v>1.7027027027027026</v>
      </c>
      <c r="AD63" s="47">
        <f>IF(AD23&lt;$I$4,AD23*$I$43/$I$4,$I$43+(AD23-$I$4)*($E$46-$I$43)/($E$6-$I$4))-Input!$B$14*AD23/$E$6*(1-AD23/$E$6)*AE$10/$E$4*(1-AE$10/$E$4)</f>
        <v>1.5441402754058156</v>
      </c>
      <c r="AE63" s="48">
        <f t="shared" si="15"/>
        <v>1.657297297297297</v>
      </c>
      <c r="AF63" s="47">
        <f>IF(AF23&lt;$I$4,AF23*$I$43/$I$4,$I$43+(AF23-$I$4)*($E$46-$I$43)/($E$6-$I$4))-Input!$B$14*AF23/$E$6*(1-AF23/$E$6)*AG$10/$E$4*(1-AG$10/$E$4)</f>
        <v>1.5529538173266209</v>
      </c>
      <c r="AG63" s="48">
        <f t="shared" si="16"/>
        <v>1.5437837837837836</v>
      </c>
      <c r="AH63" s="47">
        <f>IF(AH23&lt;$I$4,AH23*$I$43/$I$4,$I$43+(AH23-$I$4)*($E$46-$I$43)/($E$6-$I$4))-Input!$B$14*AH23/$E$6*(1-AH23/$E$6)*AI$10/$E$4*(1-AI$10/$E$4)</f>
        <v>1.5637259241187165</v>
      </c>
      <c r="AI63" s="48">
        <f t="shared" si="17"/>
        <v>1.3091891891891889</v>
      </c>
      <c r="AJ63" s="47">
        <f>IF(AJ23&lt;$I$4,AJ23*$I$43/$I$4,$I$43+(AJ23-$I$4)*($E$46-$I$43)/($E$6-$I$4))-Input!$B$14*AJ23/$E$6*(1-AJ23/$E$6)*AK$10/$E$4*(1-AK$10/$E$4)</f>
        <v>1.5764565957821022</v>
      </c>
      <c r="AK63" s="48">
        <f t="shared" si="18"/>
        <v>0.95729729729729707</v>
      </c>
      <c r="AL63" s="47">
        <f>IF(AL23&lt;$I$4,AL23*$I$43/$I$4,$I$43+(AL23-$I$4)*($E$46-$I$43)/($E$6-$I$4))-Input!$B$14*AL23/$E$6*(1-AL23/$E$6)*AM$10/$E$4*(1-AM$10/$E$4)</f>
        <v>1.591145832316778</v>
      </c>
      <c r="AM63" s="48">
        <f t="shared" si="19"/>
        <v>0.49945945945945941</v>
      </c>
      <c r="AN63" s="47">
        <f>IF(AN23&lt;$I$4,AN23*$I$43/$I$4,$I$43+(AN23-$I$4)*($E$46-$I$43)/($E$6-$I$4))-Input!$B$14*AN23/$E$6*(1-AN23/$E$6)*AO$10/$E$4*(1-AO$10/$E$4)</f>
        <v>1.6077936337227439</v>
      </c>
      <c r="AO63" s="48">
        <f t="shared" si="20"/>
        <v>0.12108108108108107</v>
      </c>
      <c r="AP63" s="47">
        <f>IF(AP23&lt;$I$4,AP23*$I$43/$I$4,$I$43+(AP23-$I$4)*($E$46-$I$43)/($E$6-$I$4))-Input!$B$14*AP23/$E$6*(1-AP23/$E$6)*AQ$10/$E$4*(1-AQ$10/$E$4)</f>
        <v>1.6263999999999998</v>
      </c>
      <c r="AQ63" s="48">
        <f t="shared" si="21"/>
        <v>0</v>
      </c>
    </row>
    <row r="64" spans="1:43" s="38" customFormat="1" x14ac:dyDescent="0.2">
      <c r="A64" s="39">
        <v>13</v>
      </c>
      <c r="B64" s="47">
        <f>IF(B24&lt;$I$4,B24*$I$43/$I$4,$I$43+(B24-$I$4)*($E$46-$I$43)/($E$6-$I$4))-Input!$B$14*B24/$E$6*(1-B24/$E$6)*C$10/$E$4*(1-C$10/$E$4)</f>
        <v>1.75</v>
      </c>
      <c r="C64" s="48">
        <f t="shared" si="1"/>
        <v>1.1654054054054053</v>
      </c>
      <c r="D64" s="47">
        <f>IF(D24&lt;$I$4,D24*$I$43/$I$4,$I$43+(D24-$I$4)*($E$46-$I$43)/($E$6-$I$4))-Input!$B$14*D24/$E$6*(1-D24/$E$6)*E$10/$E$4*(1-E$10/$E$4)</f>
        <v>1.75</v>
      </c>
      <c r="E64" s="48">
        <f t="shared" si="2"/>
        <v>1.4529729729729728</v>
      </c>
      <c r="F64" s="47">
        <f>IF(F24&lt;$I$4,F24*$I$43/$I$4,$I$43+(F24-$I$4)*($E$46-$I$43)/($E$6-$I$4))-Input!$B$14*F24/$E$6*(1-F24/$E$6)*G$10/$E$4*(1-G$10/$E$4)</f>
        <v>1.75</v>
      </c>
      <c r="G64" s="48">
        <f t="shared" si="3"/>
        <v>1.6232432432432431</v>
      </c>
      <c r="H64" s="47">
        <f>IF(H24&lt;$I$4,H24*$I$43/$I$4,$I$43+(H24-$I$4)*($E$46-$I$43)/($E$6-$I$4))-Input!$B$14*H24/$E$6*(1-H24/$E$6)*I$10/$E$4*(1-I$10/$E$4)</f>
        <v>1.75</v>
      </c>
      <c r="I64" s="48">
        <f t="shared" si="4"/>
        <v>1.68</v>
      </c>
      <c r="J64" s="47">
        <f>IF(J24&lt;$I$4,J24*$I$43/$I$4,$I$43+(J24-$I$4)*($E$46-$I$43)/($E$6-$I$4))-Input!$B$14*J24/$E$6*(1-J24/$E$6)*K$10/$E$4*(1-K$10/$E$4)</f>
        <v>1.75</v>
      </c>
      <c r="K64" s="48">
        <f t="shared" si="5"/>
        <v>1.7027027027027026</v>
      </c>
      <c r="L64" s="47">
        <f>IF(L24&lt;$I$4,L24*$I$43/$I$4,$I$43+(L24-$I$4)*($E$46-$I$43)/($E$6-$I$4))-Input!$B$14*L24/$E$6*(1-L24/$E$6)*M$10/$E$4*(1-M$10/$E$4)</f>
        <v>1.75</v>
      </c>
      <c r="M64" s="48">
        <f t="shared" si="6"/>
        <v>1.7027027027027026</v>
      </c>
      <c r="N64" s="47">
        <f>IF(N24&lt;$I$4,N24*$I$43/$I$4,$I$43+(N24-$I$4)*($E$46-$I$43)/($E$6-$I$4))-Input!$B$14*N24/$E$6*(1-N24/$E$6)*O$10/$E$4*(1-O$10/$E$4)</f>
        <v>1.75</v>
      </c>
      <c r="O64" s="48">
        <f t="shared" si="7"/>
        <v>1.7027027027027026</v>
      </c>
      <c r="P64" s="47">
        <f>IF(P24&lt;$I$4,P24*$I$43/$I$4,$I$43+(P24-$I$4)*($E$46-$I$43)/($E$6-$I$4))-Input!$B$14*P24/$E$6*(1-P24/$E$6)*Q$10/$E$4*(1-Q$10/$E$4)</f>
        <v>1.75</v>
      </c>
      <c r="Q64" s="48">
        <f t="shared" si="8"/>
        <v>1.7027027027027026</v>
      </c>
      <c r="R64" s="47">
        <f>IF(R24&lt;$I$4,R24*$I$43/$I$4,$I$43+(R24-$I$4)*($E$46-$I$43)/($E$6-$I$4))-Input!$B$14*R24/$E$6*(1-R24/$E$6)*S$10/$E$4*(1-S$10/$E$4)</f>
        <v>1.75</v>
      </c>
      <c r="S64" s="48">
        <f t="shared" si="9"/>
        <v>1.7027027027027026</v>
      </c>
      <c r="T64" s="47">
        <f>IF(T24&lt;$I$4,T24*$I$43/$I$4,$I$43+(T24-$I$4)*($E$46-$I$43)/($E$6-$I$4))-Input!$B$14*T24/$E$6*(1-T24/$E$6)*U$10/$E$4*(1-U$10/$E$4)</f>
        <v>1.75</v>
      </c>
      <c r="U64" s="48">
        <f t="shared" si="10"/>
        <v>1.7027027027027026</v>
      </c>
      <c r="V64" s="47">
        <f>IF(V24&lt;$I$4,V24*$I$43/$I$4,$I$43+(V24-$I$4)*($E$46-$I$43)/($E$6-$I$4))-Input!$B$14*V24/$E$6*(1-V24/$E$6)*W$10/$E$4*(1-W$10/$E$4)</f>
        <v>1.75</v>
      </c>
      <c r="W64" s="48">
        <f t="shared" si="11"/>
        <v>1.7027027027027026</v>
      </c>
      <c r="X64" s="47">
        <f>IF(X24&lt;$I$4,X24*$I$43/$I$4,$I$43+(X24-$I$4)*($E$46-$I$43)/($E$6-$I$4))-Input!$B$14*X24/$E$6*(1-X24/$E$6)*Y$10/$E$4*(1-Y$10/$E$4)</f>
        <v>1.75</v>
      </c>
      <c r="Y64" s="48">
        <f t="shared" si="12"/>
        <v>1.7027027027027026</v>
      </c>
      <c r="Z64" s="47">
        <f>IF(Z24&lt;$I$4,Z24*$I$43/$I$4,$I$43+(Z24-$I$4)*($E$46-$I$43)/($E$6-$I$4))-Input!$B$14*Z24/$E$6*(1-Z24/$E$6)*AA$10/$E$4*(1-AA$10/$E$4)</f>
        <v>1.75</v>
      </c>
      <c r="AA64" s="48">
        <f t="shared" si="13"/>
        <v>1.7027027027027026</v>
      </c>
      <c r="AB64" s="47">
        <f>IF(AB24&lt;$I$4,AB24*$I$43/$I$4,$I$43+(AB24-$I$4)*($E$46-$I$43)/($E$6-$I$4))-Input!$B$14*AB24/$E$6*(1-AB24/$E$6)*AC$10/$E$4*(1-AC$10/$E$4)</f>
        <v>1.75</v>
      </c>
      <c r="AC64" s="48">
        <f t="shared" si="14"/>
        <v>1.7027027027027026</v>
      </c>
      <c r="AD64" s="47">
        <f>IF(AD24&lt;$I$4,AD24*$I$43/$I$4,$I$43+(AD24-$I$4)*($E$46-$I$43)/($E$6-$I$4))-Input!$B$14*AD24/$E$6*(1-AD24/$E$6)*AE$10/$E$4*(1-AE$10/$E$4)</f>
        <v>1.75</v>
      </c>
      <c r="AE64" s="48">
        <f t="shared" si="15"/>
        <v>1.6648648648648647</v>
      </c>
      <c r="AF64" s="47">
        <f>IF(AF24&lt;$I$4,AF24*$I$43/$I$4,$I$43+(AF24-$I$4)*($E$46-$I$43)/($E$6-$I$4))-Input!$B$14*AF24/$E$6*(1-AF24/$E$6)*AG$10/$E$4*(1-AG$10/$E$4)</f>
        <v>1.75</v>
      </c>
      <c r="AG64" s="48">
        <f t="shared" si="16"/>
        <v>1.5437837837837836</v>
      </c>
      <c r="AH64" s="47">
        <f>IF(AH24&lt;$I$4,AH24*$I$43/$I$4,$I$43+(AH24-$I$4)*($E$46-$I$43)/($E$6-$I$4))-Input!$B$14*AH24/$E$6*(1-AH24/$E$6)*AI$10/$E$4*(1-AI$10/$E$4)</f>
        <v>1.75</v>
      </c>
      <c r="AI64" s="48">
        <f t="shared" si="17"/>
        <v>1.3091891891891889</v>
      </c>
      <c r="AJ64" s="47">
        <f>IF(AJ24&lt;$I$4,AJ24*$I$43/$I$4,$I$43+(AJ24-$I$4)*($E$46-$I$43)/($E$6-$I$4))-Input!$B$14*AJ24/$E$6*(1-AJ24/$E$6)*AK$10/$E$4*(1-AK$10/$E$4)</f>
        <v>1.75</v>
      </c>
      <c r="AK64" s="48">
        <f t="shared" si="18"/>
        <v>0.95729729729729707</v>
      </c>
      <c r="AL64" s="47">
        <f>IF(AL24&lt;$I$4,AL24*$I$43/$I$4,$I$43+(AL24-$I$4)*($E$46-$I$43)/($E$6-$I$4))-Input!$B$14*AL24/$E$6*(1-AL24/$E$6)*AM$10/$E$4*(1-AM$10/$E$4)</f>
        <v>1.75</v>
      </c>
      <c r="AM64" s="48">
        <f t="shared" si="19"/>
        <v>0.49945945945945941</v>
      </c>
      <c r="AN64" s="47">
        <f>IF(AN24&lt;$I$4,AN24*$I$43/$I$4,$I$43+(AN24-$I$4)*($E$46-$I$43)/($E$6-$I$4))-Input!$B$14*AN24/$E$6*(1-AN24/$E$6)*AO$10/$E$4*(1-AO$10/$E$4)</f>
        <v>1.75</v>
      </c>
      <c r="AO64" s="48">
        <f t="shared" si="20"/>
        <v>9.8378378378378373E-2</v>
      </c>
      <c r="AP64" s="47">
        <f>IF(AP24&lt;$I$4,AP24*$I$43/$I$4,$I$43+(AP24-$I$4)*($E$46-$I$43)/($E$6-$I$4))-Input!$B$14*AP24/$E$6*(1-AP24/$E$6)*AQ$10/$E$4*(1-AQ$10/$E$4)</f>
        <v>1.75</v>
      </c>
      <c r="AQ64" s="48">
        <f t="shared" si="21"/>
        <v>0</v>
      </c>
    </row>
    <row r="65" spans="1:43" s="38" customFormat="1" x14ac:dyDescent="0.2">
      <c r="A65" s="39">
        <v>14</v>
      </c>
      <c r="B65" s="47">
        <f>IF(B25&lt;$I$4,B25*$I$43/$I$4,$I$43+(B25-$I$4)*($E$46-$I$43)/($E$6-$I$4))-Input!$B$14*B25/$E$6*(1-B25/$E$6)*C$10/$E$4*(1-C$10/$E$4)</f>
        <v>0</v>
      </c>
      <c r="C65" s="48">
        <f t="shared" si="1"/>
        <v>0</v>
      </c>
      <c r="D65" s="47">
        <f>IF(D25&lt;$I$4,D25*$I$43/$I$4,$I$43+(D25-$I$4)*($E$46-$I$43)/($E$6-$I$4))-Input!$B$14*D25/$E$6*(1-D25/$E$6)*E$10/$E$4*(1-E$10/$E$4)</f>
        <v>0</v>
      </c>
      <c r="E65" s="48">
        <f t="shared" si="2"/>
        <v>0</v>
      </c>
      <c r="F65" s="47">
        <f>IF(F25&lt;$I$4,F25*$I$43/$I$4,$I$43+(F25-$I$4)*($E$46-$I$43)/($E$6-$I$4))-Input!$B$14*F25/$E$6*(1-F25/$E$6)*G$10/$E$4*(1-G$10/$E$4)</f>
        <v>0</v>
      </c>
      <c r="G65" s="48">
        <f t="shared" si="3"/>
        <v>0</v>
      </c>
      <c r="H65" s="47">
        <f>IF(H25&lt;$I$4,H25*$I$43/$I$4,$I$43+(H25-$I$4)*($E$46-$I$43)/($E$6-$I$4))-Input!$B$14*H25/$E$6*(1-H25/$E$6)*I$10/$E$4*(1-I$10/$E$4)</f>
        <v>0</v>
      </c>
      <c r="I65" s="48">
        <f>I25*$E$45/$E$5</f>
        <v>0</v>
      </c>
      <c r="J65" s="47">
        <f>IF(J25&lt;$I$4,J25*$I$43/$I$4,$I$43+(J25-$I$4)*($E$46-$I$43)/($E$6-$I$4))-Input!$B$14*J25/$E$6*(1-J25/$E$6)*K$10/$E$4*(1-K$10/$E$4)</f>
        <v>0</v>
      </c>
      <c r="K65" s="48">
        <f t="shared" si="5"/>
        <v>0</v>
      </c>
      <c r="L65" s="47">
        <f>IF(L25&lt;$I$4,L25*$I$43/$I$4,$I$43+(L25-$I$4)*($E$46-$I$43)/($E$6-$I$4))-Input!$B$14*L25/$E$6*(1-L25/$E$6)*M$10/$E$4*(1-M$10/$E$4)</f>
        <v>0</v>
      </c>
      <c r="M65" s="48">
        <f t="shared" si="6"/>
        <v>0</v>
      </c>
      <c r="N65" s="47">
        <f>IF(N25&lt;$I$4,N25*$I$43/$I$4,$I$43+(N25-$I$4)*($E$46-$I$43)/($E$6-$I$4))-Input!$B$14*N25/$E$6*(1-N25/$E$6)*O$10/$E$4*(1-O$10/$E$4)</f>
        <v>0</v>
      </c>
      <c r="O65" s="48">
        <f t="shared" si="7"/>
        <v>0</v>
      </c>
      <c r="P65" s="47">
        <f>IF(P25&lt;$I$4,P25*$I$43/$I$4,$I$43+(P25-$I$4)*($E$46-$I$43)/($E$6-$I$4))-Input!$B$14*P25/$E$6*(1-P25/$E$6)*Q$10/$E$4*(1-Q$10/$E$4)</f>
        <v>0</v>
      </c>
      <c r="Q65" s="48">
        <f t="shared" si="8"/>
        <v>0</v>
      </c>
      <c r="R65" s="47">
        <f>IF(R25&lt;$I$4,R25*$I$43/$I$4,$I$43+(R25-$I$4)*($E$46-$I$43)/($E$6-$I$4))-Input!$B$14*R25/$E$6*(1-R25/$E$6)*S$10/$E$4*(1-S$10/$E$4)</f>
        <v>0</v>
      </c>
      <c r="S65" s="48">
        <f t="shared" si="9"/>
        <v>0</v>
      </c>
      <c r="T65" s="47">
        <f>IF(T25&lt;$I$4,T25*$I$43/$I$4,$I$43+(T25-$I$4)*($E$46-$I$43)/($E$6-$I$4))-Input!$B$14*T25/$E$6*(1-T25/$E$6)*U$10/$E$4*(1-U$10/$E$4)</f>
        <v>0</v>
      </c>
      <c r="U65" s="48">
        <f t="shared" si="10"/>
        <v>0</v>
      </c>
      <c r="V65" s="47">
        <f>IF(V25&lt;$I$4,V25*$I$43/$I$4,$I$43+(V25-$I$4)*($E$46-$I$43)/($E$6-$I$4))-Input!$B$14*V25/$E$6*(1-V25/$E$6)*W$10/$E$4*(1-W$10/$E$4)</f>
        <v>0</v>
      </c>
      <c r="W65" s="48">
        <f t="shared" si="11"/>
        <v>0</v>
      </c>
      <c r="X65" s="47">
        <f>IF(X25&lt;$I$4,X25*$I$43/$I$4,$I$43+(X25-$I$4)*($E$46-$I$43)/($E$6-$I$4))-Input!$B$14*X25/$E$6*(1-X25/$E$6)*Y$10/$E$4*(1-Y$10/$E$4)</f>
        <v>0</v>
      </c>
      <c r="Y65" s="48">
        <f t="shared" si="12"/>
        <v>0</v>
      </c>
      <c r="Z65" s="47">
        <f>IF(Z25&lt;$I$4,Z25*$I$43/$I$4,$I$43+(Z25-$I$4)*($E$46-$I$43)/($E$6-$I$4))-Input!$B$14*Z25/$E$6*(1-Z25/$E$6)*AA$10/$E$4*(1-AA$10/$E$4)</f>
        <v>0</v>
      </c>
      <c r="AA65" s="48">
        <f t="shared" si="13"/>
        <v>0</v>
      </c>
      <c r="AB65" s="47">
        <f>IF(AB25&lt;$I$4,AB25*$I$43/$I$4,$I$43+(AB25-$I$4)*($E$46-$I$43)/($E$6-$I$4))-Input!$B$14*AB25/$E$6*(1-AB25/$E$6)*AC$10/$E$4*(1-AC$10/$E$4)</f>
        <v>0</v>
      </c>
      <c r="AC65" s="48">
        <f t="shared" si="14"/>
        <v>0</v>
      </c>
      <c r="AD65" s="47">
        <f>IF(AD25&lt;$I$4,AD25*$I$43/$I$4,$I$43+(AD25-$I$4)*($E$46-$I$43)/($E$6-$I$4))-Input!$B$14*AD25/$E$6*(1-AD25/$E$6)*AE$10/$E$4*(1-AE$10/$E$4)</f>
        <v>0</v>
      </c>
      <c r="AE65" s="48">
        <f t="shared" si="15"/>
        <v>0</v>
      </c>
      <c r="AF65" s="47">
        <f>IF(AF25&lt;$I$4,AF25*$I$43/$I$4,$I$43+(AF25-$I$4)*($E$46-$I$43)/($E$6-$I$4))-Input!$B$14*AF25/$E$6*(1-AF25/$E$6)*AG$10/$E$4*(1-AG$10/$E$4)</f>
        <v>0</v>
      </c>
      <c r="AG65" s="48">
        <f t="shared" si="16"/>
        <v>0</v>
      </c>
      <c r="AH65" s="47">
        <f>IF(AH25&lt;$I$4,AH25*$I$43/$I$4,$I$43+(AH25-$I$4)*($E$46-$I$43)/($E$6-$I$4))-Input!$B$14*AH25/$E$6*(1-AH25/$E$6)*AI$10/$E$4*(1-AI$10/$E$4)</f>
        <v>0</v>
      </c>
      <c r="AI65" s="48">
        <f t="shared" si="17"/>
        <v>0</v>
      </c>
      <c r="AJ65" s="47">
        <f>IF(AJ25&lt;$I$4,AJ25*$I$43/$I$4,$I$43+(AJ25-$I$4)*($E$46-$I$43)/($E$6-$I$4))-Input!$B$14*AJ25/$E$6*(1-AJ25/$E$6)*AK$10/$E$4*(1-AK$10/$E$4)</f>
        <v>0</v>
      </c>
      <c r="AK65" s="48">
        <f t="shared" si="18"/>
        <v>0</v>
      </c>
      <c r="AL65" s="47">
        <f>IF(AL25&lt;$I$4,AL25*$I$43/$I$4,$I$43+(AL25-$I$4)*($E$46-$I$43)/($E$6-$I$4))-Input!$B$14*AL25/$E$6*(1-AL25/$E$6)*AM$10/$E$4*(1-AM$10/$E$4)</f>
        <v>0</v>
      </c>
      <c r="AM65" s="48">
        <f t="shared" si="19"/>
        <v>0</v>
      </c>
      <c r="AN65" s="47">
        <f>IF(AN25&lt;$I$4,AN25*$I$43/$I$4,$I$43+(AN25-$I$4)*($E$46-$I$43)/($E$6-$I$4))-Input!$B$14*AN25/$E$6*(1-AN25/$E$6)*AO$10/$E$4*(1-AO$10/$E$4)</f>
        <v>0</v>
      </c>
      <c r="AO65" s="48">
        <f t="shared" si="20"/>
        <v>0</v>
      </c>
      <c r="AP65" s="47">
        <f>IF(AP25&lt;$I$4,AP25*$I$43/$I$4,$I$43+(AP25-$I$4)*($E$46-$I$43)/($E$6-$I$4))-Input!$B$14*AP25/$E$6*(1-AP25/$E$6)*AQ$10/$E$4*(1-AQ$10/$E$4)</f>
        <v>0</v>
      </c>
      <c r="AQ65" s="48">
        <f t="shared" si="21"/>
        <v>0</v>
      </c>
    </row>
    <row r="66" spans="1:43" s="38" customFormat="1" x14ac:dyDescent="0.2">
      <c r="A66" s="39">
        <v>15</v>
      </c>
      <c r="B66" s="47">
        <f>IF(B26&lt;$I$4,B26*$I$43/$I$4,$I$43+(B26-$I$4)*($E$46-$I$43)/($E$6-$I$4))-Input!$B$14*B26/$E$6*(1-B26/$E$6)*C$10/$E$4*(1-C$10/$E$4)</f>
        <v>0</v>
      </c>
      <c r="C66" s="48">
        <f t="shared" si="1"/>
        <v>0</v>
      </c>
      <c r="D66" s="47">
        <f>IF(D26&lt;$I$4,D26*$I$43/$I$4,$I$43+(D26-$I$4)*($E$46-$I$43)/($E$6-$I$4))-Input!$B$14*D26/$E$6*(1-D26/$E$6)*E$10/$E$4*(1-E$10/$E$4)</f>
        <v>0</v>
      </c>
      <c r="E66" s="48">
        <f t="shared" si="2"/>
        <v>0</v>
      </c>
      <c r="F66" s="47">
        <f>IF(F26&lt;$I$4,F26*$I$43/$I$4,$I$43+(F26-$I$4)*($E$46-$I$43)/($E$6-$I$4))-Input!$B$14*F26/$E$6*(1-F26/$E$6)*G$10/$E$4*(1-G$10/$E$4)</f>
        <v>0</v>
      </c>
      <c r="G66" s="48">
        <f t="shared" si="3"/>
        <v>0</v>
      </c>
      <c r="H66" s="47">
        <f>IF(H26&lt;$I$4,H26*$I$43/$I$4,$I$43+(H26-$I$4)*($E$46-$I$43)/($E$6-$I$4))-Input!$B$14*H26/$E$6*(1-H26/$E$6)*I$10/$E$4*(1-I$10/$E$4)</f>
        <v>0</v>
      </c>
      <c r="I66" s="48">
        <f t="shared" si="4"/>
        <v>0</v>
      </c>
      <c r="J66" s="47">
        <f>IF(J26&lt;$I$4,J26*$I$43/$I$4,$I$43+(J26-$I$4)*($E$46-$I$43)/($E$6-$I$4))-Input!$B$14*J26/$E$6*(1-J26/$E$6)*K$10/$E$4*(1-K$10/$E$4)</f>
        <v>0</v>
      </c>
      <c r="K66" s="48">
        <f t="shared" si="5"/>
        <v>0</v>
      </c>
      <c r="L66" s="47">
        <f>IF(L26&lt;$I$4,L26*$I$43/$I$4,$I$43+(L26-$I$4)*($E$46-$I$43)/($E$6-$I$4))-Input!$B$14*L26/$E$6*(1-L26/$E$6)*M$10/$E$4*(1-M$10/$E$4)</f>
        <v>0</v>
      </c>
      <c r="M66" s="48">
        <f t="shared" si="6"/>
        <v>0</v>
      </c>
      <c r="N66" s="47">
        <f>IF(N26&lt;$I$4,N26*$I$43/$I$4,$I$43+(N26-$I$4)*($E$46-$I$43)/($E$6-$I$4))-Input!$B$14*N26/$E$6*(1-N26/$E$6)*O$10/$E$4*(1-O$10/$E$4)</f>
        <v>0</v>
      </c>
      <c r="O66" s="48">
        <f t="shared" si="7"/>
        <v>0</v>
      </c>
      <c r="P66" s="47">
        <f>IF(P26&lt;$I$4,P26*$I$43/$I$4,$I$43+(P26-$I$4)*($E$46-$I$43)/($E$6-$I$4))-Input!$B$14*P26/$E$6*(1-P26/$E$6)*Q$10/$E$4*(1-Q$10/$E$4)</f>
        <v>0</v>
      </c>
      <c r="Q66" s="48">
        <f t="shared" si="8"/>
        <v>0</v>
      </c>
      <c r="R66" s="47">
        <f>IF(R26&lt;$I$4,R26*$I$43/$I$4,$I$43+(R26-$I$4)*($E$46-$I$43)/($E$6-$I$4))-Input!$B$14*R26/$E$6*(1-R26/$E$6)*S$10/$E$4*(1-S$10/$E$4)</f>
        <v>0</v>
      </c>
      <c r="S66" s="48">
        <f t="shared" si="9"/>
        <v>0</v>
      </c>
      <c r="T66" s="47">
        <f>IF(T26&lt;$I$4,T26*$I$43/$I$4,$I$43+(T26-$I$4)*($E$46-$I$43)/($E$6-$I$4))-Input!$B$14*T26/$E$6*(1-T26/$E$6)*U$10/$E$4*(1-U$10/$E$4)</f>
        <v>0</v>
      </c>
      <c r="U66" s="48">
        <f t="shared" si="10"/>
        <v>0</v>
      </c>
      <c r="V66" s="47">
        <f>IF(V26&lt;$I$4,V26*$I$43/$I$4,$I$43+(V26-$I$4)*($E$46-$I$43)/($E$6-$I$4))-Input!$B$14*V26/$E$6*(1-V26/$E$6)*W$10/$E$4*(1-W$10/$E$4)</f>
        <v>0</v>
      </c>
      <c r="W66" s="48">
        <f t="shared" si="11"/>
        <v>0</v>
      </c>
      <c r="X66" s="47">
        <f>IF(X26&lt;$I$4,X26*$I$43/$I$4,$I$43+(X26-$I$4)*($E$46-$I$43)/($E$6-$I$4))-Input!$B$14*X26/$E$6*(1-X26/$E$6)*Y$10/$E$4*(1-Y$10/$E$4)</f>
        <v>0</v>
      </c>
      <c r="Y66" s="48">
        <f t="shared" si="12"/>
        <v>0</v>
      </c>
      <c r="Z66" s="47">
        <f>IF(Z26&lt;$I$4,Z26*$I$43/$I$4,$I$43+(Z26-$I$4)*($E$46-$I$43)/($E$6-$I$4))-Input!$B$14*Z26/$E$6*(1-Z26/$E$6)*AA$10/$E$4*(1-AA$10/$E$4)</f>
        <v>0</v>
      </c>
      <c r="AA66" s="48">
        <f t="shared" si="13"/>
        <v>0</v>
      </c>
      <c r="AB66" s="47">
        <f>IF(AB26&lt;$I$4,AB26*$I$43/$I$4,$I$43+(AB26-$I$4)*($E$46-$I$43)/($E$6-$I$4))-Input!$B$14*AB26/$E$6*(1-AB26/$E$6)*AC$10/$E$4*(1-AC$10/$E$4)</f>
        <v>0</v>
      </c>
      <c r="AC66" s="48">
        <f t="shared" si="14"/>
        <v>0</v>
      </c>
      <c r="AD66" s="47">
        <f>IF(AD26&lt;$I$4,AD26*$I$43/$I$4,$I$43+(AD26-$I$4)*($E$46-$I$43)/($E$6-$I$4))-Input!$B$14*AD26/$E$6*(1-AD26/$E$6)*AE$10/$E$4*(1-AE$10/$E$4)</f>
        <v>0</v>
      </c>
      <c r="AE66" s="48">
        <f t="shared" si="15"/>
        <v>0</v>
      </c>
      <c r="AF66" s="47">
        <f>IF(AF26&lt;$I$4,AF26*$I$43/$I$4,$I$43+(AF26-$I$4)*($E$46-$I$43)/($E$6-$I$4))-Input!$B$14*AF26/$E$6*(1-AF26/$E$6)*AG$10/$E$4*(1-AG$10/$E$4)</f>
        <v>0</v>
      </c>
      <c r="AG66" s="48">
        <f t="shared" si="16"/>
        <v>0</v>
      </c>
      <c r="AH66" s="47">
        <f>IF(AH26&lt;$I$4,AH26*$I$43/$I$4,$I$43+(AH26-$I$4)*($E$46-$I$43)/($E$6-$I$4))-Input!$B$14*AH26/$E$6*(1-AH26/$E$6)*AI$10/$E$4*(1-AI$10/$E$4)</f>
        <v>0</v>
      </c>
      <c r="AI66" s="48">
        <f t="shared" si="17"/>
        <v>0</v>
      </c>
      <c r="AJ66" s="47">
        <f>IF(AJ26&lt;$I$4,AJ26*$I$43/$I$4,$I$43+(AJ26-$I$4)*($E$46-$I$43)/($E$6-$I$4))-Input!$B$14*AJ26/$E$6*(1-AJ26/$E$6)*AK$10/$E$4*(1-AK$10/$E$4)</f>
        <v>0</v>
      </c>
      <c r="AK66" s="48">
        <f t="shared" si="18"/>
        <v>0</v>
      </c>
      <c r="AL66" s="47">
        <f>IF(AL26&lt;$I$4,AL26*$I$43/$I$4,$I$43+(AL26-$I$4)*($E$46-$I$43)/($E$6-$I$4))-Input!$B$14*AL26/$E$6*(1-AL26/$E$6)*AM$10/$E$4*(1-AM$10/$E$4)</f>
        <v>0</v>
      </c>
      <c r="AM66" s="48">
        <f t="shared" si="19"/>
        <v>0</v>
      </c>
      <c r="AN66" s="47">
        <f>IF(AN26&lt;$I$4,AN26*$I$43/$I$4,$I$43+(AN26-$I$4)*($E$46-$I$43)/($E$6-$I$4))-Input!$B$14*AN26/$E$6*(1-AN26/$E$6)*AO$10/$E$4*(1-AO$10/$E$4)</f>
        <v>0</v>
      </c>
      <c r="AO66" s="48">
        <f t="shared" si="20"/>
        <v>0</v>
      </c>
      <c r="AP66" s="47">
        <f>IF(AP26&lt;$I$4,AP26*$I$43/$I$4,$I$43+(AP26-$I$4)*($E$46-$I$43)/($E$6-$I$4))-Input!$B$14*AP26/$E$6*(1-AP26/$E$6)*AQ$10/$E$4*(1-AQ$10/$E$4)</f>
        <v>0</v>
      </c>
      <c r="AQ66" s="48">
        <f t="shared" si="21"/>
        <v>0</v>
      </c>
    </row>
    <row r="67" spans="1:43" s="38" customFormat="1" x14ac:dyDescent="0.2">
      <c r="A67" s="39">
        <v>16</v>
      </c>
      <c r="B67" s="47">
        <f>IF(B27&lt;$I$4,B27*$I$43/$I$4,$I$43+(B27-$I$4)*($E$46-$I$43)/($E$6-$I$4))-Input!$B$14*B27/$E$6*(1-B27/$E$6)*C$10/$E$4*(1-C$10/$E$4)</f>
        <v>0</v>
      </c>
      <c r="C67" s="48">
        <f t="shared" si="1"/>
        <v>0</v>
      </c>
      <c r="D67" s="47">
        <f>IF(D27&lt;$I$4,D27*$I$43/$I$4,$I$43+(D27-$I$4)*($E$46-$I$43)/($E$6-$I$4))-Input!$B$14*D27/$E$6*(1-D27/$E$6)*E$10/$E$4*(1-E$10/$E$4)</f>
        <v>0</v>
      </c>
      <c r="E67" s="48">
        <f t="shared" si="2"/>
        <v>0</v>
      </c>
      <c r="F67" s="47">
        <f>IF(F27&lt;$I$4,F27*$I$43/$I$4,$I$43+(F27-$I$4)*($E$46-$I$43)/($E$6-$I$4))-Input!$B$14*F27/$E$6*(1-F27/$E$6)*G$10/$E$4*(1-G$10/$E$4)</f>
        <v>0</v>
      </c>
      <c r="G67" s="48">
        <f t="shared" si="3"/>
        <v>0</v>
      </c>
      <c r="H67" s="47">
        <f>IF(H27&lt;$I$4,H27*$I$43/$I$4,$I$43+(H27-$I$4)*($E$46-$I$43)/($E$6-$I$4))-Input!$B$14*H27/$E$6*(1-H27/$E$6)*I$10/$E$4*(1-I$10/$E$4)</f>
        <v>0</v>
      </c>
      <c r="I67" s="48">
        <f t="shared" si="4"/>
        <v>0</v>
      </c>
      <c r="J67" s="47">
        <f>IF(J27&lt;$I$4,J27*$I$43/$I$4,$I$43+(J27-$I$4)*($E$46-$I$43)/($E$6-$I$4))-Input!$B$14*J27/$E$6*(1-J27/$E$6)*K$10/$E$4*(1-K$10/$E$4)</f>
        <v>0</v>
      </c>
      <c r="K67" s="48">
        <f t="shared" si="5"/>
        <v>0</v>
      </c>
      <c r="L67" s="47">
        <f>IF(L27&lt;$I$4,L27*$I$43/$I$4,$I$43+(L27-$I$4)*($E$46-$I$43)/($E$6-$I$4))-Input!$B$14*L27/$E$6*(1-L27/$E$6)*M$10/$E$4*(1-M$10/$E$4)</f>
        <v>0</v>
      </c>
      <c r="M67" s="48">
        <f t="shared" si="6"/>
        <v>0</v>
      </c>
      <c r="N67" s="47">
        <f>IF(N27&lt;$I$4,N27*$I$43/$I$4,$I$43+(N27-$I$4)*($E$46-$I$43)/($E$6-$I$4))-Input!$B$14*N27/$E$6*(1-N27/$E$6)*O$10/$E$4*(1-O$10/$E$4)</f>
        <v>0</v>
      </c>
      <c r="O67" s="48">
        <f t="shared" si="7"/>
        <v>0</v>
      </c>
      <c r="P67" s="47">
        <f>IF(P27&lt;$I$4,P27*$I$43/$I$4,$I$43+(P27-$I$4)*($E$46-$I$43)/($E$6-$I$4))-Input!$B$14*P27/$E$6*(1-P27/$E$6)*Q$10/$E$4*(1-Q$10/$E$4)</f>
        <v>0</v>
      </c>
      <c r="Q67" s="48">
        <f t="shared" si="8"/>
        <v>0</v>
      </c>
      <c r="R67" s="47">
        <f>IF(R27&lt;$I$4,R27*$I$43/$I$4,$I$43+(R27-$I$4)*($E$46-$I$43)/($E$6-$I$4))-Input!$B$14*R27/$E$6*(1-R27/$E$6)*S$10/$E$4*(1-S$10/$E$4)</f>
        <v>0</v>
      </c>
      <c r="S67" s="48">
        <f t="shared" si="9"/>
        <v>0</v>
      </c>
      <c r="T67" s="47">
        <f>IF(T27&lt;$I$4,T27*$I$43/$I$4,$I$43+(T27-$I$4)*($E$46-$I$43)/($E$6-$I$4))-Input!$B$14*T27/$E$6*(1-T27/$E$6)*U$10/$E$4*(1-U$10/$E$4)</f>
        <v>0</v>
      </c>
      <c r="U67" s="48">
        <f t="shared" si="10"/>
        <v>0</v>
      </c>
      <c r="V67" s="47">
        <f>IF(V27&lt;$I$4,V27*$I$43/$I$4,$I$43+(V27-$I$4)*($E$46-$I$43)/($E$6-$I$4))-Input!$B$14*V27/$E$6*(1-V27/$E$6)*W$10/$E$4*(1-W$10/$E$4)</f>
        <v>0</v>
      </c>
      <c r="W67" s="48">
        <f t="shared" si="11"/>
        <v>0</v>
      </c>
      <c r="X67" s="47">
        <f>IF(X27&lt;$I$4,X27*$I$43/$I$4,$I$43+(X27-$I$4)*($E$46-$I$43)/($E$6-$I$4))-Input!$B$14*X27/$E$6*(1-X27/$E$6)*Y$10/$E$4*(1-Y$10/$E$4)</f>
        <v>0</v>
      </c>
      <c r="Y67" s="48">
        <f t="shared" si="12"/>
        <v>0</v>
      </c>
      <c r="Z67" s="47">
        <f>IF(Z27&lt;$I$4,Z27*$I$43/$I$4,$I$43+(Z27-$I$4)*($E$46-$I$43)/($E$6-$I$4))-Input!$B$14*Z27/$E$6*(1-Z27/$E$6)*AA$10/$E$4*(1-AA$10/$E$4)</f>
        <v>0</v>
      </c>
      <c r="AA67" s="48">
        <f t="shared" si="13"/>
        <v>0</v>
      </c>
      <c r="AB67" s="47">
        <f>IF(AB27&lt;$I$4,AB27*$I$43/$I$4,$I$43+(AB27-$I$4)*($E$46-$I$43)/($E$6-$I$4))-Input!$B$14*AB27/$E$6*(1-AB27/$E$6)*AC$10/$E$4*(1-AC$10/$E$4)</f>
        <v>0</v>
      </c>
      <c r="AC67" s="48">
        <f t="shared" si="14"/>
        <v>0</v>
      </c>
      <c r="AD67" s="47">
        <f>IF(AD27&lt;$I$4,AD27*$I$43/$I$4,$I$43+(AD27-$I$4)*($E$46-$I$43)/($E$6-$I$4))-Input!$B$14*AD27/$E$6*(1-AD27/$E$6)*AE$10/$E$4*(1-AE$10/$E$4)</f>
        <v>0</v>
      </c>
      <c r="AE67" s="48">
        <f t="shared" si="15"/>
        <v>0</v>
      </c>
      <c r="AF67" s="47">
        <f>IF(AF27&lt;$I$4,AF27*$I$43/$I$4,$I$43+(AF27-$I$4)*($E$46-$I$43)/($E$6-$I$4))-Input!$B$14*AF27/$E$6*(1-AF27/$E$6)*AG$10/$E$4*(1-AG$10/$E$4)</f>
        <v>0</v>
      </c>
      <c r="AG67" s="48">
        <f t="shared" si="16"/>
        <v>0</v>
      </c>
      <c r="AH67" s="47">
        <f>IF(AH27&lt;$I$4,AH27*$I$43/$I$4,$I$43+(AH27-$I$4)*($E$46-$I$43)/($E$6-$I$4))-Input!$B$14*AH27/$E$6*(1-AH27/$E$6)*AI$10/$E$4*(1-AI$10/$E$4)</f>
        <v>0</v>
      </c>
      <c r="AI67" s="48">
        <f t="shared" si="17"/>
        <v>0</v>
      </c>
      <c r="AJ67" s="47">
        <f>IF(AJ27&lt;$I$4,AJ27*$I$43/$I$4,$I$43+(AJ27-$I$4)*($E$46-$I$43)/($E$6-$I$4))-Input!$B$14*AJ27/$E$6*(1-AJ27/$E$6)*AK$10/$E$4*(1-AK$10/$E$4)</f>
        <v>0</v>
      </c>
      <c r="AK67" s="48">
        <f t="shared" si="18"/>
        <v>0</v>
      </c>
      <c r="AL67" s="47">
        <f>IF(AL27&lt;$I$4,AL27*$I$43/$I$4,$I$43+(AL27-$I$4)*($E$46-$I$43)/($E$6-$I$4))-Input!$B$14*AL27/$E$6*(1-AL27/$E$6)*AM$10/$E$4*(1-AM$10/$E$4)</f>
        <v>0</v>
      </c>
      <c r="AM67" s="48">
        <f t="shared" si="19"/>
        <v>0</v>
      </c>
      <c r="AN67" s="47">
        <f>IF(AN27&lt;$I$4,AN27*$I$43/$I$4,$I$43+(AN27-$I$4)*($E$46-$I$43)/($E$6-$I$4))-Input!$B$14*AN27/$E$6*(1-AN27/$E$6)*AO$10/$E$4*(1-AO$10/$E$4)</f>
        <v>0</v>
      </c>
      <c r="AO67" s="48">
        <f t="shared" si="20"/>
        <v>0</v>
      </c>
      <c r="AP67" s="47">
        <f>IF(AP27&lt;$I$4,AP27*$I$43/$I$4,$I$43+(AP27-$I$4)*($E$46-$I$43)/($E$6-$I$4))-Input!$B$14*AP27/$E$6*(1-AP27/$E$6)*AQ$10/$E$4*(1-AQ$10/$E$4)</f>
        <v>0</v>
      </c>
      <c r="AQ67" s="48">
        <f t="shared" si="21"/>
        <v>0</v>
      </c>
    </row>
    <row r="68" spans="1:43" s="38" customFormat="1" x14ac:dyDescent="0.2">
      <c r="A68" s="39">
        <v>17</v>
      </c>
      <c r="B68" s="47">
        <f>IF(B28&lt;$I$4,B28*$I$43/$I$4,$I$43+(B28-$I$4)*($E$46-$I$43)/($E$6-$I$4))-Input!$B$14*B28/$E$6*(1-B28/$E$6)*C$10/$E$4*(1-C$10/$E$4)</f>
        <v>0</v>
      </c>
      <c r="C68" s="48">
        <f t="shared" si="1"/>
        <v>0</v>
      </c>
      <c r="D68" s="47">
        <f>IF(D28&lt;$I$4,D28*$I$43/$I$4,$I$43+(D28-$I$4)*($E$46-$I$43)/($E$6-$I$4))-Input!$B$14*D28/$E$6*(1-D28/$E$6)*E$10/$E$4*(1-E$10/$E$4)</f>
        <v>0</v>
      </c>
      <c r="E68" s="48">
        <f t="shared" si="2"/>
        <v>0</v>
      </c>
      <c r="F68" s="47">
        <f>IF(F28&lt;$I$4,F28*$I$43/$I$4,$I$43+(F28-$I$4)*($E$46-$I$43)/($E$6-$I$4))-Input!$B$14*F28/$E$6*(1-F28/$E$6)*G$10/$E$4*(1-G$10/$E$4)</f>
        <v>0</v>
      </c>
      <c r="G68" s="48">
        <f t="shared" si="3"/>
        <v>0</v>
      </c>
      <c r="H68" s="47">
        <f>IF(H28&lt;$I$4,H28*$I$43/$I$4,$I$43+(H28-$I$4)*($E$46-$I$43)/($E$6-$I$4))-Input!$B$14*H28/$E$6*(1-H28/$E$6)*I$10/$E$4*(1-I$10/$E$4)</f>
        <v>0</v>
      </c>
      <c r="I68" s="48">
        <f t="shared" si="4"/>
        <v>0</v>
      </c>
      <c r="J68" s="47">
        <f>IF(J28&lt;$I$4,J28*$I$43/$I$4,$I$43+(J28-$I$4)*($E$46-$I$43)/($E$6-$I$4))-Input!$B$14*J28/$E$6*(1-J28/$E$6)*K$10/$E$4*(1-K$10/$E$4)</f>
        <v>0</v>
      </c>
      <c r="K68" s="48">
        <f t="shared" si="5"/>
        <v>0</v>
      </c>
      <c r="L68" s="47">
        <f>IF(L28&lt;$I$4,L28*$I$43/$I$4,$I$43+(L28-$I$4)*($E$46-$I$43)/($E$6-$I$4))-Input!$B$14*L28/$E$6*(1-L28/$E$6)*M$10/$E$4*(1-M$10/$E$4)</f>
        <v>0</v>
      </c>
      <c r="M68" s="48">
        <f t="shared" si="6"/>
        <v>0</v>
      </c>
      <c r="N68" s="47">
        <f>IF(N28&lt;$I$4,N28*$I$43/$I$4,$I$43+(N28-$I$4)*($E$46-$I$43)/($E$6-$I$4))-Input!$B$14*N28/$E$6*(1-N28/$E$6)*O$10/$E$4*(1-O$10/$E$4)</f>
        <v>0</v>
      </c>
      <c r="O68" s="48">
        <f t="shared" si="7"/>
        <v>0</v>
      </c>
      <c r="P68" s="47">
        <f>IF(P28&lt;$I$4,P28*$I$43/$I$4,$I$43+(P28-$I$4)*($E$46-$I$43)/($E$6-$I$4))-Input!$B$14*P28/$E$6*(1-P28/$E$6)*Q$10/$E$4*(1-Q$10/$E$4)</f>
        <v>0</v>
      </c>
      <c r="Q68" s="48">
        <f t="shared" si="8"/>
        <v>0</v>
      </c>
      <c r="R68" s="47">
        <f>IF(R28&lt;$I$4,R28*$I$43/$I$4,$I$43+(R28-$I$4)*($E$46-$I$43)/($E$6-$I$4))-Input!$B$14*R28/$E$6*(1-R28/$E$6)*S$10/$E$4*(1-S$10/$E$4)</f>
        <v>0</v>
      </c>
      <c r="S68" s="48">
        <f t="shared" si="9"/>
        <v>0</v>
      </c>
      <c r="T68" s="47">
        <f>IF(T28&lt;$I$4,T28*$I$43/$I$4,$I$43+(T28-$I$4)*($E$46-$I$43)/($E$6-$I$4))-Input!$B$14*T28/$E$6*(1-T28/$E$6)*U$10/$E$4*(1-U$10/$E$4)</f>
        <v>0</v>
      </c>
      <c r="U68" s="48">
        <f t="shared" si="10"/>
        <v>0</v>
      </c>
      <c r="V68" s="47">
        <f>IF(V28&lt;$I$4,V28*$I$43/$I$4,$I$43+(V28-$I$4)*($E$46-$I$43)/($E$6-$I$4))-Input!$B$14*V28/$E$6*(1-V28/$E$6)*W$10/$E$4*(1-W$10/$E$4)</f>
        <v>0</v>
      </c>
      <c r="W68" s="48">
        <f t="shared" si="11"/>
        <v>0</v>
      </c>
      <c r="X68" s="47">
        <f>IF(X28&lt;$I$4,X28*$I$43/$I$4,$I$43+(X28-$I$4)*($E$46-$I$43)/($E$6-$I$4))-Input!$B$14*X28/$E$6*(1-X28/$E$6)*Y$10/$E$4*(1-Y$10/$E$4)</f>
        <v>0</v>
      </c>
      <c r="Y68" s="48">
        <f t="shared" si="12"/>
        <v>0</v>
      </c>
      <c r="Z68" s="47">
        <f>IF(Z28&lt;$I$4,Z28*$I$43/$I$4,$I$43+(Z28-$I$4)*($E$46-$I$43)/($E$6-$I$4))-Input!$B$14*Z28/$E$6*(1-Z28/$E$6)*AA$10/$E$4*(1-AA$10/$E$4)</f>
        <v>0</v>
      </c>
      <c r="AA68" s="48">
        <f t="shared" si="13"/>
        <v>0</v>
      </c>
      <c r="AB68" s="47">
        <f>IF(AB28&lt;$I$4,AB28*$I$43/$I$4,$I$43+(AB28-$I$4)*($E$46-$I$43)/($E$6-$I$4))-Input!$B$14*AB28/$E$6*(1-AB28/$E$6)*AC$10/$E$4*(1-AC$10/$E$4)</f>
        <v>0</v>
      </c>
      <c r="AC68" s="48">
        <f t="shared" si="14"/>
        <v>0</v>
      </c>
      <c r="AD68" s="47">
        <f>IF(AD28&lt;$I$4,AD28*$I$43/$I$4,$I$43+(AD28-$I$4)*($E$46-$I$43)/($E$6-$I$4))-Input!$B$14*AD28/$E$6*(1-AD28/$E$6)*AE$10/$E$4*(1-AE$10/$E$4)</f>
        <v>0</v>
      </c>
      <c r="AE68" s="48">
        <f t="shared" si="15"/>
        <v>0</v>
      </c>
      <c r="AF68" s="47">
        <f>IF(AF28&lt;$I$4,AF28*$I$43/$I$4,$I$43+(AF28-$I$4)*($E$46-$I$43)/($E$6-$I$4))-Input!$B$14*AF28/$E$6*(1-AF28/$E$6)*AG$10/$E$4*(1-AG$10/$E$4)</f>
        <v>0</v>
      </c>
      <c r="AG68" s="48">
        <f t="shared" si="16"/>
        <v>0</v>
      </c>
      <c r="AH68" s="47">
        <f>IF(AH28&lt;$I$4,AH28*$I$43/$I$4,$I$43+(AH28-$I$4)*($E$46-$I$43)/($E$6-$I$4))-Input!$B$14*AH28/$E$6*(1-AH28/$E$6)*AI$10/$E$4*(1-AI$10/$E$4)</f>
        <v>0</v>
      </c>
      <c r="AI68" s="48">
        <f t="shared" si="17"/>
        <v>0</v>
      </c>
      <c r="AJ68" s="47">
        <f>IF(AJ28&lt;$I$4,AJ28*$I$43/$I$4,$I$43+(AJ28-$I$4)*($E$46-$I$43)/($E$6-$I$4))-Input!$B$14*AJ28/$E$6*(1-AJ28/$E$6)*AK$10/$E$4*(1-AK$10/$E$4)</f>
        <v>0</v>
      </c>
      <c r="AK68" s="48">
        <f t="shared" si="18"/>
        <v>0</v>
      </c>
      <c r="AL68" s="47">
        <f>IF(AL28&lt;$I$4,AL28*$I$43/$I$4,$I$43+(AL28-$I$4)*($E$46-$I$43)/($E$6-$I$4))-Input!$B$14*AL28/$E$6*(1-AL28/$E$6)*AM$10/$E$4*(1-AM$10/$E$4)</f>
        <v>0</v>
      </c>
      <c r="AM68" s="48">
        <f t="shared" si="19"/>
        <v>0</v>
      </c>
      <c r="AN68" s="47">
        <f>IF(AN28&lt;$I$4,AN28*$I$43/$I$4,$I$43+(AN28-$I$4)*($E$46-$I$43)/($E$6-$I$4))-Input!$B$14*AN28/$E$6*(1-AN28/$E$6)*AO$10/$E$4*(1-AO$10/$E$4)</f>
        <v>0</v>
      </c>
      <c r="AO68" s="48">
        <f t="shared" si="20"/>
        <v>0</v>
      </c>
      <c r="AP68" s="47">
        <f>IF(AP28&lt;$I$4,AP28*$I$43/$I$4,$I$43+(AP28-$I$4)*($E$46-$I$43)/($E$6-$I$4))-Input!$B$14*AP28/$E$6*(1-AP28/$E$6)*AQ$10/$E$4*(1-AQ$10/$E$4)</f>
        <v>0</v>
      </c>
      <c r="AQ68" s="48">
        <f t="shared" si="21"/>
        <v>0</v>
      </c>
    </row>
    <row r="69" spans="1:43" s="38" customFormat="1" x14ac:dyDescent="0.2">
      <c r="A69" s="39">
        <v>18</v>
      </c>
      <c r="B69" s="47">
        <f>IF(B29&lt;$I$4,B29*$I$43/$I$4,$I$43+(B29-$I$4)*($E$46-$I$43)/($E$6-$I$4))-Input!$B$14*B29/$E$6*(1-B29/$E$6)*C$10/$E$4*(1-C$10/$E$4)</f>
        <v>0</v>
      </c>
      <c r="C69" s="48">
        <f t="shared" si="1"/>
        <v>0</v>
      </c>
      <c r="D69" s="47">
        <f>IF(D29&lt;$I$4,D29*$I$43/$I$4,$I$43+(D29-$I$4)*($E$46-$I$43)/($E$6-$I$4))-Input!$B$14*D29/$E$6*(1-D29/$E$6)*E$10/$E$4*(1-E$10/$E$4)</f>
        <v>0</v>
      </c>
      <c r="E69" s="48">
        <f t="shared" si="2"/>
        <v>0</v>
      </c>
      <c r="F69" s="47">
        <f>IF(F29&lt;$I$4,F29*$I$43/$I$4,$I$43+(F29-$I$4)*($E$46-$I$43)/($E$6-$I$4))-Input!$B$14*F29/$E$6*(1-F29/$E$6)*G$10/$E$4*(1-G$10/$E$4)</f>
        <v>0</v>
      </c>
      <c r="G69" s="48">
        <f t="shared" si="3"/>
        <v>0</v>
      </c>
      <c r="H69" s="47">
        <f>IF(H29&lt;$I$4,H29*$I$43/$I$4,$I$43+(H29-$I$4)*($E$46-$I$43)/($E$6-$I$4))-Input!$B$14*H29/$E$6*(1-H29/$E$6)*I$10/$E$4*(1-I$10/$E$4)</f>
        <v>0</v>
      </c>
      <c r="I69" s="48">
        <f t="shared" si="4"/>
        <v>0</v>
      </c>
      <c r="J69" s="47">
        <f>IF(J29&lt;$I$4,J29*$I$43/$I$4,$I$43+(J29-$I$4)*($E$46-$I$43)/($E$6-$I$4))-Input!$B$14*J29/$E$6*(1-J29/$E$6)*K$10/$E$4*(1-K$10/$E$4)</f>
        <v>0</v>
      </c>
      <c r="K69" s="48">
        <f t="shared" si="5"/>
        <v>0</v>
      </c>
      <c r="L69" s="47">
        <f>IF(L29&lt;$I$4,L29*$I$43/$I$4,$I$43+(L29-$I$4)*($E$46-$I$43)/($E$6-$I$4))-Input!$B$14*L29/$E$6*(1-L29/$E$6)*M$10/$E$4*(1-M$10/$E$4)</f>
        <v>0</v>
      </c>
      <c r="M69" s="48">
        <f t="shared" si="6"/>
        <v>0</v>
      </c>
      <c r="N69" s="47">
        <f>IF(N29&lt;$I$4,N29*$I$43/$I$4,$I$43+(N29-$I$4)*($E$46-$I$43)/($E$6-$I$4))-Input!$B$14*N29/$E$6*(1-N29/$E$6)*O$10/$E$4*(1-O$10/$E$4)</f>
        <v>0</v>
      </c>
      <c r="O69" s="48">
        <f t="shared" si="7"/>
        <v>0</v>
      </c>
      <c r="P69" s="47">
        <f>IF(P29&lt;$I$4,P29*$I$43/$I$4,$I$43+(P29-$I$4)*($E$46-$I$43)/($E$6-$I$4))-Input!$B$14*P29/$E$6*(1-P29/$E$6)*Q$10/$E$4*(1-Q$10/$E$4)</f>
        <v>0</v>
      </c>
      <c r="Q69" s="48">
        <f t="shared" si="8"/>
        <v>0</v>
      </c>
      <c r="R69" s="47">
        <f>IF(R29&lt;$I$4,R29*$I$43/$I$4,$I$43+(R29-$I$4)*($E$46-$I$43)/($E$6-$I$4))-Input!$B$14*R29/$E$6*(1-R29/$E$6)*S$10/$E$4*(1-S$10/$E$4)</f>
        <v>0</v>
      </c>
      <c r="S69" s="48">
        <f t="shared" si="9"/>
        <v>0</v>
      </c>
      <c r="T69" s="47">
        <f>IF(T29&lt;$I$4,T29*$I$43/$I$4,$I$43+(T29-$I$4)*($E$46-$I$43)/($E$6-$I$4))-Input!$B$14*T29/$E$6*(1-T29/$E$6)*U$10/$E$4*(1-U$10/$E$4)</f>
        <v>0</v>
      </c>
      <c r="U69" s="48">
        <f t="shared" si="10"/>
        <v>0</v>
      </c>
      <c r="V69" s="47">
        <f>IF(V29&lt;$I$4,V29*$I$43/$I$4,$I$43+(V29-$I$4)*($E$46-$I$43)/($E$6-$I$4))-Input!$B$14*V29/$E$6*(1-V29/$E$6)*W$10/$E$4*(1-W$10/$E$4)</f>
        <v>0</v>
      </c>
      <c r="W69" s="48">
        <f t="shared" si="11"/>
        <v>0</v>
      </c>
      <c r="X69" s="47">
        <f>IF(X29&lt;$I$4,X29*$I$43/$I$4,$I$43+(X29-$I$4)*($E$46-$I$43)/($E$6-$I$4))-Input!$B$14*X29/$E$6*(1-X29/$E$6)*Y$10/$E$4*(1-Y$10/$E$4)</f>
        <v>0</v>
      </c>
      <c r="Y69" s="48">
        <f t="shared" si="12"/>
        <v>0</v>
      </c>
      <c r="Z69" s="47">
        <f>IF(Z29&lt;$I$4,Z29*$I$43/$I$4,$I$43+(Z29-$I$4)*($E$46-$I$43)/($E$6-$I$4))-Input!$B$14*Z29/$E$6*(1-Z29/$E$6)*AA$10/$E$4*(1-AA$10/$E$4)</f>
        <v>0</v>
      </c>
      <c r="AA69" s="48">
        <f t="shared" si="13"/>
        <v>0</v>
      </c>
      <c r="AB69" s="47">
        <f>IF(AB29&lt;$I$4,AB29*$I$43/$I$4,$I$43+(AB29-$I$4)*($E$46-$I$43)/($E$6-$I$4))-Input!$B$14*AB29/$E$6*(1-AB29/$E$6)*AC$10/$E$4*(1-AC$10/$E$4)</f>
        <v>0</v>
      </c>
      <c r="AC69" s="48">
        <f t="shared" si="14"/>
        <v>0</v>
      </c>
      <c r="AD69" s="47">
        <f>IF(AD29&lt;$I$4,AD29*$I$43/$I$4,$I$43+(AD29-$I$4)*($E$46-$I$43)/($E$6-$I$4))-Input!$B$14*AD29/$E$6*(1-AD29/$E$6)*AE$10/$E$4*(1-AE$10/$E$4)</f>
        <v>0</v>
      </c>
      <c r="AE69" s="48">
        <f t="shared" si="15"/>
        <v>0</v>
      </c>
      <c r="AF69" s="47">
        <f>IF(AF29&lt;$I$4,AF29*$I$43/$I$4,$I$43+(AF29-$I$4)*($E$46-$I$43)/($E$6-$I$4))-Input!$B$14*AF29/$E$6*(1-AF29/$E$6)*AG$10/$E$4*(1-AG$10/$E$4)</f>
        <v>0</v>
      </c>
      <c r="AG69" s="48">
        <f t="shared" si="16"/>
        <v>0</v>
      </c>
      <c r="AH69" s="47">
        <f>IF(AH29&lt;$I$4,AH29*$I$43/$I$4,$I$43+(AH29-$I$4)*($E$46-$I$43)/($E$6-$I$4))-Input!$B$14*AH29/$E$6*(1-AH29/$E$6)*AI$10/$E$4*(1-AI$10/$E$4)</f>
        <v>0</v>
      </c>
      <c r="AI69" s="48">
        <f t="shared" si="17"/>
        <v>0</v>
      </c>
      <c r="AJ69" s="47">
        <f>IF(AJ29&lt;$I$4,AJ29*$I$43/$I$4,$I$43+(AJ29-$I$4)*($E$46-$I$43)/($E$6-$I$4))-Input!$B$14*AJ29/$E$6*(1-AJ29/$E$6)*AK$10/$E$4*(1-AK$10/$E$4)</f>
        <v>0</v>
      </c>
      <c r="AK69" s="48">
        <f t="shared" si="18"/>
        <v>0</v>
      </c>
      <c r="AL69" s="47">
        <f>IF(AL29&lt;$I$4,AL29*$I$43/$I$4,$I$43+(AL29-$I$4)*($E$46-$I$43)/($E$6-$I$4))-Input!$B$14*AL29/$E$6*(1-AL29/$E$6)*AM$10/$E$4*(1-AM$10/$E$4)</f>
        <v>0</v>
      </c>
      <c r="AM69" s="48">
        <f t="shared" si="19"/>
        <v>0</v>
      </c>
      <c r="AN69" s="47">
        <f>IF(AN29&lt;$I$4,AN29*$I$43/$I$4,$I$43+(AN29-$I$4)*($E$46-$I$43)/($E$6-$I$4))-Input!$B$14*AN29/$E$6*(1-AN29/$E$6)*AO$10/$E$4*(1-AO$10/$E$4)</f>
        <v>0</v>
      </c>
      <c r="AO69" s="48">
        <f t="shared" si="20"/>
        <v>0</v>
      </c>
      <c r="AP69" s="47">
        <f>IF(AP29&lt;$I$4,AP29*$I$43/$I$4,$I$43+(AP29-$I$4)*($E$46-$I$43)/($E$6-$I$4))-Input!$B$14*AP29/$E$6*(1-AP29/$E$6)*AQ$10/$E$4*(1-AQ$10/$E$4)</f>
        <v>0</v>
      </c>
      <c r="AQ69" s="48">
        <f t="shared" si="21"/>
        <v>0</v>
      </c>
    </row>
    <row r="70" spans="1:43" s="38" customFormat="1" x14ac:dyDescent="0.2">
      <c r="A70" s="39">
        <v>19</v>
      </c>
      <c r="B70" s="47">
        <f>IF(B30&lt;$I$4,B30*$I$43/$I$4,$I$43+(B30-$I$4)*($E$46-$I$43)/($E$6-$I$4))-Input!$B$14*B30/$E$6*(1-B30/$E$6)*C$10/$E$4*(1-C$10/$E$4)</f>
        <v>0</v>
      </c>
      <c r="C70" s="48">
        <f t="shared" si="1"/>
        <v>0</v>
      </c>
      <c r="D70" s="47">
        <f>IF(D30&lt;$I$4,D30*$I$43/$I$4,$I$43+(D30-$I$4)*($E$46-$I$43)/($E$6-$I$4))-Input!$B$14*D30/$E$6*(1-D30/$E$6)*E$10/$E$4*(1-E$10/$E$4)</f>
        <v>0</v>
      </c>
      <c r="E70" s="48">
        <f t="shared" si="2"/>
        <v>0</v>
      </c>
      <c r="F70" s="47">
        <f>IF(F30&lt;$I$4,F30*$I$43/$I$4,$I$43+(F30-$I$4)*($E$46-$I$43)/($E$6-$I$4))-Input!$B$14*F30/$E$6*(1-F30/$E$6)*G$10/$E$4*(1-G$10/$E$4)</f>
        <v>0</v>
      </c>
      <c r="G70" s="48">
        <f t="shared" si="3"/>
        <v>0</v>
      </c>
      <c r="H70" s="47">
        <f>IF(H30&lt;$I$4,H30*$I$43/$I$4,$I$43+(H30-$I$4)*($E$46-$I$43)/($E$6-$I$4))-Input!$B$14*H30/$E$6*(1-H30/$E$6)*I$10/$E$4*(1-I$10/$E$4)</f>
        <v>0</v>
      </c>
      <c r="I70" s="48">
        <f t="shared" si="4"/>
        <v>0</v>
      </c>
      <c r="J70" s="47">
        <f>IF(J30&lt;$I$4,J30*$I$43/$I$4,$I$43+(J30-$I$4)*($E$46-$I$43)/($E$6-$I$4))-Input!$B$14*J30/$E$6*(1-J30/$E$6)*K$10/$E$4*(1-K$10/$E$4)</f>
        <v>0</v>
      </c>
      <c r="K70" s="48">
        <f t="shared" si="5"/>
        <v>0</v>
      </c>
      <c r="L70" s="47">
        <f>IF(L30&lt;$I$4,L30*$I$43/$I$4,$I$43+(L30-$I$4)*($E$46-$I$43)/($E$6-$I$4))-Input!$B$14*L30/$E$6*(1-L30/$E$6)*M$10/$E$4*(1-M$10/$E$4)</f>
        <v>0</v>
      </c>
      <c r="M70" s="48">
        <f t="shared" si="6"/>
        <v>0</v>
      </c>
      <c r="N70" s="47">
        <f>IF(N30&lt;$I$4,N30*$I$43/$I$4,$I$43+(N30-$I$4)*($E$46-$I$43)/($E$6-$I$4))-Input!$B$14*N30/$E$6*(1-N30/$E$6)*O$10/$E$4*(1-O$10/$E$4)</f>
        <v>0</v>
      </c>
      <c r="O70" s="48">
        <f t="shared" si="7"/>
        <v>0</v>
      </c>
      <c r="P70" s="47">
        <f>IF(P30&lt;$I$4,P30*$I$43/$I$4,$I$43+(P30-$I$4)*($E$46-$I$43)/($E$6-$I$4))-Input!$B$14*P30/$E$6*(1-P30/$E$6)*Q$10/$E$4*(1-Q$10/$E$4)</f>
        <v>0</v>
      </c>
      <c r="Q70" s="48">
        <f t="shared" si="8"/>
        <v>0</v>
      </c>
      <c r="R70" s="47">
        <f>IF(R30&lt;$I$4,R30*$I$43/$I$4,$I$43+(R30-$I$4)*($E$46-$I$43)/($E$6-$I$4))-Input!$B$14*R30/$E$6*(1-R30/$E$6)*S$10/$E$4*(1-S$10/$E$4)</f>
        <v>0</v>
      </c>
      <c r="S70" s="48">
        <f t="shared" si="9"/>
        <v>0</v>
      </c>
      <c r="T70" s="47">
        <f>IF(T30&lt;$I$4,T30*$I$43/$I$4,$I$43+(T30-$I$4)*($E$46-$I$43)/($E$6-$I$4))-Input!$B$14*T30/$E$6*(1-T30/$E$6)*U$10/$E$4*(1-U$10/$E$4)</f>
        <v>0</v>
      </c>
      <c r="U70" s="48">
        <f t="shared" si="10"/>
        <v>0</v>
      </c>
      <c r="V70" s="47">
        <f>IF(V30&lt;$I$4,V30*$I$43/$I$4,$I$43+(V30-$I$4)*($E$46-$I$43)/($E$6-$I$4))-Input!$B$14*V30/$E$6*(1-V30/$E$6)*W$10/$E$4*(1-W$10/$E$4)</f>
        <v>0</v>
      </c>
      <c r="W70" s="48">
        <f t="shared" si="11"/>
        <v>0</v>
      </c>
      <c r="X70" s="47">
        <f>IF(X30&lt;$I$4,X30*$I$43/$I$4,$I$43+(X30-$I$4)*($E$46-$I$43)/($E$6-$I$4))-Input!$B$14*X30/$E$6*(1-X30/$E$6)*Y$10/$E$4*(1-Y$10/$E$4)</f>
        <v>0</v>
      </c>
      <c r="Y70" s="48">
        <f t="shared" si="12"/>
        <v>0</v>
      </c>
      <c r="Z70" s="47">
        <f>IF(Z30&lt;$I$4,Z30*$I$43/$I$4,$I$43+(Z30-$I$4)*($E$46-$I$43)/($E$6-$I$4))-Input!$B$14*Z30/$E$6*(1-Z30/$E$6)*AA$10/$E$4*(1-AA$10/$E$4)</f>
        <v>0</v>
      </c>
      <c r="AA70" s="48">
        <f t="shared" si="13"/>
        <v>0</v>
      </c>
      <c r="AB70" s="47">
        <f>IF(AB30&lt;$I$4,AB30*$I$43/$I$4,$I$43+(AB30-$I$4)*($E$46-$I$43)/($E$6-$I$4))-Input!$B$14*AB30/$E$6*(1-AB30/$E$6)*AC$10/$E$4*(1-AC$10/$E$4)</f>
        <v>0</v>
      </c>
      <c r="AC70" s="48">
        <f t="shared" si="14"/>
        <v>0</v>
      </c>
      <c r="AD70" s="47">
        <f>IF(AD30&lt;$I$4,AD30*$I$43/$I$4,$I$43+(AD30-$I$4)*($E$46-$I$43)/($E$6-$I$4))-Input!$B$14*AD30/$E$6*(1-AD30/$E$6)*AE$10/$E$4*(1-AE$10/$E$4)</f>
        <v>0</v>
      </c>
      <c r="AE70" s="48">
        <f t="shared" si="15"/>
        <v>0</v>
      </c>
      <c r="AF70" s="47">
        <f>IF(AF30&lt;$I$4,AF30*$I$43/$I$4,$I$43+(AF30-$I$4)*($E$46-$I$43)/($E$6-$I$4))-Input!$B$14*AF30/$E$6*(1-AF30/$E$6)*AG$10/$E$4*(1-AG$10/$E$4)</f>
        <v>0</v>
      </c>
      <c r="AG70" s="48">
        <f t="shared" si="16"/>
        <v>0</v>
      </c>
      <c r="AH70" s="47">
        <f>IF(AH30&lt;$I$4,AH30*$I$43/$I$4,$I$43+(AH30-$I$4)*($E$46-$I$43)/($E$6-$I$4))-Input!$B$14*AH30/$E$6*(1-AH30/$E$6)*AI$10/$E$4*(1-AI$10/$E$4)</f>
        <v>0</v>
      </c>
      <c r="AI70" s="48">
        <f t="shared" si="17"/>
        <v>0</v>
      </c>
      <c r="AJ70" s="47">
        <f>IF(AJ30&lt;$I$4,AJ30*$I$43/$I$4,$I$43+(AJ30-$I$4)*($E$46-$I$43)/($E$6-$I$4))-Input!$B$14*AJ30/$E$6*(1-AJ30/$E$6)*AK$10/$E$4*(1-AK$10/$E$4)</f>
        <v>0</v>
      </c>
      <c r="AK70" s="48">
        <f t="shared" si="18"/>
        <v>0</v>
      </c>
      <c r="AL70" s="47">
        <f>IF(AL30&lt;$I$4,AL30*$I$43/$I$4,$I$43+(AL30-$I$4)*($E$46-$I$43)/($E$6-$I$4))-Input!$B$14*AL30/$E$6*(1-AL30/$E$6)*AM$10/$E$4*(1-AM$10/$E$4)</f>
        <v>0</v>
      </c>
      <c r="AM70" s="48">
        <f t="shared" si="19"/>
        <v>0</v>
      </c>
      <c r="AN70" s="47">
        <f>IF(AN30&lt;$I$4,AN30*$I$43/$I$4,$I$43+(AN30-$I$4)*($E$46-$I$43)/($E$6-$I$4))-Input!$B$14*AN30/$E$6*(1-AN30/$E$6)*AO$10/$E$4*(1-AO$10/$E$4)</f>
        <v>0</v>
      </c>
      <c r="AO70" s="48">
        <f t="shared" si="20"/>
        <v>0</v>
      </c>
      <c r="AP70" s="47">
        <f>IF(AP30&lt;$I$4,AP30*$I$43/$I$4,$I$43+(AP30-$I$4)*($E$46-$I$43)/($E$6-$I$4))-Input!$B$14*AP30/$E$6*(1-AP30/$E$6)*AQ$10/$E$4*(1-AQ$10/$E$4)</f>
        <v>0</v>
      </c>
      <c r="AQ70" s="48">
        <f t="shared" si="21"/>
        <v>0</v>
      </c>
    </row>
    <row r="71" spans="1:43" s="38" customFormat="1" x14ac:dyDescent="0.2">
      <c r="A71" s="39">
        <v>20</v>
      </c>
      <c r="B71" s="47">
        <f>IF(B31&lt;$I$4,B31*$I$43/$I$4,$I$43+(B31-$I$4)*($E$46-$I$43)/($E$6-$I$4))-Input!$B$14*B31/$E$6*(1-B31/$E$6)*C$10/$E$4*(1-C$10/$E$4)</f>
        <v>0</v>
      </c>
      <c r="C71" s="48">
        <f t="shared" si="1"/>
        <v>0</v>
      </c>
      <c r="D71" s="47">
        <f>IF(D31&lt;$I$4,D31*$I$43/$I$4,$I$43+(D31-$I$4)*($E$46-$I$43)/($E$6-$I$4))-Input!$B$14*D31/$E$6*(1-D31/$E$6)*E$10/$E$4*(1-E$10/$E$4)</f>
        <v>0</v>
      </c>
      <c r="E71" s="48">
        <f t="shared" si="2"/>
        <v>0</v>
      </c>
      <c r="F71" s="47">
        <f>IF(F31&lt;$I$4,F31*$I$43/$I$4,$I$43+(F31-$I$4)*($E$46-$I$43)/($E$6-$I$4))-Input!$B$14*F31/$E$6*(1-F31/$E$6)*G$10/$E$4*(1-G$10/$E$4)</f>
        <v>0</v>
      </c>
      <c r="G71" s="48">
        <f t="shared" si="3"/>
        <v>0</v>
      </c>
      <c r="H71" s="47">
        <f>IF(H31&lt;$I$4,H31*$I$43/$I$4,$I$43+(H31-$I$4)*($E$46-$I$43)/($E$6-$I$4))-Input!$B$14*H31/$E$6*(1-H31/$E$6)*I$10/$E$4*(1-I$10/$E$4)</f>
        <v>0</v>
      </c>
      <c r="I71" s="48">
        <f t="shared" si="4"/>
        <v>0</v>
      </c>
      <c r="J71" s="47">
        <f>IF(J31&lt;$I$4,J31*$I$43/$I$4,$I$43+(J31-$I$4)*($E$46-$I$43)/($E$6-$I$4))-Input!$B$14*J31/$E$6*(1-J31/$E$6)*K$10/$E$4*(1-K$10/$E$4)</f>
        <v>0</v>
      </c>
      <c r="K71" s="48">
        <f t="shared" si="5"/>
        <v>0</v>
      </c>
      <c r="L71" s="47">
        <f>IF(L31&lt;$I$4,L31*$I$43/$I$4,$I$43+(L31-$I$4)*($E$46-$I$43)/($E$6-$I$4))-Input!$B$14*L31/$E$6*(1-L31/$E$6)*M$10/$E$4*(1-M$10/$E$4)</f>
        <v>0</v>
      </c>
      <c r="M71" s="48">
        <f t="shared" si="6"/>
        <v>0</v>
      </c>
      <c r="N71" s="47">
        <f>IF(N31&lt;$I$4,N31*$I$43/$I$4,$I$43+(N31-$I$4)*($E$46-$I$43)/($E$6-$I$4))-Input!$B$14*N31/$E$6*(1-N31/$E$6)*O$10/$E$4*(1-O$10/$E$4)</f>
        <v>0</v>
      </c>
      <c r="O71" s="48">
        <f t="shared" si="7"/>
        <v>0</v>
      </c>
      <c r="P71" s="47">
        <f>IF(P31&lt;$I$4,P31*$I$43/$I$4,$I$43+(P31-$I$4)*($E$46-$I$43)/($E$6-$I$4))-Input!$B$14*P31/$E$6*(1-P31/$E$6)*Q$10/$E$4*(1-Q$10/$E$4)</f>
        <v>0</v>
      </c>
      <c r="Q71" s="48">
        <f t="shared" si="8"/>
        <v>0</v>
      </c>
      <c r="R71" s="47">
        <f>IF(R31&lt;$I$4,R31*$I$43/$I$4,$I$43+(R31-$I$4)*($E$46-$I$43)/($E$6-$I$4))-Input!$B$14*R31/$E$6*(1-R31/$E$6)*S$10/$E$4*(1-S$10/$E$4)</f>
        <v>0</v>
      </c>
      <c r="S71" s="48">
        <f t="shared" si="9"/>
        <v>0</v>
      </c>
      <c r="T71" s="47">
        <f>IF(T31&lt;$I$4,T31*$I$43/$I$4,$I$43+(T31-$I$4)*($E$46-$I$43)/($E$6-$I$4))-Input!$B$14*T31/$E$6*(1-T31/$E$6)*U$10/$E$4*(1-U$10/$E$4)</f>
        <v>0</v>
      </c>
      <c r="U71" s="48">
        <f t="shared" si="10"/>
        <v>0</v>
      </c>
      <c r="V71" s="47">
        <f>IF(V31&lt;$I$4,V31*$I$43/$I$4,$I$43+(V31-$I$4)*($E$46-$I$43)/($E$6-$I$4))-Input!$B$14*V31/$E$6*(1-V31/$E$6)*W$10/$E$4*(1-W$10/$E$4)</f>
        <v>0</v>
      </c>
      <c r="W71" s="48">
        <f t="shared" si="11"/>
        <v>0</v>
      </c>
      <c r="X71" s="47">
        <f>IF(X31&lt;$I$4,X31*$I$43/$I$4,$I$43+(X31-$I$4)*($E$46-$I$43)/($E$6-$I$4))-Input!$B$14*X31/$E$6*(1-X31/$E$6)*Y$10/$E$4*(1-Y$10/$E$4)</f>
        <v>0</v>
      </c>
      <c r="Y71" s="48">
        <f t="shared" si="12"/>
        <v>0</v>
      </c>
      <c r="Z71" s="47">
        <f>IF(Z31&lt;$I$4,Z31*$I$43/$I$4,$I$43+(Z31-$I$4)*($E$46-$I$43)/($E$6-$I$4))-Input!$B$14*Z31/$E$6*(1-Z31/$E$6)*AA$10/$E$4*(1-AA$10/$E$4)</f>
        <v>0</v>
      </c>
      <c r="AA71" s="48">
        <f t="shared" si="13"/>
        <v>0</v>
      </c>
      <c r="AB71" s="47">
        <f>IF(AB31&lt;$I$4,AB31*$I$43/$I$4,$I$43+(AB31-$I$4)*($E$46-$I$43)/($E$6-$I$4))-Input!$B$14*AB31/$E$6*(1-AB31/$E$6)*AC$10/$E$4*(1-AC$10/$E$4)</f>
        <v>0</v>
      </c>
      <c r="AC71" s="48">
        <f t="shared" si="14"/>
        <v>0</v>
      </c>
      <c r="AD71" s="47">
        <f>IF(AD31&lt;$I$4,AD31*$I$43/$I$4,$I$43+(AD31-$I$4)*($E$46-$I$43)/($E$6-$I$4))-Input!$B$14*AD31/$E$6*(1-AD31/$E$6)*AE$10/$E$4*(1-AE$10/$E$4)</f>
        <v>0</v>
      </c>
      <c r="AE71" s="48">
        <f t="shared" si="15"/>
        <v>0</v>
      </c>
      <c r="AF71" s="47">
        <f>IF(AF31&lt;$I$4,AF31*$I$43/$I$4,$I$43+(AF31-$I$4)*($E$46-$I$43)/($E$6-$I$4))-Input!$B$14*AF31/$E$6*(1-AF31/$E$6)*AG$10/$E$4*(1-AG$10/$E$4)</f>
        <v>0</v>
      </c>
      <c r="AG71" s="48">
        <f t="shared" si="16"/>
        <v>0</v>
      </c>
      <c r="AH71" s="47">
        <f>IF(AH31&lt;$I$4,AH31*$I$43/$I$4,$I$43+(AH31-$I$4)*($E$46-$I$43)/($E$6-$I$4))-Input!$B$14*AH31/$E$6*(1-AH31/$E$6)*AI$10/$E$4*(1-AI$10/$E$4)</f>
        <v>0</v>
      </c>
      <c r="AI71" s="48">
        <f t="shared" si="17"/>
        <v>0</v>
      </c>
      <c r="AJ71" s="47">
        <f>IF(AJ31&lt;$I$4,AJ31*$I$43/$I$4,$I$43+(AJ31-$I$4)*($E$46-$I$43)/($E$6-$I$4))-Input!$B$14*AJ31/$E$6*(1-AJ31/$E$6)*AK$10/$E$4*(1-AK$10/$E$4)</f>
        <v>0</v>
      </c>
      <c r="AK71" s="48">
        <f t="shared" si="18"/>
        <v>0</v>
      </c>
      <c r="AL71" s="47">
        <f>IF(AL31&lt;$I$4,AL31*$I$43/$I$4,$I$43+(AL31-$I$4)*($E$46-$I$43)/($E$6-$I$4))-Input!$B$14*AL31/$E$6*(1-AL31/$E$6)*AM$10/$E$4*(1-AM$10/$E$4)</f>
        <v>0</v>
      </c>
      <c r="AM71" s="48">
        <f t="shared" si="19"/>
        <v>0</v>
      </c>
      <c r="AN71" s="47">
        <f>IF(AN31&lt;$I$4,AN31*$I$43/$I$4,$I$43+(AN31-$I$4)*($E$46-$I$43)/($E$6-$I$4))-Input!$B$14*AN31/$E$6*(1-AN31/$E$6)*AO$10/$E$4*(1-AO$10/$E$4)</f>
        <v>0</v>
      </c>
      <c r="AO71" s="48">
        <f t="shared" si="20"/>
        <v>0</v>
      </c>
      <c r="AP71" s="47">
        <f>IF(AP31&lt;$I$4,AP31*$I$43/$I$4,$I$43+(AP31-$I$4)*($E$46-$I$43)/($E$6-$I$4))-Input!$B$14*AP31/$E$6*(1-AP31/$E$6)*AQ$10/$E$4*(1-AQ$10/$E$4)</f>
        <v>0</v>
      </c>
      <c r="AQ71" s="48">
        <f t="shared" si="21"/>
        <v>0</v>
      </c>
    </row>
    <row r="72" spans="1:43" s="38" customFormat="1" x14ac:dyDescent="0.2">
      <c r="A72" s="39">
        <v>21</v>
      </c>
      <c r="B72" s="47">
        <f>IF(B32&lt;$I$4,B32*$I$43/$I$4,$I$43+(B32-$I$4)*($E$46-$I$43)/($E$6-$I$4))-Input!$B$14*B32/$E$6*(1-B32/$E$6)*C$10/$E$4*(1-C$10/$E$4)</f>
        <v>0</v>
      </c>
      <c r="C72" s="48">
        <f t="shared" si="1"/>
        <v>0</v>
      </c>
      <c r="D72" s="47">
        <f>IF(D32&lt;$I$4,D32*$I$43/$I$4,$I$43+(D32-$I$4)*($E$46-$I$43)/($E$6-$I$4))-Input!$B$14*D32/$E$6*(1-D32/$E$6)*E$10/$E$4*(1-E$10/$E$4)</f>
        <v>0</v>
      </c>
      <c r="E72" s="48">
        <f t="shared" si="2"/>
        <v>0</v>
      </c>
      <c r="F72" s="47">
        <f>IF(F32&lt;$I$4,F32*$I$43/$I$4,$I$43+(F32-$I$4)*($E$46-$I$43)/($E$6-$I$4))-Input!$B$14*F32/$E$6*(1-F32/$E$6)*G$10/$E$4*(1-G$10/$E$4)</f>
        <v>0</v>
      </c>
      <c r="G72" s="48">
        <f t="shared" si="3"/>
        <v>0</v>
      </c>
      <c r="H72" s="47">
        <f>IF(H32&lt;$I$4,H32*$I$43/$I$4,$I$43+(H32-$I$4)*($E$46-$I$43)/($E$6-$I$4))-Input!$B$14*H32/$E$6*(1-H32/$E$6)*I$10/$E$4*(1-I$10/$E$4)</f>
        <v>0</v>
      </c>
      <c r="I72" s="48">
        <f t="shared" si="4"/>
        <v>0</v>
      </c>
      <c r="J72" s="47">
        <f>IF(J32&lt;$I$4,J32*$I$43/$I$4,$I$43+(J32-$I$4)*($E$46-$I$43)/($E$6-$I$4))-Input!$B$14*J32/$E$6*(1-J32/$E$6)*K$10/$E$4*(1-K$10/$E$4)</f>
        <v>0</v>
      </c>
      <c r="K72" s="48">
        <f t="shared" si="5"/>
        <v>0</v>
      </c>
      <c r="L72" s="47">
        <f>IF(L32&lt;$I$4,L32*$I$43/$I$4,$I$43+(L32-$I$4)*($E$46-$I$43)/($E$6-$I$4))-Input!$B$14*L32/$E$6*(1-L32/$E$6)*M$10/$E$4*(1-M$10/$E$4)</f>
        <v>0</v>
      </c>
      <c r="M72" s="48">
        <f t="shared" si="6"/>
        <v>0</v>
      </c>
      <c r="N72" s="47">
        <f>IF(N32&lt;$I$4,N32*$I$43/$I$4,$I$43+(N32-$I$4)*($E$46-$I$43)/($E$6-$I$4))-Input!$B$14*N32/$E$6*(1-N32/$E$6)*O$10/$E$4*(1-O$10/$E$4)</f>
        <v>0</v>
      </c>
      <c r="O72" s="48">
        <f t="shared" si="7"/>
        <v>0</v>
      </c>
      <c r="P72" s="47">
        <f>IF(P32&lt;$I$4,P32*$I$43/$I$4,$I$43+(P32-$I$4)*($E$46-$I$43)/($E$6-$I$4))-Input!$B$14*P32/$E$6*(1-P32/$E$6)*Q$10/$E$4*(1-Q$10/$E$4)</f>
        <v>0</v>
      </c>
      <c r="Q72" s="48">
        <f t="shared" si="8"/>
        <v>0</v>
      </c>
      <c r="R72" s="47">
        <f>IF(R32&lt;$I$4,R32*$I$43/$I$4,$I$43+(R32-$I$4)*($E$46-$I$43)/($E$6-$I$4))-Input!$B$14*R32/$E$6*(1-R32/$E$6)*S$10/$E$4*(1-S$10/$E$4)</f>
        <v>0</v>
      </c>
      <c r="S72" s="48">
        <f t="shared" si="9"/>
        <v>0</v>
      </c>
      <c r="T72" s="47">
        <f>IF(T32&lt;$I$4,T32*$I$43/$I$4,$I$43+(T32-$I$4)*($E$46-$I$43)/($E$6-$I$4))-Input!$B$14*T32/$E$6*(1-T32/$E$6)*U$10/$E$4*(1-U$10/$E$4)</f>
        <v>0</v>
      </c>
      <c r="U72" s="48">
        <f t="shared" si="10"/>
        <v>0</v>
      </c>
      <c r="V72" s="47">
        <f>IF(V32&lt;$I$4,V32*$I$43/$I$4,$I$43+(V32-$I$4)*($E$46-$I$43)/($E$6-$I$4))-Input!$B$14*V32/$E$6*(1-V32/$E$6)*W$10/$E$4*(1-W$10/$E$4)</f>
        <v>0</v>
      </c>
      <c r="W72" s="48">
        <f t="shared" si="11"/>
        <v>0</v>
      </c>
      <c r="X72" s="47">
        <f>IF(X32&lt;$I$4,X32*$I$43/$I$4,$I$43+(X32-$I$4)*($E$46-$I$43)/($E$6-$I$4))-Input!$B$14*X32/$E$6*(1-X32/$E$6)*Y$10/$E$4*(1-Y$10/$E$4)</f>
        <v>0</v>
      </c>
      <c r="Y72" s="48">
        <f t="shared" si="12"/>
        <v>0</v>
      </c>
      <c r="Z72" s="47">
        <f>IF(Z32&lt;$I$4,Z32*$I$43/$I$4,$I$43+(Z32-$I$4)*($E$46-$I$43)/($E$6-$I$4))-Input!$B$14*Z32/$E$6*(1-Z32/$E$6)*AA$10/$E$4*(1-AA$10/$E$4)</f>
        <v>0</v>
      </c>
      <c r="AA72" s="48">
        <f t="shared" si="13"/>
        <v>0</v>
      </c>
      <c r="AB72" s="47">
        <f>IF(AB32&lt;$I$4,AB32*$I$43/$I$4,$I$43+(AB32-$I$4)*($E$46-$I$43)/($E$6-$I$4))-Input!$B$14*AB32/$E$6*(1-AB32/$E$6)*AC$10/$E$4*(1-AC$10/$E$4)</f>
        <v>0</v>
      </c>
      <c r="AC72" s="48">
        <f t="shared" si="14"/>
        <v>0</v>
      </c>
      <c r="AD72" s="47">
        <f>IF(AD32&lt;$I$4,AD32*$I$43/$I$4,$I$43+(AD32-$I$4)*($E$46-$I$43)/($E$6-$I$4))-Input!$B$14*AD32/$E$6*(1-AD32/$E$6)*AE$10/$E$4*(1-AE$10/$E$4)</f>
        <v>0</v>
      </c>
      <c r="AE72" s="48">
        <f t="shared" si="15"/>
        <v>0</v>
      </c>
      <c r="AF72" s="47">
        <f>IF(AF32&lt;$I$4,AF32*$I$43/$I$4,$I$43+(AF32-$I$4)*($E$46-$I$43)/($E$6-$I$4))-Input!$B$14*AF32/$E$6*(1-AF32/$E$6)*AG$10/$E$4*(1-AG$10/$E$4)</f>
        <v>0</v>
      </c>
      <c r="AG72" s="48">
        <f t="shared" si="16"/>
        <v>0</v>
      </c>
      <c r="AH72" s="47">
        <f>IF(AH32&lt;$I$4,AH32*$I$43/$I$4,$I$43+(AH32-$I$4)*($E$46-$I$43)/($E$6-$I$4))-Input!$B$14*AH32/$E$6*(1-AH32/$E$6)*AI$10/$E$4*(1-AI$10/$E$4)</f>
        <v>0</v>
      </c>
      <c r="AI72" s="48">
        <f t="shared" si="17"/>
        <v>0</v>
      </c>
      <c r="AJ72" s="47">
        <f>IF(AJ32&lt;$I$4,AJ32*$I$43/$I$4,$I$43+(AJ32-$I$4)*($E$46-$I$43)/($E$6-$I$4))-Input!$B$14*AJ32/$E$6*(1-AJ32/$E$6)*AK$10/$E$4*(1-AK$10/$E$4)</f>
        <v>0</v>
      </c>
      <c r="AK72" s="48">
        <f t="shared" si="18"/>
        <v>0</v>
      </c>
      <c r="AL72" s="47">
        <f>IF(AL32&lt;$I$4,AL32*$I$43/$I$4,$I$43+(AL32-$I$4)*($E$46-$I$43)/($E$6-$I$4))-Input!$B$14*AL32/$E$6*(1-AL32/$E$6)*AM$10/$E$4*(1-AM$10/$E$4)</f>
        <v>0</v>
      </c>
      <c r="AM72" s="48">
        <f t="shared" si="19"/>
        <v>0</v>
      </c>
      <c r="AN72" s="47">
        <f>IF(AN32&lt;$I$4,AN32*$I$43/$I$4,$I$43+(AN32-$I$4)*($E$46-$I$43)/($E$6-$I$4))-Input!$B$14*AN32/$E$6*(1-AN32/$E$6)*AO$10/$E$4*(1-AO$10/$E$4)</f>
        <v>0</v>
      </c>
      <c r="AO72" s="48">
        <f t="shared" si="20"/>
        <v>0</v>
      </c>
      <c r="AP72" s="47">
        <f>IF(AP32&lt;$I$4,AP32*$I$43/$I$4,$I$43+(AP32-$I$4)*($E$46-$I$43)/($E$6-$I$4))-Input!$B$14*AP32/$E$6*(1-AP32/$E$6)*AQ$10/$E$4*(1-AQ$10/$E$4)</f>
        <v>0</v>
      </c>
      <c r="AQ72" s="48">
        <f t="shared" si="21"/>
        <v>0</v>
      </c>
    </row>
    <row r="73" spans="1:43" s="38" customFormat="1" x14ac:dyDescent="0.2">
      <c r="A73" s="39">
        <v>22</v>
      </c>
      <c r="B73" s="47">
        <f>IF(B33&lt;$I$4,B33*$I$43/$I$4,$I$43+(B33-$I$4)*($E$46-$I$43)/($E$6-$I$4))-Input!$B$14*B33/$E$6*(1-B33/$E$6)*C$10/$E$4*(1-C$10/$E$4)</f>
        <v>0</v>
      </c>
      <c r="C73" s="48">
        <f t="shared" si="1"/>
        <v>0</v>
      </c>
      <c r="D73" s="47">
        <f>IF(D33&lt;$I$4,D33*$I$43/$I$4,$I$43+(D33-$I$4)*($E$46-$I$43)/($E$6-$I$4))-Input!$B$14*D33/$E$6*(1-D33/$E$6)*E$10/$E$4*(1-E$10/$E$4)</f>
        <v>0</v>
      </c>
      <c r="E73" s="48">
        <f t="shared" si="2"/>
        <v>0</v>
      </c>
      <c r="F73" s="47">
        <f>IF(F33&lt;$I$4,F33*$I$43/$I$4,$I$43+(F33-$I$4)*($E$46-$I$43)/($E$6-$I$4))-Input!$B$14*F33/$E$6*(1-F33/$E$6)*G$10/$E$4*(1-G$10/$E$4)</f>
        <v>0</v>
      </c>
      <c r="G73" s="48">
        <f t="shared" si="3"/>
        <v>0</v>
      </c>
      <c r="H73" s="47">
        <f>IF(H33&lt;$I$4,H33*$I$43/$I$4,$I$43+(H33-$I$4)*($E$46-$I$43)/($E$6-$I$4))-Input!$B$14*H33/$E$6*(1-H33/$E$6)*I$10/$E$4*(1-I$10/$E$4)</f>
        <v>0</v>
      </c>
      <c r="I73" s="48">
        <f t="shared" si="4"/>
        <v>0</v>
      </c>
      <c r="J73" s="47">
        <f>IF(J33&lt;$I$4,J33*$I$43/$I$4,$I$43+(J33-$I$4)*($E$46-$I$43)/($E$6-$I$4))-Input!$B$14*J33/$E$6*(1-J33/$E$6)*K$10/$E$4*(1-K$10/$E$4)</f>
        <v>0</v>
      </c>
      <c r="K73" s="48">
        <f t="shared" si="5"/>
        <v>0</v>
      </c>
      <c r="L73" s="47">
        <f>IF(L33&lt;$I$4,L33*$I$43/$I$4,$I$43+(L33-$I$4)*($E$46-$I$43)/($E$6-$I$4))-Input!$B$14*L33/$E$6*(1-L33/$E$6)*M$10/$E$4*(1-M$10/$E$4)</f>
        <v>0</v>
      </c>
      <c r="M73" s="48">
        <f t="shared" si="6"/>
        <v>0</v>
      </c>
      <c r="N73" s="47">
        <f>IF(N33&lt;$I$4,N33*$I$43/$I$4,$I$43+(N33-$I$4)*($E$46-$I$43)/($E$6-$I$4))-Input!$B$14*N33/$E$6*(1-N33/$E$6)*O$10/$E$4*(1-O$10/$E$4)</f>
        <v>0</v>
      </c>
      <c r="O73" s="48">
        <f t="shared" si="7"/>
        <v>0</v>
      </c>
      <c r="P73" s="47">
        <f>IF(P33&lt;$I$4,P33*$I$43/$I$4,$I$43+(P33-$I$4)*($E$46-$I$43)/($E$6-$I$4))-Input!$B$14*P33/$E$6*(1-P33/$E$6)*Q$10/$E$4*(1-Q$10/$E$4)</f>
        <v>0</v>
      </c>
      <c r="Q73" s="48">
        <f t="shared" si="8"/>
        <v>0</v>
      </c>
      <c r="R73" s="47">
        <f>IF(R33&lt;$I$4,R33*$I$43/$I$4,$I$43+(R33-$I$4)*($E$46-$I$43)/($E$6-$I$4))-Input!$B$14*R33/$E$6*(1-R33/$E$6)*S$10/$E$4*(1-S$10/$E$4)</f>
        <v>0</v>
      </c>
      <c r="S73" s="48">
        <f t="shared" si="9"/>
        <v>0</v>
      </c>
      <c r="T73" s="47">
        <f>IF(T33&lt;$I$4,T33*$I$43/$I$4,$I$43+(T33-$I$4)*($E$46-$I$43)/($E$6-$I$4))-Input!$B$14*T33/$E$6*(1-T33/$E$6)*U$10/$E$4*(1-U$10/$E$4)</f>
        <v>0</v>
      </c>
      <c r="U73" s="48">
        <f t="shared" si="10"/>
        <v>0</v>
      </c>
      <c r="V73" s="47">
        <f>IF(V33&lt;$I$4,V33*$I$43/$I$4,$I$43+(V33-$I$4)*($E$46-$I$43)/($E$6-$I$4))-Input!$B$14*V33/$E$6*(1-V33/$E$6)*W$10/$E$4*(1-W$10/$E$4)</f>
        <v>0</v>
      </c>
      <c r="W73" s="48">
        <f t="shared" si="11"/>
        <v>0</v>
      </c>
      <c r="X73" s="47">
        <f>IF(X33&lt;$I$4,X33*$I$43/$I$4,$I$43+(X33-$I$4)*($E$46-$I$43)/($E$6-$I$4))-Input!$B$14*X33/$E$6*(1-X33/$E$6)*Y$10/$E$4*(1-Y$10/$E$4)</f>
        <v>0</v>
      </c>
      <c r="Y73" s="48">
        <f t="shared" si="12"/>
        <v>0</v>
      </c>
      <c r="Z73" s="47">
        <f>IF(Z33&lt;$I$4,Z33*$I$43/$I$4,$I$43+(Z33-$I$4)*($E$46-$I$43)/($E$6-$I$4))-Input!$B$14*Z33/$E$6*(1-Z33/$E$6)*AA$10/$E$4*(1-AA$10/$E$4)</f>
        <v>0</v>
      </c>
      <c r="AA73" s="48">
        <f t="shared" si="13"/>
        <v>0</v>
      </c>
      <c r="AB73" s="47">
        <f>IF(AB33&lt;$I$4,AB33*$I$43/$I$4,$I$43+(AB33-$I$4)*($E$46-$I$43)/($E$6-$I$4))-Input!$B$14*AB33/$E$6*(1-AB33/$E$6)*AC$10/$E$4*(1-AC$10/$E$4)</f>
        <v>0</v>
      </c>
      <c r="AC73" s="48">
        <f t="shared" si="14"/>
        <v>0</v>
      </c>
      <c r="AD73" s="47">
        <f>IF(AD33&lt;$I$4,AD33*$I$43/$I$4,$I$43+(AD33-$I$4)*($E$46-$I$43)/($E$6-$I$4))-Input!$B$14*AD33/$E$6*(1-AD33/$E$6)*AE$10/$E$4*(1-AE$10/$E$4)</f>
        <v>0</v>
      </c>
      <c r="AE73" s="48">
        <f t="shared" si="15"/>
        <v>0</v>
      </c>
      <c r="AF73" s="47">
        <f>IF(AF33&lt;$I$4,AF33*$I$43/$I$4,$I$43+(AF33-$I$4)*($E$46-$I$43)/($E$6-$I$4))-Input!$B$14*AF33/$E$6*(1-AF33/$E$6)*AG$10/$E$4*(1-AG$10/$E$4)</f>
        <v>0</v>
      </c>
      <c r="AG73" s="48">
        <f t="shared" si="16"/>
        <v>0</v>
      </c>
      <c r="AH73" s="47">
        <f>IF(AH33&lt;$I$4,AH33*$I$43/$I$4,$I$43+(AH33-$I$4)*($E$46-$I$43)/($E$6-$I$4))-Input!$B$14*AH33/$E$6*(1-AH33/$E$6)*AI$10/$E$4*(1-AI$10/$E$4)</f>
        <v>0</v>
      </c>
      <c r="AI73" s="48">
        <f t="shared" si="17"/>
        <v>0</v>
      </c>
      <c r="AJ73" s="47">
        <f>IF(AJ33&lt;$I$4,AJ33*$I$43/$I$4,$I$43+(AJ33-$I$4)*($E$46-$I$43)/($E$6-$I$4))-Input!$B$14*AJ33/$E$6*(1-AJ33/$E$6)*AK$10/$E$4*(1-AK$10/$E$4)</f>
        <v>0</v>
      </c>
      <c r="AK73" s="48">
        <f t="shared" si="18"/>
        <v>0</v>
      </c>
      <c r="AL73" s="47">
        <f>IF(AL33&lt;$I$4,AL33*$I$43/$I$4,$I$43+(AL33-$I$4)*($E$46-$I$43)/($E$6-$I$4))-Input!$B$14*AL33/$E$6*(1-AL33/$E$6)*AM$10/$E$4*(1-AM$10/$E$4)</f>
        <v>0</v>
      </c>
      <c r="AM73" s="48">
        <f t="shared" si="19"/>
        <v>0</v>
      </c>
      <c r="AN73" s="47">
        <f>IF(AN33&lt;$I$4,AN33*$I$43/$I$4,$I$43+(AN33-$I$4)*($E$46-$I$43)/($E$6-$I$4))-Input!$B$14*AN33/$E$6*(1-AN33/$E$6)*AO$10/$E$4*(1-AO$10/$E$4)</f>
        <v>0</v>
      </c>
      <c r="AO73" s="48">
        <f t="shared" si="20"/>
        <v>0</v>
      </c>
      <c r="AP73" s="47">
        <f>IF(AP33&lt;$I$4,AP33*$I$43/$I$4,$I$43+(AP33-$I$4)*($E$46-$I$43)/($E$6-$I$4))-Input!$B$14*AP33/$E$6*(1-AP33/$E$6)*AQ$10/$E$4*(1-AQ$10/$E$4)</f>
        <v>0</v>
      </c>
      <c r="AQ73" s="48">
        <f t="shared" si="21"/>
        <v>0</v>
      </c>
    </row>
    <row r="74" spans="1:43" s="38" customFormat="1" x14ac:dyDescent="0.2">
      <c r="A74" s="39">
        <v>23</v>
      </c>
      <c r="B74" s="47">
        <f>IF(B34&lt;$I$4,B34*$I$43/$I$4,$I$43+(B34-$I$4)*($E$46-$I$43)/($E$6-$I$4))-Input!$B$14*B34/$E$6*(1-B34/$E$6)*C$10/$E$4*(1-C$10/$E$4)</f>
        <v>0</v>
      </c>
      <c r="C74" s="48">
        <f t="shared" si="1"/>
        <v>0</v>
      </c>
      <c r="D74" s="47">
        <f>IF(D34&lt;$I$4,D34*$I$43/$I$4,$I$43+(D34-$I$4)*($E$46-$I$43)/($E$6-$I$4))-Input!$B$14*D34/$E$6*(1-D34/$E$6)*E$10/$E$4*(1-E$10/$E$4)</f>
        <v>0</v>
      </c>
      <c r="E74" s="48">
        <f t="shared" si="2"/>
        <v>0</v>
      </c>
      <c r="F74" s="47">
        <f>IF(F34&lt;$I$4,F34*$I$43/$I$4,$I$43+(F34-$I$4)*($E$46-$I$43)/($E$6-$I$4))-Input!$B$14*F34/$E$6*(1-F34/$E$6)*G$10/$E$4*(1-G$10/$E$4)</f>
        <v>0</v>
      </c>
      <c r="G74" s="48">
        <f t="shared" si="3"/>
        <v>0</v>
      </c>
      <c r="H74" s="47">
        <f>IF(H34&lt;$I$4,H34*$I$43/$I$4,$I$43+(H34-$I$4)*($E$46-$I$43)/($E$6-$I$4))-Input!$B$14*H34/$E$6*(1-H34/$E$6)*I$10/$E$4*(1-I$10/$E$4)</f>
        <v>0</v>
      </c>
      <c r="I74" s="48">
        <f t="shared" si="4"/>
        <v>0</v>
      </c>
      <c r="J74" s="47">
        <f>IF(J34&lt;$I$4,J34*$I$43/$I$4,$I$43+(J34-$I$4)*($E$46-$I$43)/($E$6-$I$4))-Input!$B$14*J34/$E$6*(1-J34/$E$6)*K$10/$E$4*(1-K$10/$E$4)</f>
        <v>0</v>
      </c>
      <c r="K74" s="48">
        <f t="shared" si="5"/>
        <v>0</v>
      </c>
      <c r="L74" s="47">
        <f>IF(L34&lt;$I$4,L34*$I$43/$I$4,$I$43+(L34-$I$4)*($E$46-$I$43)/($E$6-$I$4))-Input!$B$14*L34/$E$6*(1-L34/$E$6)*M$10/$E$4*(1-M$10/$E$4)</f>
        <v>0</v>
      </c>
      <c r="M74" s="48">
        <f t="shared" si="6"/>
        <v>0</v>
      </c>
      <c r="N74" s="47">
        <f>IF(N34&lt;$I$4,N34*$I$43/$I$4,$I$43+(N34-$I$4)*($E$46-$I$43)/($E$6-$I$4))-Input!$B$14*N34/$E$6*(1-N34/$E$6)*O$10/$E$4*(1-O$10/$E$4)</f>
        <v>0</v>
      </c>
      <c r="O74" s="48">
        <f t="shared" si="7"/>
        <v>0</v>
      </c>
      <c r="P74" s="47">
        <f>IF(P34&lt;$I$4,P34*$I$43/$I$4,$I$43+(P34-$I$4)*($E$46-$I$43)/($E$6-$I$4))-Input!$B$14*P34/$E$6*(1-P34/$E$6)*Q$10/$E$4*(1-Q$10/$E$4)</f>
        <v>0</v>
      </c>
      <c r="Q74" s="48">
        <f t="shared" si="8"/>
        <v>0</v>
      </c>
      <c r="R74" s="47">
        <f>IF(R34&lt;$I$4,R34*$I$43/$I$4,$I$43+(R34-$I$4)*($E$46-$I$43)/($E$6-$I$4))-Input!$B$14*R34/$E$6*(1-R34/$E$6)*S$10/$E$4*(1-S$10/$E$4)</f>
        <v>0</v>
      </c>
      <c r="S74" s="48">
        <f t="shared" si="9"/>
        <v>0</v>
      </c>
      <c r="T74" s="47">
        <f>IF(T34&lt;$I$4,T34*$I$43/$I$4,$I$43+(T34-$I$4)*($E$46-$I$43)/($E$6-$I$4))-Input!$B$14*T34/$E$6*(1-T34/$E$6)*U$10/$E$4*(1-U$10/$E$4)</f>
        <v>0</v>
      </c>
      <c r="U74" s="48">
        <f t="shared" si="10"/>
        <v>0</v>
      </c>
      <c r="V74" s="47">
        <f>IF(V34&lt;$I$4,V34*$I$43/$I$4,$I$43+(V34-$I$4)*($E$46-$I$43)/($E$6-$I$4))-Input!$B$14*V34/$E$6*(1-V34/$E$6)*W$10/$E$4*(1-W$10/$E$4)</f>
        <v>0</v>
      </c>
      <c r="W74" s="48">
        <f t="shared" si="11"/>
        <v>0</v>
      </c>
      <c r="X74" s="47">
        <f>IF(X34&lt;$I$4,X34*$I$43/$I$4,$I$43+(X34-$I$4)*($E$46-$I$43)/($E$6-$I$4))-Input!$B$14*X34/$E$6*(1-X34/$E$6)*Y$10/$E$4*(1-Y$10/$E$4)</f>
        <v>0</v>
      </c>
      <c r="Y74" s="48">
        <f t="shared" si="12"/>
        <v>0</v>
      </c>
      <c r="Z74" s="47">
        <f>IF(Z34&lt;$I$4,Z34*$I$43/$I$4,$I$43+(Z34-$I$4)*($E$46-$I$43)/($E$6-$I$4))-Input!$B$14*Z34/$E$6*(1-Z34/$E$6)*AA$10/$E$4*(1-AA$10/$E$4)</f>
        <v>0</v>
      </c>
      <c r="AA74" s="48">
        <f t="shared" si="13"/>
        <v>0</v>
      </c>
      <c r="AB74" s="47">
        <f>IF(AB34&lt;$I$4,AB34*$I$43/$I$4,$I$43+(AB34-$I$4)*($E$46-$I$43)/($E$6-$I$4))-Input!$B$14*AB34/$E$6*(1-AB34/$E$6)*AC$10/$E$4*(1-AC$10/$E$4)</f>
        <v>0</v>
      </c>
      <c r="AC74" s="48">
        <f t="shared" si="14"/>
        <v>0</v>
      </c>
      <c r="AD74" s="47">
        <f>IF(AD34&lt;$I$4,AD34*$I$43/$I$4,$I$43+(AD34-$I$4)*($E$46-$I$43)/($E$6-$I$4))-Input!$B$14*AD34/$E$6*(1-AD34/$E$6)*AE$10/$E$4*(1-AE$10/$E$4)</f>
        <v>0</v>
      </c>
      <c r="AE74" s="48">
        <f t="shared" si="15"/>
        <v>0</v>
      </c>
      <c r="AF74" s="47">
        <f>IF(AF34&lt;$I$4,AF34*$I$43/$I$4,$I$43+(AF34-$I$4)*($E$46-$I$43)/($E$6-$I$4))-Input!$B$14*AF34/$E$6*(1-AF34/$E$6)*AG$10/$E$4*(1-AG$10/$E$4)</f>
        <v>0</v>
      </c>
      <c r="AG74" s="48">
        <f t="shared" si="16"/>
        <v>0</v>
      </c>
      <c r="AH74" s="47">
        <f>IF(AH34&lt;$I$4,AH34*$I$43/$I$4,$I$43+(AH34-$I$4)*($E$46-$I$43)/($E$6-$I$4))-Input!$B$14*AH34/$E$6*(1-AH34/$E$6)*AI$10/$E$4*(1-AI$10/$E$4)</f>
        <v>0</v>
      </c>
      <c r="AI74" s="48">
        <f t="shared" si="17"/>
        <v>0</v>
      </c>
      <c r="AJ74" s="47">
        <f>IF(AJ34&lt;$I$4,AJ34*$I$43/$I$4,$I$43+(AJ34-$I$4)*($E$46-$I$43)/($E$6-$I$4))-Input!$B$14*AJ34/$E$6*(1-AJ34/$E$6)*AK$10/$E$4*(1-AK$10/$E$4)</f>
        <v>0</v>
      </c>
      <c r="AK74" s="48">
        <f t="shared" si="18"/>
        <v>0</v>
      </c>
      <c r="AL74" s="47">
        <f>IF(AL34&lt;$I$4,AL34*$I$43/$I$4,$I$43+(AL34-$I$4)*($E$46-$I$43)/($E$6-$I$4))-Input!$B$14*AL34/$E$6*(1-AL34/$E$6)*AM$10/$E$4*(1-AM$10/$E$4)</f>
        <v>0</v>
      </c>
      <c r="AM74" s="48">
        <f t="shared" si="19"/>
        <v>0</v>
      </c>
      <c r="AN74" s="47">
        <f>IF(AN34&lt;$I$4,AN34*$I$43/$I$4,$I$43+(AN34-$I$4)*($E$46-$I$43)/($E$6-$I$4))-Input!$B$14*AN34/$E$6*(1-AN34/$E$6)*AO$10/$E$4*(1-AO$10/$E$4)</f>
        <v>0</v>
      </c>
      <c r="AO74" s="48">
        <f t="shared" si="20"/>
        <v>0</v>
      </c>
      <c r="AP74" s="47">
        <f>IF(AP34&lt;$I$4,AP34*$I$43/$I$4,$I$43+(AP34-$I$4)*($E$46-$I$43)/($E$6-$I$4))-Input!$B$14*AP34/$E$6*(1-AP34/$E$6)*AQ$10/$E$4*(1-AQ$10/$E$4)</f>
        <v>0</v>
      </c>
      <c r="AQ74" s="48">
        <f t="shared" si="21"/>
        <v>0</v>
      </c>
    </row>
    <row r="75" spans="1:43" s="38" customFormat="1" x14ac:dyDescent="0.2">
      <c r="A75" s="39">
        <v>24</v>
      </c>
      <c r="B75" s="47">
        <f>IF(B35&lt;$I$4,B35*$I$43/$I$4,$I$43+(B35-$I$4)*($E$46-$I$43)/($E$6-$I$4))-Input!$B$14*B35/$E$6*(1-B35/$E$6)*C$10/$E$4*(1-C$10/$E$4)</f>
        <v>0</v>
      </c>
      <c r="C75" s="48">
        <f t="shared" si="1"/>
        <v>0</v>
      </c>
      <c r="D75" s="47">
        <f>IF(D35&lt;$I$4,D35*$I$43/$I$4,$I$43+(D35-$I$4)*($E$46-$I$43)/($E$6-$I$4))-Input!$B$14*D35/$E$6*(1-D35/$E$6)*E$10/$E$4*(1-E$10/$E$4)</f>
        <v>0</v>
      </c>
      <c r="E75" s="48">
        <f t="shared" si="2"/>
        <v>0</v>
      </c>
      <c r="F75" s="47">
        <f>IF(F35&lt;$I$4,F35*$I$43/$I$4,$I$43+(F35-$I$4)*($E$46-$I$43)/($E$6-$I$4))-Input!$B$14*F35/$E$6*(1-F35/$E$6)*G$10/$E$4*(1-G$10/$E$4)</f>
        <v>0</v>
      </c>
      <c r="G75" s="48">
        <f t="shared" si="3"/>
        <v>0</v>
      </c>
      <c r="H75" s="47">
        <f>IF(H35&lt;$I$4,H35*$I$43/$I$4,$I$43+(H35-$I$4)*($E$46-$I$43)/($E$6-$I$4))-Input!$B$14*H35/$E$6*(1-H35/$E$6)*I$10/$E$4*(1-I$10/$E$4)</f>
        <v>0</v>
      </c>
      <c r="I75" s="48">
        <f t="shared" si="4"/>
        <v>0</v>
      </c>
      <c r="J75" s="47">
        <f>IF(J35&lt;$I$4,J35*$I$43/$I$4,$I$43+(J35-$I$4)*($E$46-$I$43)/($E$6-$I$4))-Input!$B$14*J35/$E$6*(1-J35/$E$6)*K$10/$E$4*(1-K$10/$E$4)</f>
        <v>0</v>
      </c>
      <c r="K75" s="48">
        <f t="shared" si="5"/>
        <v>0</v>
      </c>
      <c r="L75" s="47">
        <f>IF(L35&lt;$I$4,L35*$I$43/$I$4,$I$43+(L35-$I$4)*($E$46-$I$43)/($E$6-$I$4))-Input!$B$14*L35/$E$6*(1-L35/$E$6)*M$10/$E$4*(1-M$10/$E$4)</f>
        <v>0</v>
      </c>
      <c r="M75" s="48">
        <f t="shared" si="6"/>
        <v>0</v>
      </c>
      <c r="N75" s="47">
        <f>IF(N35&lt;$I$4,N35*$I$43/$I$4,$I$43+(N35-$I$4)*($E$46-$I$43)/($E$6-$I$4))-Input!$B$14*N35/$E$6*(1-N35/$E$6)*O$10/$E$4*(1-O$10/$E$4)</f>
        <v>0</v>
      </c>
      <c r="O75" s="48">
        <f t="shared" si="7"/>
        <v>0</v>
      </c>
      <c r="P75" s="47">
        <f>IF(P35&lt;$I$4,P35*$I$43/$I$4,$I$43+(P35-$I$4)*($E$46-$I$43)/($E$6-$I$4))-Input!$B$14*P35/$E$6*(1-P35/$E$6)*Q$10/$E$4*(1-Q$10/$E$4)</f>
        <v>0</v>
      </c>
      <c r="Q75" s="48">
        <f t="shared" si="8"/>
        <v>0</v>
      </c>
      <c r="R75" s="47">
        <f>IF(R35&lt;$I$4,R35*$I$43/$I$4,$I$43+(R35-$I$4)*($E$46-$I$43)/($E$6-$I$4))-Input!$B$14*R35/$E$6*(1-R35/$E$6)*S$10/$E$4*(1-S$10/$E$4)</f>
        <v>0</v>
      </c>
      <c r="S75" s="48">
        <f t="shared" si="9"/>
        <v>0</v>
      </c>
      <c r="T75" s="47">
        <f>IF(T35&lt;$I$4,T35*$I$43/$I$4,$I$43+(T35-$I$4)*($E$46-$I$43)/($E$6-$I$4))-Input!$B$14*T35/$E$6*(1-T35/$E$6)*U$10/$E$4*(1-U$10/$E$4)</f>
        <v>0</v>
      </c>
      <c r="U75" s="48">
        <f t="shared" si="10"/>
        <v>0</v>
      </c>
      <c r="V75" s="47">
        <f>IF(V35&lt;$I$4,V35*$I$43/$I$4,$I$43+(V35-$I$4)*($E$46-$I$43)/($E$6-$I$4))-Input!$B$14*V35/$E$6*(1-V35/$E$6)*W$10/$E$4*(1-W$10/$E$4)</f>
        <v>0</v>
      </c>
      <c r="W75" s="48">
        <f t="shared" si="11"/>
        <v>0</v>
      </c>
      <c r="X75" s="47">
        <f>IF(X35&lt;$I$4,X35*$I$43/$I$4,$I$43+(X35-$I$4)*($E$46-$I$43)/($E$6-$I$4))-Input!$B$14*X35/$E$6*(1-X35/$E$6)*Y$10/$E$4*(1-Y$10/$E$4)</f>
        <v>0</v>
      </c>
      <c r="Y75" s="48">
        <f t="shared" si="12"/>
        <v>0</v>
      </c>
      <c r="Z75" s="47">
        <f>IF(Z35&lt;$I$4,Z35*$I$43/$I$4,$I$43+(Z35-$I$4)*($E$46-$I$43)/($E$6-$I$4))-Input!$B$14*Z35/$E$6*(1-Z35/$E$6)*AA$10/$E$4*(1-AA$10/$E$4)</f>
        <v>0</v>
      </c>
      <c r="AA75" s="48">
        <f t="shared" si="13"/>
        <v>0</v>
      </c>
      <c r="AB75" s="47">
        <f>IF(AB35&lt;$I$4,AB35*$I$43/$I$4,$I$43+(AB35-$I$4)*($E$46-$I$43)/($E$6-$I$4))-Input!$B$14*AB35/$E$6*(1-AB35/$E$6)*AC$10/$E$4*(1-AC$10/$E$4)</f>
        <v>0</v>
      </c>
      <c r="AC75" s="48">
        <f t="shared" si="14"/>
        <v>0</v>
      </c>
      <c r="AD75" s="47">
        <f>IF(AD35&lt;$I$4,AD35*$I$43/$I$4,$I$43+(AD35-$I$4)*($E$46-$I$43)/($E$6-$I$4))-Input!$B$14*AD35/$E$6*(1-AD35/$E$6)*AE$10/$E$4*(1-AE$10/$E$4)</f>
        <v>0</v>
      </c>
      <c r="AE75" s="48">
        <f t="shared" si="15"/>
        <v>0</v>
      </c>
      <c r="AF75" s="47">
        <f>IF(AF35&lt;$I$4,AF35*$I$43/$I$4,$I$43+(AF35-$I$4)*($E$46-$I$43)/($E$6-$I$4))-Input!$B$14*AF35/$E$6*(1-AF35/$E$6)*AG$10/$E$4*(1-AG$10/$E$4)</f>
        <v>0</v>
      </c>
      <c r="AG75" s="48">
        <f t="shared" si="16"/>
        <v>0</v>
      </c>
      <c r="AH75" s="47">
        <f>IF(AH35&lt;$I$4,AH35*$I$43/$I$4,$I$43+(AH35-$I$4)*($E$46-$I$43)/($E$6-$I$4))-Input!$B$14*AH35/$E$6*(1-AH35/$E$6)*AI$10/$E$4*(1-AI$10/$E$4)</f>
        <v>0</v>
      </c>
      <c r="AI75" s="48">
        <f t="shared" si="17"/>
        <v>0</v>
      </c>
      <c r="AJ75" s="47">
        <f>IF(AJ35&lt;$I$4,AJ35*$I$43/$I$4,$I$43+(AJ35-$I$4)*($E$46-$I$43)/($E$6-$I$4))-Input!$B$14*AJ35/$E$6*(1-AJ35/$E$6)*AK$10/$E$4*(1-AK$10/$E$4)</f>
        <v>0</v>
      </c>
      <c r="AK75" s="48">
        <f t="shared" si="18"/>
        <v>0</v>
      </c>
      <c r="AL75" s="47">
        <f>IF(AL35&lt;$I$4,AL35*$I$43/$I$4,$I$43+(AL35-$I$4)*($E$46-$I$43)/($E$6-$I$4))-Input!$B$14*AL35/$E$6*(1-AL35/$E$6)*AM$10/$E$4*(1-AM$10/$E$4)</f>
        <v>0</v>
      </c>
      <c r="AM75" s="48">
        <f t="shared" si="19"/>
        <v>0</v>
      </c>
      <c r="AN75" s="47">
        <f>IF(AN35&lt;$I$4,AN35*$I$43/$I$4,$I$43+(AN35-$I$4)*($E$46-$I$43)/($E$6-$I$4))-Input!$B$14*AN35/$E$6*(1-AN35/$E$6)*AO$10/$E$4*(1-AO$10/$E$4)</f>
        <v>0</v>
      </c>
      <c r="AO75" s="48">
        <f t="shared" si="20"/>
        <v>0</v>
      </c>
      <c r="AP75" s="47">
        <f>IF(AP35&lt;$I$4,AP35*$I$43/$I$4,$I$43+(AP35-$I$4)*($E$46-$I$43)/($E$6-$I$4))-Input!$B$14*AP35/$E$6*(1-AP35/$E$6)*AQ$10/$E$4*(1-AQ$10/$E$4)</f>
        <v>0</v>
      </c>
      <c r="AQ75" s="48">
        <f t="shared" si="21"/>
        <v>0</v>
      </c>
    </row>
    <row r="76" spans="1:43" s="38" customFormat="1" x14ac:dyDescent="0.2">
      <c r="A76" s="39">
        <v>25</v>
      </c>
      <c r="B76" s="47">
        <f>IF(B36&lt;$I$4,B36*$I$43/$I$4,$I$43+(B36-$I$4)*($E$46-$I$43)/($E$6-$I$4))-Input!$B$14*B36/$E$6*(1-B36/$E$6)*C$10/$E$4*(1-C$10/$E$4)</f>
        <v>0</v>
      </c>
      <c r="C76" s="48">
        <f t="shared" si="1"/>
        <v>0</v>
      </c>
      <c r="D76" s="47">
        <f>IF(D36&lt;$I$4,D36*$I$43/$I$4,$I$43+(D36-$I$4)*($E$46-$I$43)/($E$6-$I$4))-Input!$B$14*D36/$E$6*(1-D36/$E$6)*E$10/$E$4*(1-E$10/$E$4)</f>
        <v>0</v>
      </c>
      <c r="E76" s="48">
        <f t="shared" si="2"/>
        <v>0</v>
      </c>
      <c r="F76" s="47">
        <f>IF(F36&lt;$I$4,F36*$I$43/$I$4,$I$43+(F36-$I$4)*($E$46-$I$43)/($E$6-$I$4))-Input!$B$14*F36/$E$6*(1-F36/$E$6)*G$10/$E$4*(1-G$10/$E$4)</f>
        <v>0</v>
      </c>
      <c r="G76" s="48">
        <f t="shared" si="3"/>
        <v>0</v>
      </c>
      <c r="H76" s="47">
        <f>IF(H36&lt;$I$4,H36*$I$43/$I$4,$I$43+(H36-$I$4)*($E$46-$I$43)/($E$6-$I$4))-Input!$B$14*H36/$E$6*(1-H36/$E$6)*I$10/$E$4*(1-I$10/$E$4)</f>
        <v>0</v>
      </c>
      <c r="I76" s="48">
        <f t="shared" si="4"/>
        <v>0</v>
      </c>
      <c r="J76" s="47">
        <f>IF(J36&lt;$I$4,J36*$I$43/$I$4,$I$43+(J36-$I$4)*($E$46-$I$43)/($E$6-$I$4))-Input!$B$14*J36/$E$6*(1-J36/$E$6)*K$10/$E$4*(1-K$10/$E$4)</f>
        <v>0</v>
      </c>
      <c r="K76" s="48">
        <f t="shared" si="5"/>
        <v>0</v>
      </c>
      <c r="L76" s="47">
        <f>IF(L36&lt;$I$4,L36*$I$43/$I$4,$I$43+(L36-$I$4)*($E$46-$I$43)/($E$6-$I$4))-Input!$B$14*L36/$E$6*(1-L36/$E$6)*M$10/$E$4*(1-M$10/$E$4)</f>
        <v>0</v>
      </c>
      <c r="M76" s="48">
        <f t="shared" si="6"/>
        <v>0</v>
      </c>
      <c r="N76" s="47">
        <f>IF(N36&lt;$I$4,N36*$I$43/$I$4,$I$43+(N36-$I$4)*($E$46-$I$43)/($E$6-$I$4))-Input!$B$14*N36/$E$6*(1-N36/$E$6)*O$10/$E$4*(1-O$10/$E$4)</f>
        <v>0</v>
      </c>
      <c r="O76" s="48">
        <f t="shared" si="7"/>
        <v>0</v>
      </c>
      <c r="P76" s="47">
        <f>IF(P36&lt;$I$4,P36*$I$43/$I$4,$I$43+(P36-$I$4)*($E$46-$I$43)/($E$6-$I$4))-Input!$B$14*P36/$E$6*(1-P36/$E$6)*Q$10/$E$4*(1-Q$10/$E$4)</f>
        <v>0</v>
      </c>
      <c r="Q76" s="48">
        <f t="shared" si="8"/>
        <v>0</v>
      </c>
      <c r="R76" s="47">
        <f>IF(R36&lt;$I$4,R36*$I$43/$I$4,$I$43+(R36-$I$4)*($E$46-$I$43)/($E$6-$I$4))-Input!$B$14*R36/$E$6*(1-R36/$E$6)*S$10/$E$4*(1-S$10/$E$4)</f>
        <v>0</v>
      </c>
      <c r="S76" s="48">
        <f t="shared" si="9"/>
        <v>0</v>
      </c>
      <c r="T76" s="47">
        <f>IF(T36&lt;$I$4,T36*$I$43/$I$4,$I$43+(T36-$I$4)*($E$46-$I$43)/($E$6-$I$4))-Input!$B$14*T36/$E$6*(1-T36/$E$6)*U$10/$E$4*(1-U$10/$E$4)</f>
        <v>0</v>
      </c>
      <c r="U76" s="48">
        <f t="shared" si="10"/>
        <v>0</v>
      </c>
      <c r="V76" s="47">
        <f>IF(V36&lt;$I$4,V36*$I$43/$I$4,$I$43+(V36-$I$4)*($E$46-$I$43)/($E$6-$I$4))-Input!$B$14*V36/$E$6*(1-V36/$E$6)*W$10/$E$4*(1-W$10/$E$4)</f>
        <v>0</v>
      </c>
      <c r="W76" s="48">
        <f t="shared" si="11"/>
        <v>0</v>
      </c>
      <c r="X76" s="47">
        <f>IF(X36&lt;$I$4,X36*$I$43/$I$4,$I$43+(X36-$I$4)*($E$46-$I$43)/($E$6-$I$4))-Input!$B$14*X36/$E$6*(1-X36/$E$6)*Y$10/$E$4*(1-Y$10/$E$4)</f>
        <v>0</v>
      </c>
      <c r="Y76" s="48">
        <f t="shared" si="12"/>
        <v>0</v>
      </c>
      <c r="Z76" s="47">
        <f>IF(Z36&lt;$I$4,Z36*$I$43/$I$4,$I$43+(Z36-$I$4)*($E$46-$I$43)/($E$6-$I$4))-Input!$B$14*Z36/$E$6*(1-Z36/$E$6)*AA$10/$E$4*(1-AA$10/$E$4)</f>
        <v>0</v>
      </c>
      <c r="AA76" s="48">
        <f t="shared" si="13"/>
        <v>0</v>
      </c>
      <c r="AB76" s="47">
        <f>IF(AB36&lt;$I$4,AB36*$I$43/$I$4,$I$43+(AB36-$I$4)*($E$46-$I$43)/($E$6-$I$4))-Input!$B$14*AB36/$E$6*(1-AB36/$E$6)*AC$10/$E$4*(1-AC$10/$E$4)</f>
        <v>0</v>
      </c>
      <c r="AC76" s="48">
        <f t="shared" si="14"/>
        <v>0</v>
      </c>
      <c r="AD76" s="47">
        <f>IF(AD36&lt;$I$4,AD36*$I$43/$I$4,$I$43+(AD36-$I$4)*($E$46-$I$43)/($E$6-$I$4))-Input!$B$14*AD36/$E$6*(1-AD36/$E$6)*AE$10/$E$4*(1-AE$10/$E$4)</f>
        <v>0</v>
      </c>
      <c r="AE76" s="48">
        <f t="shared" si="15"/>
        <v>0</v>
      </c>
      <c r="AF76" s="47">
        <f>IF(AF36&lt;$I$4,AF36*$I$43/$I$4,$I$43+(AF36-$I$4)*($E$46-$I$43)/($E$6-$I$4))-Input!$B$14*AF36/$E$6*(1-AF36/$E$6)*AG$10/$E$4*(1-AG$10/$E$4)</f>
        <v>0</v>
      </c>
      <c r="AG76" s="48">
        <f t="shared" si="16"/>
        <v>0</v>
      </c>
      <c r="AH76" s="47">
        <f>IF(AH36&lt;$I$4,AH36*$I$43/$I$4,$I$43+(AH36-$I$4)*($E$46-$I$43)/($E$6-$I$4))-Input!$B$14*AH36/$E$6*(1-AH36/$E$6)*AI$10/$E$4*(1-AI$10/$E$4)</f>
        <v>0</v>
      </c>
      <c r="AI76" s="48">
        <f t="shared" si="17"/>
        <v>0</v>
      </c>
      <c r="AJ76" s="47">
        <f>IF(AJ36&lt;$I$4,AJ36*$I$43/$I$4,$I$43+(AJ36-$I$4)*($E$46-$I$43)/($E$6-$I$4))-Input!$B$14*AJ36/$E$6*(1-AJ36/$E$6)*AK$10/$E$4*(1-AK$10/$E$4)</f>
        <v>0</v>
      </c>
      <c r="AK76" s="48">
        <f t="shared" si="18"/>
        <v>0</v>
      </c>
      <c r="AL76" s="47">
        <f>IF(AL36&lt;$I$4,AL36*$I$43/$I$4,$I$43+(AL36-$I$4)*($E$46-$I$43)/($E$6-$I$4))-Input!$B$14*AL36/$E$6*(1-AL36/$E$6)*AM$10/$E$4*(1-AM$10/$E$4)</f>
        <v>0</v>
      </c>
      <c r="AM76" s="48">
        <f t="shared" si="19"/>
        <v>0</v>
      </c>
      <c r="AN76" s="47">
        <f>IF(AN36&lt;$I$4,AN36*$I$43/$I$4,$I$43+(AN36-$I$4)*($E$46-$I$43)/($E$6-$I$4))-Input!$B$14*AN36/$E$6*(1-AN36/$E$6)*AO$10/$E$4*(1-AO$10/$E$4)</f>
        <v>0</v>
      </c>
      <c r="AO76" s="48">
        <f t="shared" si="20"/>
        <v>0</v>
      </c>
      <c r="AP76" s="47">
        <f>IF(AP36&lt;$I$4,AP36*$I$43/$I$4,$I$43+(AP36-$I$4)*($E$46-$I$43)/($E$6-$I$4))-Input!$B$14*AP36/$E$6*(1-AP36/$E$6)*AQ$10/$E$4*(1-AQ$10/$E$4)</f>
        <v>0</v>
      </c>
      <c r="AQ76" s="48">
        <f t="shared" si="21"/>
        <v>0</v>
      </c>
    </row>
    <row r="77" spans="1:43" s="38" customFormat="1" x14ac:dyDescent="0.2">
      <c r="A77" s="39">
        <v>26</v>
      </c>
      <c r="B77" s="47">
        <f>IF(B37&lt;$I$4,B37*$I$43/$I$4,$I$43+(B37-$I$4)*($E$46-$I$43)/($E$6-$I$4))-Input!$B$14*B37/$E$6*(1-B37/$E$6)*C$10/$E$4*(1-C$10/$E$4)</f>
        <v>0</v>
      </c>
      <c r="C77" s="48">
        <f t="shared" si="1"/>
        <v>0</v>
      </c>
      <c r="D77" s="47">
        <f>IF(D37&lt;$I$4,D37*$I$43/$I$4,$I$43+(D37-$I$4)*($E$46-$I$43)/($E$6-$I$4))-Input!$B$14*D37/$E$6*(1-D37/$E$6)*E$10/$E$4*(1-E$10/$E$4)</f>
        <v>0</v>
      </c>
      <c r="E77" s="48">
        <f t="shared" si="2"/>
        <v>0</v>
      </c>
      <c r="F77" s="47">
        <f>IF(F37&lt;$I$4,F37*$I$43/$I$4,$I$43+(F37-$I$4)*($E$46-$I$43)/($E$6-$I$4))-Input!$B$14*F37/$E$6*(1-F37/$E$6)*G$10/$E$4*(1-G$10/$E$4)</f>
        <v>0</v>
      </c>
      <c r="G77" s="48">
        <f t="shared" si="3"/>
        <v>0</v>
      </c>
      <c r="H77" s="47">
        <f>IF(H37&lt;$I$4,H37*$I$43/$I$4,$I$43+(H37-$I$4)*($E$46-$I$43)/($E$6-$I$4))-Input!$B$14*H37/$E$6*(1-H37/$E$6)*I$10/$E$4*(1-I$10/$E$4)</f>
        <v>0</v>
      </c>
      <c r="I77" s="48">
        <f t="shared" si="4"/>
        <v>0</v>
      </c>
      <c r="J77" s="47">
        <f>IF(J37&lt;$I$4,J37*$I$43/$I$4,$I$43+(J37-$I$4)*($E$46-$I$43)/($E$6-$I$4))-Input!$B$14*J37/$E$6*(1-J37/$E$6)*K$10/$E$4*(1-K$10/$E$4)</f>
        <v>0</v>
      </c>
      <c r="K77" s="48">
        <f t="shared" si="5"/>
        <v>0</v>
      </c>
      <c r="L77" s="47">
        <f>IF(L37&lt;$I$4,L37*$I$43/$I$4,$I$43+(L37-$I$4)*($E$46-$I$43)/($E$6-$I$4))-Input!$B$14*L37/$E$6*(1-L37/$E$6)*M$10/$E$4*(1-M$10/$E$4)</f>
        <v>0</v>
      </c>
      <c r="M77" s="48">
        <f t="shared" si="6"/>
        <v>0</v>
      </c>
      <c r="N77" s="47">
        <f>IF(N37&lt;$I$4,N37*$I$43/$I$4,$I$43+(N37-$I$4)*($E$46-$I$43)/($E$6-$I$4))-Input!$B$14*N37/$E$6*(1-N37/$E$6)*O$10/$E$4*(1-O$10/$E$4)</f>
        <v>0</v>
      </c>
      <c r="O77" s="48">
        <f t="shared" si="7"/>
        <v>0</v>
      </c>
      <c r="P77" s="47">
        <f>IF(P37&lt;$I$4,P37*$I$43/$I$4,$I$43+(P37-$I$4)*($E$46-$I$43)/($E$6-$I$4))-Input!$B$14*P37/$E$6*(1-P37/$E$6)*Q$10/$E$4*(1-Q$10/$E$4)</f>
        <v>0</v>
      </c>
      <c r="Q77" s="48">
        <f t="shared" si="8"/>
        <v>0</v>
      </c>
      <c r="R77" s="47">
        <f>IF(R37&lt;$I$4,R37*$I$43/$I$4,$I$43+(R37-$I$4)*($E$46-$I$43)/($E$6-$I$4))-Input!$B$14*R37/$E$6*(1-R37/$E$6)*S$10/$E$4*(1-S$10/$E$4)</f>
        <v>0</v>
      </c>
      <c r="S77" s="48">
        <f t="shared" si="9"/>
        <v>0</v>
      </c>
      <c r="T77" s="47">
        <f>IF(T37&lt;$I$4,T37*$I$43/$I$4,$I$43+(T37-$I$4)*($E$46-$I$43)/($E$6-$I$4))-Input!$B$14*T37/$E$6*(1-T37/$E$6)*U$10/$E$4*(1-U$10/$E$4)</f>
        <v>0</v>
      </c>
      <c r="U77" s="48">
        <f t="shared" si="10"/>
        <v>0</v>
      </c>
      <c r="V77" s="47">
        <f>IF(V37&lt;$I$4,V37*$I$43/$I$4,$I$43+(V37-$I$4)*($E$46-$I$43)/($E$6-$I$4))-Input!$B$14*V37/$E$6*(1-V37/$E$6)*W$10/$E$4*(1-W$10/$E$4)</f>
        <v>0</v>
      </c>
      <c r="W77" s="48">
        <f t="shared" si="11"/>
        <v>0</v>
      </c>
      <c r="X77" s="47">
        <f>IF(X37&lt;$I$4,X37*$I$43/$I$4,$I$43+(X37-$I$4)*($E$46-$I$43)/($E$6-$I$4))-Input!$B$14*X37/$E$6*(1-X37/$E$6)*Y$10/$E$4*(1-Y$10/$E$4)</f>
        <v>0</v>
      </c>
      <c r="Y77" s="48">
        <f t="shared" si="12"/>
        <v>0</v>
      </c>
      <c r="Z77" s="47">
        <f>IF(Z37&lt;$I$4,Z37*$I$43/$I$4,$I$43+(Z37-$I$4)*($E$46-$I$43)/($E$6-$I$4))-Input!$B$14*Z37/$E$6*(1-Z37/$E$6)*AA$10/$E$4*(1-AA$10/$E$4)</f>
        <v>0</v>
      </c>
      <c r="AA77" s="48">
        <f t="shared" si="13"/>
        <v>0</v>
      </c>
      <c r="AB77" s="47">
        <f>IF(AB37&lt;$I$4,AB37*$I$43/$I$4,$I$43+(AB37-$I$4)*($E$46-$I$43)/($E$6-$I$4))-Input!$B$14*AB37/$E$6*(1-AB37/$E$6)*AC$10/$E$4*(1-AC$10/$E$4)</f>
        <v>0</v>
      </c>
      <c r="AC77" s="48">
        <f t="shared" si="14"/>
        <v>0</v>
      </c>
      <c r="AD77" s="47">
        <f>IF(AD37&lt;$I$4,AD37*$I$43/$I$4,$I$43+(AD37-$I$4)*($E$46-$I$43)/($E$6-$I$4))-Input!$B$14*AD37/$E$6*(1-AD37/$E$6)*AE$10/$E$4*(1-AE$10/$E$4)</f>
        <v>0</v>
      </c>
      <c r="AE77" s="48">
        <f t="shared" si="15"/>
        <v>0</v>
      </c>
      <c r="AF77" s="47">
        <f>IF(AF37&lt;$I$4,AF37*$I$43/$I$4,$I$43+(AF37-$I$4)*($E$46-$I$43)/($E$6-$I$4))-Input!$B$14*AF37/$E$6*(1-AF37/$E$6)*AG$10/$E$4*(1-AG$10/$E$4)</f>
        <v>0</v>
      </c>
      <c r="AG77" s="48">
        <f t="shared" si="16"/>
        <v>0</v>
      </c>
      <c r="AH77" s="47">
        <f>IF(AH37&lt;$I$4,AH37*$I$43/$I$4,$I$43+(AH37-$I$4)*($E$46-$I$43)/($E$6-$I$4))-Input!$B$14*AH37/$E$6*(1-AH37/$E$6)*AI$10/$E$4*(1-AI$10/$E$4)</f>
        <v>0</v>
      </c>
      <c r="AI77" s="48">
        <f t="shared" si="17"/>
        <v>0</v>
      </c>
      <c r="AJ77" s="47">
        <f>IF(AJ37&lt;$I$4,AJ37*$I$43/$I$4,$I$43+(AJ37-$I$4)*($E$46-$I$43)/($E$6-$I$4))-Input!$B$14*AJ37/$E$6*(1-AJ37/$E$6)*AK$10/$E$4*(1-AK$10/$E$4)</f>
        <v>0</v>
      </c>
      <c r="AK77" s="48">
        <f t="shared" si="18"/>
        <v>0</v>
      </c>
      <c r="AL77" s="47">
        <f>IF(AL37&lt;$I$4,AL37*$I$43/$I$4,$I$43+(AL37-$I$4)*($E$46-$I$43)/($E$6-$I$4))-Input!$B$14*AL37/$E$6*(1-AL37/$E$6)*AM$10/$E$4*(1-AM$10/$E$4)</f>
        <v>0</v>
      </c>
      <c r="AM77" s="48">
        <f t="shared" si="19"/>
        <v>0</v>
      </c>
      <c r="AN77" s="47">
        <f>IF(AN37&lt;$I$4,AN37*$I$43/$I$4,$I$43+(AN37-$I$4)*($E$46-$I$43)/($E$6-$I$4))-Input!$B$14*AN37/$E$6*(1-AN37/$E$6)*AO$10/$E$4*(1-AO$10/$E$4)</f>
        <v>0</v>
      </c>
      <c r="AO77" s="48">
        <f t="shared" si="20"/>
        <v>0</v>
      </c>
      <c r="AP77" s="47">
        <f>IF(AP37&lt;$I$4,AP37*$I$43/$I$4,$I$43+(AP37-$I$4)*($E$46-$I$43)/($E$6-$I$4))-Input!$B$14*AP37/$E$6*(1-AP37/$E$6)*AQ$10/$E$4*(1-AQ$10/$E$4)</f>
        <v>0</v>
      </c>
      <c r="AQ77" s="48">
        <f t="shared" si="21"/>
        <v>0</v>
      </c>
    </row>
    <row r="78" spans="1:43" s="38" customFormat="1" ht="13.5" thickBot="1" x14ac:dyDescent="0.25">
      <c r="A78" s="43">
        <v>27</v>
      </c>
      <c r="B78" s="50">
        <f>IF(B38&lt;$I$4,B38*$I$43/$I$4,$I$43+(B38-$I$4)*($E$46-$I$43)/($E$6-$I$4))-Input!$B$14*B38/$E$6*(1-B38/$E$6)*C$10/$E$4*(1-C$10/$E$4)</f>
        <v>0</v>
      </c>
      <c r="C78" s="51">
        <f t="shared" si="1"/>
        <v>0</v>
      </c>
      <c r="D78" s="50">
        <f>IF(D38&lt;$I$4,D38*$I$43/$I$4,$I$43+(D38-$I$4)*($E$46-$I$43)/($E$6-$I$4))-Input!$B$14*D38/$E$6*(1-D38/$E$6)*E$10/$E$4*(1-E$10/$E$4)</f>
        <v>0</v>
      </c>
      <c r="E78" s="51">
        <f t="shared" si="2"/>
        <v>0</v>
      </c>
      <c r="F78" s="50">
        <f>IF(F38&lt;$I$4,F38*$I$43/$I$4,$I$43+(F38-$I$4)*($E$46-$I$43)/($E$6-$I$4))-Input!$B$14*F38/$E$6*(1-F38/$E$6)*G$10/$E$4*(1-G$10/$E$4)</f>
        <v>0</v>
      </c>
      <c r="G78" s="51">
        <f t="shared" si="3"/>
        <v>0</v>
      </c>
      <c r="H78" s="50">
        <f>IF(H38&lt;$I$4,H38*$I$43/$I$4,$I$43+(H38-$I$4)*($E$46-$I$43)/($E$6-$I$4))-Input!$B$14*H38/$E$6*(1-H38/$E$6)*I$10/$E$4*(1-I$10/$E$4)</f>
        <v>0</v>
      </c>
      <c r="I78" s="51">
        <f t="shared" si="4"/>
        <v>0</v>
      </c>
      <c r="J78" s="50">
        <f>IF(J38&lt;$I$4,J38*$I$43/$I$4,$I$43+(J38-$I$4)*($E$46-$I$43)/($E$6-$I$4))-Input!$B$14*J38/$E$6*(1-J38/$E$6)*K$10/$E$4*(1-K$10/$E$4)</f>
        <v>0</v>
      </c>
      <c r="K78" s="51">
        <f t="shared" si="5"/>
        <v>0</v>
      </c>
      <c r="L78" s="50">
        <f>IF(L38&lt;$I$4,L38*$I$43/$I$4,$I$43+(L38-$I$4)*($E$46-$I$43)/($E$6-$I$4))-Input!$B$14*L38/$E$6*(1-L38/$E$6)*M$10/$E$4*(1-M$10/$E$4)</f>
        <v>0</v>
      </c>
      <c r="M78" s="51">
        <f t="shared" si="6"/>
        <v>0</v>
      </c>
      <c r="N78" s="50">
        <f>IF(N38&lt;$I$4,N38*$I$43/$I$4,$I$43+(N38-$I$4)*($E$46-$I$43)/($E$6-$I$4))-Input!$B$14*N38/$E$6*(1-N38/$E$6)*O$10/$E$4*(1-O$10/$E$4)</f>
        <v>0</v>
      </c>
      <c r="O78" s="51">
        <f t="shared" si="7"/>
        <v>0</v>
      </c>
      <c r="P78" s="50">
        <f>IF(P38&lt;$I$4,P38*$I$43/$I$4,$I$43+(P38-$I$4)*($E$46-$I$43)/($E$6-$I$4))-Input!$B$14*P38/$E$6*(1-P38/$E$6)*Q$10/$E$4*(1-Q$10/$E$4)</f>
        <v>0</v>
      </c>
      <c r="Q78" s="51">
        <f t="shared" si="8"/>
        <v>0</v>
      </c>
      <c r="R78" s="50">
        <f>IF(R38&lt;$I$4,R38*$I$43/$I$4,$I$43+(R38-$I$4)*($E$46-$I$43)/($E$6-$I$4))-Input!$B$14*R38/$E$6*(1-R38/$E$6)*S$10/$E$4*(1-S$10/$E$4)</f>
        <v>0</v>
      </c>
      <c r="S78" s="51">
        <f t="shared" si="9"/>
        <v>0</v>
      </c>
      <c r="T78" s="50">
        <f>IF(T38&lt;$I$4,T38*$I$43/$I$4,$I$43+(T38-$I$4)*($E$46-$I$43)/($E$6-$I$4))-Input!$B$14*T38/$E$6*(1-T38/$E$6)*U$10/$E$4*(1-U$10/$E$4)</f>
        <v>0</v>
      </c>
      <c r="U78" s="51">
        <f t="shared" si="10"/>
        <v>0</v>
      </c>
      <c r="V78" s="50">
        <f>IF(V38&lt;$I$4,V38*$I$43/$I$4,$I$43+(V38-$I$4)*($E$46-$I$43)/($E$6-$I$4))-Input!$B$14*V38/$E$6*(1-V38/$E$6)*W$10/$E$4*(1-W$10/$E$4)</f>
        <v>0</v>
      </c>
      <c r="W78" s="51">
        <f t="shared" si="11"/>
        <v>0</v>
      </c>
      <c r="X78" s="50">
        <f>IF(X38&lt;$I$4,X38*$I$43/$I$4,$I$43+(X38-$I$4)*($E$46-$I$43)/($E$6-$I$4))-Input!$B$14*X38/$E$6*(1-X38/$E$6)*Y$10/$E$4*(1-Y$10/$E$4)</f>
        <v>0</v>
      </c>
      <c r="Y78" s="51">
        <f t="shared" si="12"/>
        <v>0</v>
      </c>
      <c r="Z78" s="50">
        <f>IF(Z38&lt;$I$4,Z38*$I$43/$I$4,$I$43+(Z38-$I$4)*($E$46-$I$43)/($E$6-$I$4))-Input!$B$14*Z38/$E$6*(1-Z38/$E$6)*AA$10/$E$4*(1-AA$10/$E$4)</f>
        <v>0</v>
      </c>
      <c r="AA78" s="51">
        <f t="shared" si="13"/>
        <v>0</v>
      </c>
      <c r="AB78" s="50">
        <f>IF(AB38&lt;$I$4,AB38*$I$43/$I$4,$I$43+(AB38-$I$4)*($E$46-$I$43)/($E$6-$I$4))-Input!$B$14*AB38/$E$6*(1-AB38/$E$6)*AC$10/$E$4*(1-AC$10/$E$4)</f>
        <v>0</v>
      </c>
      <c r="AC78" s="51">
        <f t="shared" si="14"/>
        <v>0</v>
      </c>
      <c r="AD78" s="50">
        <f>IF(AD38&lt;$I$4,AD38*$I$43/$I$4,$I$43+(AD38-$I$4)*($E$46-$I$43)/($E$6-$I$4))-Input!$B$14*AD38/$E$6*(1-AD38/$E$6)*AE$10/$E$4*(1-AE$10/$E$4)</f>
        <v>0</v>
      </c>
      <c r="AE78" s="51">
        <f t="shared" si="15"/>
        <v>0</v>
      </c>
      <c r="AF78" s="50">
        <f>IF(AF38&lt;$I$4,AF38*$I$43/$I$4,$I$43+(AF38-$I$4)*($E$46-$I$43)/($E$6-$I$4))-Input!$B$14*AF38/$E$6*(1-AF38/$E$6)*AG$10/$E$4*(1-AG$10/$E$4)</f>
        <v>0</v>
      </c>
      <c r="AG78" s="51">
        <f t="shared" si="16"/>
        <v>0</v>
      </c>
      <c r="AH78" s="50">
        <f>IF(AH38&lt;$I$4,AH38*$I$43/$I$4,$I$43+(AH38-$I$4)*($E$46-$I$43)/($E$6-$I$4))-Input!$B$14*AH38/$E$6*(1-AH38/$E$6)*AI$10/$E$4*(1-AI$10/$E$4)</f>
        <v>0</v>
      </c>
      <c r="AI78" s="51">
        <f t="shared" si="17"/>
        <v>0</v>
      </c>
      <c r="AJ78" s="50">
        <f>IF(AJ38&lt;$I$4,AJ38*$I$43/$I$4,$I$43+(AJ38-$I$4)*($E$46-$I$43)/($E$6-$I$4))-Input!$B$14*AJ38/$E$6*(1-AJ38/$E$6)*AK$10/$E$4*(1-AK$10/$E$4)</f>
        <v>0</v>
      </c>
      <c r="AK78" s="51">
        <f t="shared" si="18"/>
        <v>0</v>
      </c>
      <c r="AL78" s="50">
        <f>IF(AL38&lt;$I$4,AL38*$I$43/$I$4,$I$43+(AL38-$I$4)*($E$46-$I$43)/($E$6-$I$4))-Input!$B$14*AL38/$E$6*(1-AL38/$E$6)*AM$10/$E$4*(1-AM$10/$E$4)</f>
        <v>0</v>
      </c>
      <c r="AM78" s="51">
        <f t="shared" si="19"/>
        <v>0</v>
      </c>
      <c r="AN78" s="50">
        <f>IF(AN38&lt;$I$4,AN38*$I$43/$I$4,$I$43+(AN38-$I$4)*($E$46-$I$43)/($E$6-$I$4))-Input!$B$14*AN38/$E$6*(1-AN38/$E$6)*AO$10/$E$4*(1-AO$10/$E$4)</f>
        <v>0</v>
      </c>
      <c r="AO78" s="51">
        <f t="shared" si="20"/>
        <v>0</v>
      </c>
      <c r="AP78" s="50">
        <f>IF(AP38&lt;$I$4,AP38*$I$43/$I$4,$I$43+(AP38-$I$4)*($E$46-$I$43)/($E$6-$I$4))-Input!$B$14*AP38/$E$6*(1-AP38/$E$6)*AQ$10/$E$4*(1-AQ$10/$E$4)</f>
        <v>0</v>
      </c>
      <c r="AQ78" s="51">
        <f t="shared" si="21"/>
        <v>0</v>
      </c>
    </row>
    <row r="79" spans="1:43" x14ac:dyDescent="0.2">
      <c r="B79" s="4">
        <f>COUNTA(B52:B78)</f>
        <v>27</v>
      </c>
      <c r="C79" s="4">
        <f t="shared" ref="C79:AO79" si="22">COUNTA(C52:C78)</f>
        <v>27</v>
      </c>
      <c r="D79" s="4">
        <f t="shared" si="22"/>
        <v>27</v>
      </c>
      <c r="E79" s="4">
        <f t="shared" si="22"/>
        <v>27</v>
      </c>
      <c r="F79" s="4">
        <f t="shared" si="22"/>
        <v>27</v>
      </c>
      <c r="G79" s="4">
        <f t="shared" si="22"/>
        <v>27</v>
      </c>
      <c r="H79" s="4">
        <f t="shared" si="22"/>
        <v>27</v>
      </c>
      <c r="I79" s="4">
        <f t="shared" si="22"/>
        <v>27</v>
      </c>
      <c r="J79" s="4">
        <f t="shared" si="22"/>
        <v>27</v>
      </c>
      <c r="K79" s="4">
        <f t="shared" si="22"/>
        <v>27</v>
      </c>
      <c r="L79" s="4">
        <f t="shared" si="22"/>
        <v>27</v>
      </c>
      <c r="M79" s="4">
        <f t="shared" si="22"/>
        <v>27</v>
      </c>
      <c r="N79" s="4">
        <f t="shared" si="22"/>
        <v>27</v>
      </c>
      <c r="O79" s="4">
        <f t="shared" si="22"/>
        <v>27</v>
      </c>
      <c r="P79" s="4">
        <f t="shared" si="22"/>
        <v>27</v>
      </c>
      <c r="Q79" s="4">
        <f t="shared" si="22"/>
        <v>27</v>
      </c>
      <c r="R79" s="4">
        <f t="shared" si="22"/>
        <v>27</v>
      </c>
      <c r="S79" s="4">
        <f t="shared" si="22"/>
        <v>27</v>
      </c>
      <c r="T79" s="4">
        <f t="shared" si="22"/>
        <v>27</v>
      </c>
      <c r="U79" s="4">
        <f t="shared" si="22"/>
        <v>27</v>
      </c>
      <c r="V79" s="4">
        <f t="shared" si="22"/>
        <v>27</v>
      </c>
      <c r="W79" s="4">
        <f t="shared" si="22"/>
        <v>27</v>
      </c>
      <c r="X79" s="4">
        <f t="shared" si="22"/>
        <v>27</v>
      </c>
      <c r="Y79" s="4">
        <f t="shared" si="22"/>
        <v>27</v>
      </c>
      <c r="Z79" s="4">
        <f t="shared" si="22"/>
        <v>27</v>
      </c>
      <c r="AA79" s="4">
        <f t="shared" si="22"/>
        <v>27</v>
      </c>
      <c r="AB79" s="4">
        <f t="shared" si="22"/>
        <v>27</v>
      </c>
      <c r="AC79" s="4">
        <f t="shared" si="22"/>
        <v>27</v>
      </c>
      <c r="AD79" s="4">
        <f t="shared" si="22"/>
        <v>27</v>
      </c>
      <c r="AE79" s="4">
        <f t="shared" si="22"/>
        <v>27</v>
      </c>
      <c r="AF79" s="4">
        <f t="shared" si="22"/>
        <v>27</v>
      </c>
      <c r="AG79" s="4">
        <f t="shared" si="22"/>
        <v>27</v>
      </c>
      <c r="AH79" s="4">
        <f t="shared" si="22"/>
        <v>27</v>
      </c>
      <c r="AI79" s="4">
        <f t="shared" si="22"/>
        <v>27</v>
      </c>
      <c r="AJ79" s="4">
        <f t="shared" si="22"/>
        <v>27</v>
      </c>
      <c r="AK79" s="4">
        <f t="shared" si="22"/>
        <v>27</v>
      </c>
      <c r="AL79" s="4">
        <f t="shared" si="22"/>
        <v>27</v>
      </c>
      <c r="AM79" s="4">
        <f t="shared" si="22"/>
        <v>27</v>
      </c>
      <c r="AN79" s="4">
        <f t="shared" si="22"/>
        <v>27</v>
      </c>
      <c r="AO79" s="4">
        <f t="shared" si="22"/>
        <v>27</v>
      </c>
      <c r="AP79" s="4">
        <f>COUNTA(AP52:AP78)</f>
        <v>27</v>
      </c>
      <c r="AQ79" s="4">
        <f>COUNTA(AQ52:AQ78)</f>
        <v>27</v>
      </c>
    </row>
    <row r="81" spans="1:23" x14ac:dyDescent="0.2">
      <c r="A81" s="4" t="s">
        <v>3</v>
      </c>
    </row>
    <row r="82" spans="1:23" ht="13.5" thickBot="1" x14ac:dyDescent="0.25"/>
    <row r="83" spans="1:23" x14ac:dyDescent="0.2">
      <c r="A83" s="71" t="s">
        <v>52</v>
      </c>
      <c r="B83" s="57"/>
      <c r="C83" s="75">
        <v>21</v>
      </c>
      <c r="D83" s="72">
        <f>C83-1</f>
        <v>20</v>
      </c>
      <c r="E83" s="72">
        <f t="shared" ref="E83:W83" si="23">D83-1</f>
        <v>19</v>
      </c>
      <c r="F83" s="72">
        <f t="shared" si="23"/>
        <v>18</v>
      </c>
      <c r="G83" s="72">
        <f t="shared" si="23"/>
        <v>17</v>
      </c>
      <c r="H83" s="72">
        <f t="shared" si="23"/>
        <v>16</v>
      </c>
      <c r="I83" s="72">
        <f t="shared" si="23"/>
        <v>15</v>
      </c>
      <c r="J83" s="72">
        <f t="shared" si="23"/>
        <v>14</v>
      </c>
      <c r="K83" s="72">
        <f t="shared" si="23"/>
        <v>13</v>
      </c>
      <c r="L83" s="72">
        <f t="shared" si="23"/>
        <v>12</v>
      </c>
      <c r="M83" s="72">
        <f t="shared" si="23"/>
        <v>11</v>
      </c>
      <c r="N83" s="72">
        <f t="shared" si="23"/>
        <v>10</v>
      </c>
      <c r="O83" s="72">
        <f t="shared" si="23"/>
        <v>9</v>
      </c>
      <c r="P83" s="72">
        <f t="shared" si="23"/>
        <v>8</v>
      </c>
      <c r="Q83" s="72">
        <f t="shared" si="23"/>
        <v>7</v>
      </c>
      <c r="R83" s="72">
        <f t="shared" si="23"/>
        <v>6</v>
      </c>
      <c r="S83" s="72">
        <f t="shared" si="23"/>
        <v>5</v>
      </c>
      <c r="T83" s="72">
        <f t="shared" si="23"/>
        <v>4</v>
      </c>
      <c r="U83" s="72">
        <f t="shared" si="23"/>
        <v>3</v>
      </c>
      <c r="V83" s="72">
        <f t="shared" si="23"/>
        <v>2</v>
      </c>
      <c r="W83" s="73">
        <f t="shared" si="23"/>
        <v>1</v>
      </c>
    </row>
    <row r="84" spans="1:23" ht="13.5" thickBot="1" x14ac:dyDescent="0.25">
      <c r="A84" s="74" t="s">
        <v>53</v>
      </c>
      <c r="B84" s="60" t="s">
        <v>54</v>
      </c>
      <c r="C84" s="212">
        <f>C50</f>
        <v>0</v>
      </c>
      <c r="D84" s="89">
        <f>E50</f>
        <v>0.85999999999999976</v>
      </c>
      <c r="E84" s="89">
        <f>G50</f>
        <v>1.7199999999999995</v>
      </c>
      <c r="F84" s="89">
        <f>I50</f>
        <v>2.58</v>
      </c>
      <c r="G84" s="89">
        <f>K50</f>
        <v>3.44</v>
      </c>
      <c r="H84" s="89">
        <f>M50</f>
        <v>4.3</v>
      </c>
      <c r="I84" s="89">
        <f>O50</f>
        <v>5.1599999999999993</v>
      </c>
      <c r="J84" s="89">
        <f>Q50</f>
        <v>6.02</v>
      </c>
      <c r="K84" s="89">
        <f>S50</f>
        <v>6.879999999999999</v>
      </c>
      <c r="L84" s="89">
        <f>U50</f>
        <v>7.7399999999999993</v>
      </c>
      <c r="M84" s="89">
        <f>W50</f>
        <v>8.6</v>
      </c>
      <c r="N84" s="89">
        <f>Y50</f>
        <v>9.4600000000000009</v>
      </c>
      <c r="O84" s="89">
        <f>AA50</f>
        <v>10.319999999999999</v>
      </c>
      <c r="P84" s="89">
        <f>AC50</f>
        <v>11.179999999999998</v>
      </c>
      <c r="Q84" s="89">
        <f>AE50</f>
        <v>12.04</v>
      </c>
      <c r="R84" s="89">
        <f>AG50</f>
        <v>12.899999999999999</v>
      </c>
      <c r="S84" s="89">
        <f>AI50</f>
        <v>13.759999999999998</v>
      </c>
      <c r="T84" s="89">
        <f>AK50</f>
        <v>14.619999999999997</v>
      </c>
      <c r="U84" s="89">
        <f>AM50</f>
        <v>15.479999999999999</v>
      </c>
      <c r="V84" s="89">
        <f>AO50</f>
        <v>16.34</v>
      </c>
      <c r="W84" s="140">
        <f>AQ50</f>
        <v>17.2</v>
      </c>
    </row>
    <row r="85" spans="1:23" x14ac:dyDescent="0.2">
      <c r="A85" s="78">
        <v>0</v>
      </c>
      <c r="B85" s="215">
        <f>Transform!$E$46*Transform!A85/Transform!$A$109</f>
        <v>0</v>
      </c>
      <c r="C85" s="213">
        <f>IF(Transform!C$50="",0,CUBIC(Transform!B$52:B$78,Transform!C$52:C$78,B85))</f>
        <v>0</v>
      </c>
      <c r="D85" s="180">
        <f>IF(Transform!E$50="",0,CUBIC(Transform!$D$52:$D$78,Transform!$E$52:$E$78,$B85))</f>
        <v>0</v>
      </c>
      <c r="E85" s="180">
        <f>IF(Transform!G$50="",0,CUBIC(Transform!$F$52:$F$78,Transform!$G$52:$G$78,$B85))</f>
        <v>0</v>
      </c>
      <c r="F85" s="180">
        <f>IF(Transform!I$50="",0,CUBIC(Transform!$H$52:$H$78,Transform!$I$52:$I$78,$B85))</f>
        <v>0</v>
      </c>
      <c r="G85" s="180">
        <f>IF(Transform!K$50="",0,CUBIC(Transform!$J$52:$J$78,Transform!$K$52:$K$78,$B85))</f>
        <v>0</v>
      </c>
      <c r="H85" s="180">
        <f>IF(Transform!M$50="",0,CUBIC(Transform!$L$52:$L$78,Transform!$M$52:$M$78,$B85))</f>
        <v>6.0540540540540533E-2</v>
      </c>
      <c r="I85" s="180">
        <f>IF(Transform!O$50="",0,CUBIC(Transform!$N$52:$N$78,Transform!$O$52:$O$78,$B85))</f>
        <v>6.0540540540540533E-2</v>
      </c>
      <c r="J85" s="180">
        <f>IF(Transform!Q$50="",0,CUBIC(Transform!$P$52:$P$78,Transform!$Q$52:$Q$78,$B85))</f>
        <v>6.0540540540540533E-2</v>
      </c>
      <c r="K85" s="180">
        <f>IF(Transform!S$50="",0,CUBIC(Transform!$R$52:$R$78,Transform!$S$52:$S$78,$B85))</f>
        <v>6.0540540540540533E-2</v>
      </c>
      <c r="L85" s="180">
        <f>IF(Transform!U$50="",0,CUBIC(Transform!$T$52:$T$78,Transform!$U$52:$U$78,$B85))</f>
        <v>6.0540540540540533E-2</v>
      </c>
      <c r="M85" s="180">
        <f>IF(Transform!W$50="",0,CUBIC(Transform!$V$52:$V$78,Transform!$W$52:$W$78,$B85))</f>
        <v>6.0540540540540533E-2</v>
      </c>
      <c r="N85" s="180">
        <f>IF(Transform!Y$50="",0,CUBIC(Transform!$X$52:$X$78,Transform!$Y$52:$Y$78,$B85))</f>
        <v>6.0540540540540533E-2</v>
      </c>
      <c r="O85" s="180">
        <f>IF(Transform!AA$50="",0,CUBIC(Transform!$Z$52:$Z$78,Transform!$AA$52:$AA$78,$B85))</f>
        <v>6.0540540540540533E-2</v>
      </c>
      <c r="P85" s="180">
        <f>IF(Transform!AC$50="",0,CUBIC(Transform!$AB$52:$AB$78,Transform!$AC$52:$AC$78,$B85))</f>
        <v>6.0540540540540533E-2</v>
      </c>
      <c r="Q85" s="180">
        <f>IF(Transform!AE$50="",0,CUBIC(Transform!$AD$52:$AD$78,Transform!$AE$52:$AE$78,$B85))</f>
        <v>6.0540540540540533E-2</v>
      </c>
      <c r="R85" s="180">
        <f>IF(Transform!AG$50="",0,CUBIC(Transform!$AF$52:$AF$78,Transform!$AG$52:$AG$78,$B85))</f>
        <v>0</v>
      </c>
      <c r="S85" s="180">
        <f>IF(Transform!AI$50="",0,CUBIC(Transform!$AH$52:$AH$78,Transform!$AI$52:$AI$78,$B85))</f>
        <v>0</v>
      </c>
      <c r="T85" s="180">
        <f>IF(Transform!AK$50="",0,CUBIC(Transform!$AJ$52:$AJ$78,Transform!$AK$52:$AK$78,$B85))</f>
        <v>0</v>
      </c>
      <c r="U85" s="180">
        <f>IF(Transform!AM$50="",0,CUBIC(Transform!$AL$52:$AL$78,Transform!$AM$52:$AM$78,$B85))</f>
        <v>0</v>
      </c>
      <c r="V85" s="180">
        <f>IF(Transform!AO$50="",0,CUBIC(Transform!$AN$52:$AN$78,Transform!$AO$52:$AO$78,$B85))</f>
        <v>0</v>
      </c>
      <c r="W85" s="180">
        <f>IF(Transform!AQ$50="",0,CUBIC(Transform!$AP$52:$AP$78,Transform!$AQ$52:$AQ$78,$B85))</f>
        <v>0</v>
      </c>
    </row>
    <row r="86" spans="1:23" x14ac:dyDescent="0.2">
      <c r="A86" s="80">
        <f t="shared" ref="A86:A109" si="24">A85+1</f>
        <v>1</v>
      </c>
      <c r="B86" s="137">
        <f>Transform!$E$46*Transform!A86/Transform!$A$109</f>
        <v>7.2916666666666671E-2</v>
      </c>
      <c r="C86" s="214">
        <f>IF(Transform!C$50="",0,CUBIC(Transform!B$52:B$78,Transform!C$52:C$78,B86))</f>
        <v>7.029973018428768E-5</v>
      </c>
      <c r="D86" s="85">
        <f>IF(Transform!E$50="",0,CUBIC(Transform!$D$52:$D$78,Transform!$E$52:$E$78,$B86))</f>
        <v>3.1061674659347524E-4</v>
      </c>
      <c r="E86" s="85">
        <f>IF(Transform!G$50="",0,CUBIC(Transform!$F$52:$F$78,Transform!$G$52:$G$78,$B86))</f>
        <v>3.9757065496441748E-4</v>
      </c>
      <c r="F86" s="85">
        <f>IF(Transform!I$50="",0,CUBIC(Transform!$H$52:$H$78,Transform!$I$52:$I$78,$B86))</f>
        <v>-5.4460663919468424E-3</v>
      </c>
      <c r="G86" s="85">
        <f>IF(Transform!K$50="",0,CUBIC(Transform!$J$52:$J$78,Transform!$K$52:$K$78,$B86))</f>
        <v>4.1675724515099224E-2</v>
      </c>
      <c r="H86" s="85">
        <f>IF(Transform!M$50="",0,CUBIC(Transform!$L$52:$L$78,Transform!$M$52:$M$78,$B86))</f>
        <v>6.4790346219262746E-2</v>
      </c>
      <c r="I86" s="85">
        <f>IF(Transform!O$50="",0,CUBIC(Transform!$N$52:$N$78,Transform!$O$52:$O$78,$B86))</f>
        <v>6.8138131398385843E-2</v>
      </c>
      <c r="J86" s="85">
        <f>IF(Transform!Q$50="",0,CUBIC(Transform!$P$52:$P$78,Transform!$Q$52:$Q$78,$B86))</f>
        <v>6.8078919649115929E-2</v>
      </c>
      <c r="K86" s="85">
        <f>IF(Transform!S$50="",0,CUBIC(Transform!$R$52:$R$78,Transform!$S$52:$S$78,$B86))</f>
        <v>6.8078261599640949E-2</v>
      </c>
      <c r="L86" s="85">
        <f>IF(Transform!U$50="",0,CUBIC(Transform!$T$52:$T$78,Transform!$U$52:$U$78,$B86))</f>
        <v>6.8106169683771034E-2</v>
      </c>
      <c r="M86" s="85">
        <f>IF(Transform!W$50="",0,CUBIC(Transform!$V$52:$V$78,Transform!$W$52:$W$78,$B86))</f>
        <v>6.8121904317421697E-2</v>
      </c>
      <c r="N86" s="85">
        <f>IF(Transform!Y$50="",0,CUBIC(Transform!$X$52:$X$78,Transform!$Y$52:$Y$78,$B86))</f>
        <v>6.8106169683771034E-2</v>
      </c>
      <c r="O86" s="85">
        <f>IF(Transform!AA$50="",0,CUBIC(Transform!$Z$52:$Z$78,Transform!$AA$52:$AA$78,$B86))</f>
        <v>6.8078261599640949E-2</v>
      </c>
      <c r="P86" s="85">
        <f>IF(Transform!AC$50="",0,CUBIC(Transform!$AB$52:$AB$78,Transform!$AC$52:$AC$78,$B86))</f>
        <v>6.8078919649115929E-2</v>
      </c>
      <c r="Q86" s="85">
        <f>IF(Transform!AE$50="",0,CUBIC(Transform!$AD$52:$AD$78,Transform!$AE$52:$AE$78,$B86))</f>
        <v>6.7496534546662976E-2</v>
      </c>
      <c r="R86" s="85">
        <f>IF(Transform!AG$50="",0,CUBIC(Transform!$AF$52:$AF$78,Transform!$AG$52:$AG$78,$B86))</f>
        <v>3.7407966633995086E-2</v>
      </c>
      <c r="S86" s="85">
        <f>IF(Transform!AI$50="",0,CUBIC(Transform!$AH$52:$AH$78,Transform!$AI$52:$AI$78,$B86))</f>
        <v>-6.2632566089643122E-3</v>
      </c>
      <c r="T86" s="85">
        <f>IF(Transform!AK$50="",0,CUBIC(Transform!$AJ$52:$AJ$78,Transform!$AK$52:$AK$78,$B86))</f>
        <v>1.5743618238699288E-4</v>
      </c>
      <c r="U86" s="85">
        <f>IF(Transform!AM$50="",0,CUBIC(Transform!$AL$52:$AL$78,Transform!$AM$52:$AM$78,$B86))</f>
        <v>8.4468162950232073E-4</v>
      </c>
      <c r="V86" s="85">
        <f>IF(Transform!AO$50="",0,CUBIC(Transform!$AN$52:$AN$78,Transform!$AO$52:$AO$78,$B86))</f>
        <v>-3.6445738734696716E-4</v>
      </c>
      <c r="W86" s="85">
        <f>IF(Transform!AQ$50="",0,CUBIC(Transform!$AP$52:$AP$78,Transform!$AQ$52:$AQ$78,$B86))</f>
        <v>0</v>
      </c>
    </row>
    <row r="87" spans="1:23" x14ac:dyDescent="0.2">
      <c r="A87" s="80">
        <f t="shared" si="24"/>
        <v>2</v>
      </c>
      <c r="B87" s="137">
        <f>Transform!$E$46*Transform!A87/Transform!$A$109</f>
        <v>0.14583333333333334</v>
      </c>
      <c r="C87" s="214">
        <f>IF(Transform!C$50="",0,CUBIC(Transform!B$52:B$78,Transform!C$52:C$78,B87))</f>
        <v>4.5504712752921032E-5</v>
      </c>
      <c r="D87" s="85">
        <f>IF(Transform!E$50="",0,CUBIC(Transform!$D$52:$D$78,Transform!$E$52:$E$78,$B87))</f>
        <v>5.8324348922285663E-5</v>
      </c>
      <c r="E87" s="85">
        <f>IF(Transform!G$50="",0,CUBIC(Transform!$F$52:$F$78,Transform!$G$52:$G$78,$B87))</f>
        <v>-1.8936446786681191E-4</v>
      </c>
      <c r="F87" s="85">
        <f>IF(Transform!I$50="",0,CUBIC(Transform!$H$52:$H$78,Transform!$I$52:$I$78,$B87))</f>
        <v>8.0324163214880902E-3</v>
      </c>
      <c r="G87" s="85">
        <f>IF(Transform!K$50="",0,CUBIC(Transform!$J$52:$J$78,Transform!$K$52:$K$78,$B87))</f>
        <v>6.9998678635844927E-2</v>
      </c>
      <c r="H87" s="85">
        <f>IF(Transform!M$50="",0,CUBIC(Transform!$L$52:$L$78,Transform!$M$52:$M$78,$B87))</f>
        <v>8.5690606001584665E-2</v>
      </c>
      <c r="I87" s="85">
        <f>IF(Transform!O$50="",0,CUBIC(Transform!$N$52:$N$78,Transform!$O$52:$O$78,$B87))</f>
        <v>8.18322262182892E-2</v>
      </c>
      <c r="J87" s="85">
        <f>IF(Transform!Q$50="",0,CUBIC(Transform!$P$52:$P$78,Transform!$Q$52:$Q$78,$B87))</f>
        <v>9.4436556234972047E-2</v>
      </c>
      <c r="K87" s="85">
        <f>IF(Transform!S$50="",0,CUBIC(Transform!$R$52:$R$78,Transform!$S$52:$S$78,$B87))</f>
        <v>0.10749448811764978</v>
      </c>
      <c r="L87" s="85">
        <f>IF(Transform!U$50="",0,CUBIC(Transform!$T$52:$T$78,Transform!$U$52:$U$78,$B87))</f>
        <v>0.1174267245286333</v>
      </c>
      <c r="M87" s="85">
        <f>IF(Transform!W$50="",0,CUBIC(Transform!$V$52:$V$78,Transform!$W$52:$W$78,$B87))</f>
        <v>0.12114502243749126</v>
      </c>
      <c r="N87" s="85">
        <f>IF(Transform!Y$50="",0,CUBIC(Transform!$X$52:$X$78,Transform!$Y$52:$Y$78,$B87))</f>
        <v>0.11742672452863323</v>
      </c>
      <c r="O87" s="85">
        <f>IF(Transform!AA$50="",0,CUBIC(Transform!$Z$52:$Z$78,Transform!$AA$52:$AA$78,$B87))</f>
        <v>0.10749448811764981</v>
      </c>
      <c r="P87" s="85">
        <f>IF(Transform!AC$50="",0,CUBIC(Transform!$AB$52:$AB$78,Transform!$AC$52:$AC$78,$B87))</f>
        <v>9.4436556234972116E-2</v>
      </c>
      <c r="Q87" s="85">
        <f>IF(Transform!AE$50="",0,CUBIC(Transform!$AD$52:$AD$78,Transform!$AE$52:$AE$78,$B87))</f>
        <v>8.550495552168047E-2</v>
      </c>
      <c r="R87" s="85">
        <f>IF(Transform!AG$50="",0,CUBIC(Transform!$AF$52:$AF$78,Transform!$AG$52:$AG$78,$B87))</f>
        <v>5.9444886128064284E-2</v>
      </c>
      <c r="S87" s="85">
        <f>IF(Transform!AI$50="",0,CUBIC(Transform!$AH$52:$AH$78,Transform!$AI$52:$AI$78,$B87))</f>
        <v>1.8818400496165788E-2</v>
      </c>
      <c r="T87" s="85">
        <f>IF(Transform!AK$50="",0,CUBIC(Transform!$AJ$52:$AJ$78,Transform!$AK$52:$AK$78,$B87))</f>
        <v>-3.4250651196698553E-5</v>
      </c>
      <c r="U87" s="85">
        <f>IF(Transform!AM$50="",0,CUBIC(Transform!$AL$52:$AL$78,Transform!$AM$52:$AM$78,$B87))</f>
        <v>-4.0232518494579217E-4</v>
      </c>
      <c r="V87" s="85">
        <f>IF(Transform!AO$50="",0,CUBIC(Transform!$AN$52:$AN$78,Transform!$AO$52:$AO$78,$B87))</f>
        <v>-6.8433978721530741E-5</v>
      </c>
      <c r="W87" s="85">
        <f>IF(Transform!AQ$50="",0,CUBIC(Transform!$AP$52:$AP$78,Transform!$AQ$52:$AQ$78,$B87))</f>
        <v>0</v>
      </c>
    </row>
    <row r="88" spans="1:23" x14ac:dyDescent="0.2">
      <c r="A88" s="80">
        <f t="shared" si="24"/>
        <v>3</v>
      </c>
      <c r="B88" s="137">
        <f>Transform!$E$46*Transform!A88/Transform!$A$109</f>
        <v>0.21875</v>
      </c>
      <c r="C88" s="214">
        <f>IF(Transform!C$50="",0,CUBIC(Transform!B$52:B$78,Transform!C$52:C$78,B88))</f>
        <v>-1.4106137723678369E-4</v>
      </c>
      <c r="D88" s="85">
        <f>IF(Transform!E$50="",0,CUBIC(Transform!$D$52:$D$78,Transform!$E$52:$E$78,$B88))</f>
        <v>-8.8732564916341064E-4</v>
      </c>
      <c r="E88" s="85">
        <f>IF(Transform!G$50="",0,CUBIC(Transform!$F$52:$F$78,Transform!$G$52:$G$78,$B88))</f>
        <v>-1.3270633097472199E-3</v>
      </c>
      <c r="F88" s="85">
        <f>IF(Transform!I$50="",0,CUBIC(Transform!$H$52:$H$78,Transform!$I$52:$I$78,$B88))</f>
        <v>5.0286595397915627E-2</v>
      </c>
      <c r="G88" s="85">
        <f>IF(Transform!K$50="",0,CUBIC(Transform!$J$52:$J$78,Transform!$K$52:$K$78,$B88))</f>
        <v>0.12566762277574772</v>
      </c>
      <c r="H88" s="85">
        <f>IF(Transform!M$50="",0,CUBIC(Transform!$L$52:$L$78,Transform!$M$52:$M$78,$B88))</f>
        <v>0.19573964371753436</v>
      </c>
      <c r="I88" s="85">
        <f>IF(Transform!O$50="",0,CUBIC(Transform!$N$52:$N$78,Transform!$O$52:$O$78,$B88))</f>
        <v>0.27815775832931772</v>
      </c>
      <c r="J88" s="85">
        <f>IF(Transform!Q$50="",0,CUBIC(Transform!$P$52:$P$78,Transform!$Q$52:$Q$78,$B88))</f>
        <v>0.34654473172219841</v>
      </c>
      <c r="K88" s="85">
        <f>IF(Transform!S$50="",0,CUBIC(Transform!$R$52:$R$78,Transform!$S$52:$S$78,$B88))</f>
        <v>0.40244371973608378</v>
      </c>
      <c r="L88" s="85">
        <f>IF(Transform!U$50="",0,CUBIC(Transform!$T$52:$T$78,Transform!$U$52:$U$78,$B88))</f>
        <v>0.43862216627486889</v>
      </c>
      <c r="M88" s="85">
        <f>IF(Transform!W$50="",0,CUBIC(Transform!$V$52:$V$78,Transform!$W$52:$W$78,$B88))</f>
        <v>0.45109179416474515</v>
      </c>
      <c r="N88" s="85">
        <f>IF(Transform!Y$50="",0,CUBIC(Transform!$X$52:$X$78,Transform!$Y$52:$Y$78,$B88))</f>
        <v>0.43862216627486883</v>
      </c>
      <c r="O88" s="85">
        <f>IF(Transform!AA$50="",0,CUBIC(Transform!$Z$52:$Z$78,Transform!$AA$52:$AA$78,$B88))</f>
        <v>0.40244371973608356</v>
      </c>
      <c r="P88" s="85">
        <f>IF(Transform!AC$50="",0,CUBIC(Transform!$AB$52:$AB$78,Transform!$AC$52:$AC$78,$B88))</f>
        <v>0.34654473172219824</v>
      </c>
      <c r="Q88" s="85">
        <f>IF(Transform!AE$50="",0,CUBIC(Transform!$AD$52:$AD$78,Transform!$AE$52:$AE$78,$B88))</f>
        <v>0.26963065755325905</v>
      </c>
      <c r="R88" s="85">
        <f>IF(Transform!AG$50="",0,CUBIC(Transform!$AF$52:$AF$78,Transform!$AG$52:$AG$78,$B88))</f>
        <v>0.15688569574851394</v>
      </c>
      <c r="S88" s="85">
        <f>IF(Transform!AI$50="",0,CUBIC(Transform!$AH$52:$AH$78,Transform!$AI$52:$AI$78,$B88))</f>
        <v>8.8969103013508008E-2</v>
      </c>
      <c r="T88" s="85">
        <f>IF(Transform!AK$50="",0,CUBIC(Transform!$AJ$52:$AJ$78,Transform!$AK$52:$AK$78,$B88))</f>
        <v>9.6569974918407769E-3</v>
      </c>
      <c r="U88" s="85">
        <f>IF(Transform!AM$50="",0,CUBIC(Transform!$AL$52:$AL$78,Transform!$AM$52:$AM$78,$B88))</f>
        <v>-2.8194887749709522E-3</v>
      </c>
      <c r="V88" s="85">
        <f>IF(Transform!AO$50="",0,CUBIC(Transform!$AN$52:$AN$78,Transform!$AO$52:$AO$78,$B88))</f>
        <v>1.0411299177094707E-3</v>
      </c>
      <c r="W88" s="85">
        <f>IF(Transform!AQ$50="",0,CUBIC(Transform!$AP$52:$AP$78,Transform!$AQ$52:$AQ$78,$B88))</f>
        <v>0</v>
      </c>
    </row>
    <row r="89" spans="1:23" x14ac:dyDescent="0.2">
      <c r="A89" s="80">
        <f t="shared" si="24"/>
        <v>4</v>
      </c>
      <c r="B89" s="137">
        <f>Transform!$E$46*Transform!A89/Transform!$A$109</f>
        <v>0.29166666666666669</v>
      </c>
      <c r="C89" s="214">
        <f>IF(Transform!C$50="",0,CUBIC(Transform!B$52:B$78,Transform!C$52:C$78,B89))</f>
        <v>-2.2798392806550562E-4</v>
      </c>
      <c r="D89" s="85">
        <f>IF(Transform!E$50="",0,CUBIC(Transform!$D$52:$D$78,Transform!$E$52:$E$78,$B89))</f>
        <v>-4.8061538914966957E-4</v>
      </c>
      <c r="E89" s="85">
        <f>IF(Transform!G$50="",0,CUBIC(Transform!$F$52:$F$78,Transform!$G$52:$G$78,$B89))</f>
        <v>1.071866814919646E-3</v>
      </c>
      <c r="F89" s="85">
        <f>IF(Transform!I$50="",0,CUBIC(Transform!$H$52:$H$78,Transform!$I$52:$I$78,$B89))</f>
        <v>0.11863826901878188</v>
      </c>
      <c r="G89" s="85">
        <f>IF(Transform!K$50="",0,CUBIC(Transform!$J$52:$J$78,Transform!$K$52:$K$78,$B89))</f>
        <v>0.27944134556272426</v>
      </c>
      <c r="H89" s="85">
        <f>IF(Transform!M$50="",0,CUBIC(Transform!$L$52:$L$78,Transform!$M$52:$M$78,$B89))</f>
        <v>0.44126856955001215</v>
      </c>
      <c r="I89" s="85">
        <f>IF(Transform!O$50="",0,CUBIC(Transform!$N$52:$N$78,Transform!$O$52:$O$78,$B89))</f>
        <v>0.66224710264727105</v>
      </c>
      <c r="J89" s="85">
        <f>IF(Transform!Q$50="",0,CUBIC(Transform!$P$52:$P$78,Transform!$Q$52:$Q$78,$B89))</f>
        <v>0.74351070066726566</v>
      </c>
      <c r="K89" s="85">
        <f>IF(Transform!S$50="",0,CUBIC(Transform!$R$52:$R$78,Transform!$S$52:$S$78,$B89))</f>
        <v>0.79799440539475264</v>
      </c>
      <c r="L89" s="85">
        <f>IF(Transform!U$50="",0,CUBIC(Transform!$T$52:$T$78,Transform!$U$52:$U$78,$B89))</f>
        <v>0.8288489942985563</v>
      </c>
      <c r="M89" s="85">
        <f>IF(Transform!W$50="",0,CUBIC(Transform!$V$52:$V$78,Transform!$W$52:$W$78,$B89))</f>
        <v>0.83881374825825461</v>
      </c>
      <c r="N89" s="85">
        <f>IF(Transform!Y$50="",0,CUBIC(Transform!$X$52:$X$78,Transform!$Y$52:$Y$78,$B89))</f>
        <v>0.82884899429855619</v>
      </c>
      <c r="O89" s="85">
        <f>IF(Transform!AA$50="",0,CUBIC(Transform!$Z$52:$Z$78,Transform!$AA$52:$AA$78,$B89))</f>
        <v>0.79799440539475242</v>
      </c>
      <c r="P89" s="85">
        <f>IF(Transform!AC$50="",0,CUBIC(Transform!$AB$52:$AB$78,Transform!$AC$52:$AC$78,$B89))</f>
        <v>0.74351070066726521</v>
      </c>
      <c r="Q89" s="85">
        <f>IF(Transform!AE$50="",0,CUBIC(Transform!$AD$52:$AD$78,Transform!$AE$52:$AE$78,$B89))</f>
        <v>0.62254942062763297</v>
      </c>
      <c r="R89" s="85">
        <f>IF(Transform!AG$50="",0,CUBIC(Transform!$AF$52:$AF$78,Transform!$AG$52:$AG$78,$B89))</f>
        <v>0.40181434545186706</v>
      </c>
      <c r="S89" s="85">
        <f>IF(Transform!AI$50="",0,CUBIC(Transform!$AH$52:$AH$78,Transform!$AI$52:$AI$78,$B89))</f>
        <v>0.20239743887817427</v>
      </c>
      <c r="T89" s="85">
        <f>IF(Transform!AK$50="",0,CUBIC(Transform!$AJ$52:$AJ$78,Transform!$AK$52:$AK$78,$B89))</f>
        <v>5.3846454700269955E-2</v>
      </c>
      <c r="U89" s="85">
        <f>IF(Transform!AM$50="",0,CUBIC(Transform!$AL$52:$AL$78,Transform!$AM$52:$AM$78,$B89))</f>
        <v>2.2138808852600715E-3</v>
      </c>
      <c r="V89" s="85">
        <f>IF(Transform!AO$50="",0,CUBIC(Transform!$AN$52:$AN$78,Transform!$AO$52:$AO$78,$B89))</f>
        <v>5.6392268275697011E-4</v>
      </c>
      <c r="W89" s="85">
        <f>IF(Transform!AQ$50="",0,CUBIC(Transform!$AP$52:$AP$78,Transform!$AQ$52:$AQ$78,$B89))</f>
        <v>0</v>
      </c>
    </row>
    <row r="90" spans="1:23" x14ac:dyDescent="0.2">
      <c r="A90" s="80">
        <f t="shared" si="24"/>
        <v>5</v>
      </c>
      <c r="B90" s="137">
        <f>Transform!$E$46*Transform!A90/Transform!$A$109</f>
        <v>0.36458333333333331</v>
      </c>
      <c r="C90" s="214">
        <f>IF(Transform!C$50="",0,CUBIC(Transform!B$52:B$78,Transform!C$52:C$78,B90))</f>
        <v>2.4217213094836044E-4</v>
      </c>
      <c r="D90" s="85">
        <f>IF(Transform!E$50="",0,CUBIC(Transform!$D$52:$D$78,Transform!$E$52:$E$78,$B90))</f>
        <v>2.9130516895191395E-3</v>
      </c>
      <c r="E90" s="85">
        <f>IF(Transform!G$50="",0,CUBIC(Transform!$F$52:$F$78,Transform!$G$52:$G$78,$B90))</f>
        <v>1.6723413614413853E-2</v>
      </c>
      <c r="F90" s="85">
        <f>IF(Transform!I$50="",0,CUBIC(Transform!$H$52:$H$78,Transform!$I$52:$I$78,$B90))</f>
        <v>0.22216267313616767</v>
      </c>
      <c r="G90" s="85">
        <f>IF(Transform!K$50="",0,CUBIC(Transform!$J$52:$J$78,Transform!$K$52:$K$78,$B90))</f>
        <v>0.49487877889576848</v>
      </c>
      <c r="H90" s="85">
        <f>IF(Transform!M$50="",0,CUBIC(Transform!$L$52:$L$78,Transform!$M$52:$M$78,$B90))</f>
        <v>0.72107362584788315</v>
      </c>
      <c r="I90" s="85">
        <f>IF(Transform!O$50="",0,CUBIC(Transform!$N$52:$N$78,Transform!$O$52:$O$78,$B90))</f>
        <v>0.9395442954800739</v>
      </c>
      <c r="J90" s="85">
        <f>IF(Transform!Q$50="",0,CUBIC(Transform!$P$52:$P$78,Transform!$Q$52:$Q$78,$B90))</f>
        <v>0.98582148937437197</v>
      </c>
      <c r="K90" s="85">
        <f>IF(Transform!S$50="",0,CUBIC(Transform!$R$52:$R$78,Transform!$S$52:$S$78,$B90))</f>
        <v>1.0153927604163706</v>
      </c>
      <c r="L90" s="85">
        <f>IF(Transform!U$50="",0,CUBIC(Transform!$T$52:$T$78,Transform!$U$52:$U$78,$B90))</f>
        <v>1.0318702834087272</v>
      </c>
      <c r="M90" s="85">
        <f>IF(Transform!W$50="",0,CUBIC(Transform!$V$52:$V$78,Transform!$W$52:$W$78,$B90))</f>
        <v>1.0371723138628222</v>
      </c>
      <c r="N90" s="85">
        <f>IF(Transform!Y$50="",0,CUBIC(Transform!$X$52:$X$78,Transform!$Y$52:$Y$78,$B90))</f>
        <v>1.0318702834087272</v>
      </c>
      <c r="O90" s="85">
        <f>IF(Transform!AA$50="",0,CUBIC(Transform!$Z$52:$Z$78,Transform!$AA$52:$AA$78,$B90))</f>
        <v>1.0153927604163706</v>
      </c>
      <c r="P90" s="85">
        <f>IF(Transform!AC$50="",0,CUBIC(Transform!$AB$52:$AB$78,Transform!$AC$52:$AC$78,$B90))</f>
        <v>0.98582148937437175</v>
      </c>
      <c r="Q90" s="85">
        <f>IF(Transform!AE$50="",0,CUBIC(Transform!$AD$52:$AD$78,Transform!$AE$52:$AE$78,$B90))</f>
        <v>0.88456565466551218</v>
      </c>
      <c r="R90" s="85">
        <f>IF(Transform!AG$50="",0,CUBIC(Transform!$AF$52:$AF$78,Transform!$AG$52:$AG$78,$B90))</f>
        <v>0.66169243375527997</v>
      </c>
      <c r="S90" s="85">
        <f>IF(Transform!AI$50="",0,CUBIC(Transform!$AH$52:$AH$78,Transform!$AI$52:$AI$78,$B90))</f>
        <v>0.3613220076300015</v>
      </c>
      <c r="T90" s="85">
        <f>IF(Transform!AK$50="",0,CUBIC(Transform!$AJ$52:$AJ$78,Transform!$AK$52:$AK$78,$B90))</f>
        <v>0.13977957330905683</v>
      </c>
      <c r="U90" s="85">
        <f>IF(Transform!AM$50="",0,CUBIC(Transform!$AL$52:$AL$78,Transform!$AM$52:$AM$78,$B90))</f>
        <v>2.4243016775146446E-2</v>
      </c>
      <c r="V90" s="85">
        <f>IF(Transform!AO$50="",0,CUBIC(Transform!$AN$52:$AN$78,Transform!$AO$52:$AO$78,$B90))</f>
        <v>-3.4179844442138504E-3</v>
      </c>
      <c r="W90" s="85">
        <f>IF(Transform!AQ$50="",0,CUBIC(Transform!$AP$52:$AP$78,Transform!$AQ$52:$AQ$78,$B90))</f>
        <v>0</v>
      </c>
    </row>
    <row r="91" spans="1:23" x14ac:dyDescent="0.2">
      <c r="A91" s="80">
        <f t="shared" si="24"/>
        <v>6</v>
      </c>
      <c r="B91" s="137">
        <f>Transform!$E$46*Transform!A91/Transform!$A$109</f>
        <v>0.4375</v>
      </c>
      <c r="C91" s="214">
        <f>IF(Transform!C$50="",0,CUBIC(Transform!B$52:B$78,Transform!C$52:C$78,B91))</f>
        <v>8.7922103124886799E-4</v>
      </c>
      <c r="D91" s="85">
        <f>IF(Transform!E$50="",0,CUBIC(Transform!$D$52:$D$78,Transform!$E$52:$E$78,$B91))</f>
        <v>2.8706344946735824E-3</v>
      </c>
      <c r="E91" s="85">
        <f>IF(Transform!G$50="",0,CUBIC(Transform!$F$52:$F$78,Transform!$G$52:$G$78,$B91))</f>
        <v>6.6092374718647248E-2</v>
      </c>
      <c r="F91" s="85">
        <f>IF(Transform!I$50="",0,CUBIC(Transform!$H$52:$H$78,Transform!$I$52:$I$78,$B91))</f>
        <v>0.37704805461013574</v>
      </c>
      <c r="G91" s="85">
        <f>IF(Transform!K$50="",0,CUBIC(Transform!$J$52:$J$78,Transform!$K$52:$K$78,$B91))</f>
        <v>0.71088163073820609</v>
      </c>
      <c r="H91" s="85">
        <f>IF(Transform!M$50="",0,CUBIC(Transform!$L$52:$L$78,Transform!$M$52:$M$78,$B91))</f>
        <v>0.95593256943324056</v>
      </c>
      <c r="I91" s="85">
        <f>IF(Transform!O$50="",0,CUBIC(Transform!$N$52:$N$78,Transform!$O$52:$O$78,$B91))</f>
        <v>1.0846019126938546</v>
      </c>
      <c r="J91" s="85">
        <f>IF(Transform!Q$50="",0,CUBIC(Transform!$P$52:$P$78,Transform!$Q$52:$Q$78,$B91))</f>
        <v>1.1164388120973254</v>
      </c>
      <c r="K91" s="85">
        <f>IF(Transform!S$50="",0,CUBIC(Transform!$R$52:$R$78,Transform!$S$52:$S$78,$B91))</f>
        <v>1.1389858130574113</v>
      </c>
      <c r="L91" s="85">
        <f>IF(Transform!U$50="",0,CUBIC(Transform!$T$52:$T$78,Transform!$U$52:$U$78,$B91))</f>
        <v>1.1524260379820059</v>
      </c>
      <c r="M91" s="85">
        <f>IF(Transform!W$50="",0,CUBIC(Transform!$V$52:$V$78,Transform!$W$52:$W$78,$B91))</f>
        <v>1.1568901428698595</v>
      </c>
      <c r="N91" s="85">
        <f>IF(Transform!Y$50="",0,CUBIC(Transform!$X$52:$X$78,Transform!$Y$52:$Y$78,$B91))</f>
        <v>1.1524260379820059</v>
      </c>
      <c r="O91" s="85">
        <f>IF(Transform!AA$50="",0,CUBIC(Transform!$Z$52:$Z$78,Transform!$AA$52:$AA$78,$B91))</f>
        <v>1.1389858130574113</v>
      </c>
      <c r="P91" s="85">
        <f>IF(Transform!AC$50="",0,CUBIC(Transform!$AB$52:$AB$78,Transform!$AC$52:$AC$78,$B91))</f>
        <v>1.1164388120973254</v>
      </c>
      <c r="Q91" s="85">
        <f>IF(Transform!AE$50="",0,CUBIC(Transform!$AD$52:$AD$78,Transform!$AE$52:$AE$78,$B91))</f>
        <v>1.0314147987778595</v>
      </c>
      <c r="R91" s="85">
        <f>IF(Transform!AG$50="",0,CUBIC(Transform!$AF$52:$AF$78,Transform!$AG$52:$AG$78,$B91))</f>
        <v>0.85575239242427181</v>
      </c>
      <c r="S91" s="85">
        <f>IF(Transform!AI$50="",0,CUBIC(Transform!$AH$52:$AH$78,Transform!$AI$52:$AI$78,$B91))</f>
        <v>0.55344145064147243</v>
      </c>
      <c r="T91" s="85">
        <f>IF(Transform!AK$50="",0,CUBIC(Transform!$AJ$52:$AJ$78,Transform!$AK$52:$AK$78,$B91))</f>
        <v>0.25834313569862294</v>
      </c>
      <c r="U91" s="85">
        <f>IF(Transform!AM$50="",0,CUBIC(Transform!$AL$52:$AL$78,Transform!$AM$52:$AM$78,$B91))</f>
        <v>7.2166917456874341E-2</v>
      </c>
      <c r="V91" s="85">
        <f>IF(Transform!AO$50="",0,CUBIC(Transform!$AN$52:$AN$78,Transform!$AO$52:$AO$78,$B91))</f>
        <v>-3.3682148803331462E-3</v>
      </c>
      <c r="W91" s="85">
        <f>IF(Transform!AQ$50="",0,CUBIC(Transform!$AP$52:$AP$78,Transform!$AQ$52:$AQ$78,$B91))</f>
        <v>0</v>
      </c>
    </row>
    <row r="92" spans="1:23" x14ac:dyDescent="0.2">
      <c r="A92" s="80">
        <f t="shared" si="24"/>
        <v>7</v>
      </c>
      <c r="B92" s="137">
        <f>Transform!$E$46*Transform!A92/Transform!$A$109</f>
        <v>0.51041666666666663</v>
      </c>
      <c r="C92" s="214">
        <f>IF(Transform!C$50="",0,CUBIC(Transform!B$52:B$78,Transform!C$52:C$78,B92))</f>
        <v>-1.2853343955949198E-5</v>
      </c>
      <c r="D92" s="85">
        <f>IF(Transform!E$50="",0,CUBIC(Transform!$D$52:$D$78,Transform!$E$52:$E$78,$B92))</f>
        <v>-8.6793371289104939E-3</v>
      </c>
      <c r="E92" s="85">
        <f>IF(Transform!G$50="",0,CUBIC(Transform!$F$52:$F$78,Transform!$G$52:$G$78,$B92))</f>
        <v>0.16252514340687804</v>
      </c>
      <c r="F92" s="85">
        <f>IF(Transform!I$50="",0,CUBIC(Transform!$H$52:$H$78,Transform!$I$52:$I$78,$B92))</f>
        <v>0.56497843559443728</v>
      </c>
      <c r="G92" s="85">
        <f>IF(Transform!K$50="",0,CUBIC(Transform!$J$52:$J$78,Transform!$K$52:$K$78,$B92))</f>
        <v>0.90064350640877089</v>
      </c>
      <c r="H92" s="85">
        <f>IF(Transform!M$50="",0,CUBIC(Transform!$L$52:$L$78,Transform!$M$52:$M$78,$B92))</f>
        <v>1.1162830497202489</v>
      </c>
      <c r="I92" s="85">
        <f>IF(Transform!O$50="",0,CUBIC(Transform!$N$52:$N$78,Transform!$O$52:$O$78,$B92))</f>
        <v>1.1950061698768788</v>
      </c>
      <c r="J92" s="85">
        <f>IF(Transform!Q$50="",0,CUBIC(Transform!$P$52:$P$78,Transform!$Q$52:$Q$78,$B92))</f>
        <v>1.2239600083745943</v>
      </c>
      <c r="K92" s="85">
        <f>IF(Transform!S$50="",0,CUBIC(Transform!$R$52:$R$78,Transform!$S$52:$S$78,$B92))</f>
        <v>1.2441685838085339</v>
      </c>
      <c r="L92" s="85">
        <f>IF(Transform!U$50="",0,CUBIC(Transform!$T$52:$T$78,Transform!$U$52:$U$78,$B92))</f>
        <v>1.2560647473514741</v>
      </c>
      <c r="M92" s="85">
        <f>IF(Transform!W$50="",0,CUBIC(Transform!$V$52:$V$78,Transform!$W$52:$W$78,$B92))</f>
        <v>1.2599870577656005</v>
      </c>
      <c r="N92" s="85">
        <f>IF(Transform!Y$50="",0,CUBIC(Transform!$X$52:$X$78,Transform!$Y$52:$Y$78,$B92))</f>
        <v>1.2560647473514739</v>
      </c>
      <c r="O92" s="85">
        <f>IF(Transform!AA$50="",0,CUBIC(Transform!$Z$52:$Z$78,Transform!$AA$52:$AA$78,$B92))</f>
        <v>1.2441685838085339</v>
      </c>
      <c r="P92" s="85">
        <f>IF(Transform!AC$50="",0,CUBIC(Transform!$AB$52:$AB$78,Transform!$AC$52:$AC$78,$B92))</f>
        <v>1.2239600083745943</v>
      </c>
      <c r="Q92" s="85">
        <f>IF(Transform!AE$50="",0,CUBIC(Transform!$AD$52:$AD$78,Transform!$AE$52:$AE$78,$B92))</f>
        <v>1.146440846738807</v>
      </c>
      <c r="R92" s="85">
        <f>IF(Transform!AG$50="",0,CUBIC(Transform!$AF$52:$AF$78,Transform!$AG$52:$AG$78,$B92))</f>
        <v>0.99146727819274016</v>
      </c>
      <c r="S92" s="85">
        <f>IF(Transform!AI$50="",0,CUBIC(Transform!$AH$52:$AH$78,Transform!$AI$52:$AI$78,$B92))</f>
        <v>0.72086428964892568</v>
      </c>
      <c r="T92" s="85">
        <f>IF(Transform!AK$50="",0,CUBIC(Transform!$AJ$52:$AJ$78,Transform!$AK$52:$AK$78,$B92))</f>
        <v>0.38532891132255276</v>
      </c>
      <c r="U92" s="85">
        <f>IF(Transform!AM$50="",0,CUBIC(Transform!$AL$52:$AL$78,Transform!$AM$52:$AM$78,$B92))</f>
        <v>0.14732858808380389</v>
      </c>
      <c r="V92" s="85">
        <f>IF(Transform!AO$50="",0,CUBIC(Transform!$AN$52:$AN$78,Transform!$AO$52:$AO$78,$B92))</f>
        <v>1.2116709005667359E-2</v>
      </c>
      <c r="W92" s="85">
        <f>IF(Transform!AQ$50="",0,CUBIC(Transform!$AP$52:$AP$78,Transform!$AQ$52:$AQ$78,$B92))</f>
        <v>0</v>
      </c>
    </row>
    <row r="93" spans="1:23" x14ac:dyDescent="0.2">
      <c r="A93" s="80">
        <f t="shared" si="24"/>
        <v>8</v>
      </c>
      <c r="B93" s="137">
        <f>Transform!$E$46*Transform!A93/Transform!$A$109</f>
        <v>0.58333333333333337</v>
      </c>
      <c r="C93" s="214">
        <f>IF(Transform!C$50="",0,CUBIC(Transform!B$52:B$78,Transform!C$52:C$78,B93))</f>
        <v>-2.7898378512786147E-3</v>
      </c>
      <c r="D93" s="85">
        <f>IF(Transform!E$50="",0,CUBIC(Transform!$D$52:$D$78,Transform!$E$52:$E$78,$B93))</f>
        <v>-1.4025167106423061E-2</v>
      </c>
      <c r="E93" s="85">
        <f>IF(Transform!G$50="",0,CUBIC(Transform!$F$52:$F$78,Transform!$G$52:$G$78,$B93))</f>
        <v>0.29998870387939569</v>
      </c>
      <c r="F93" s="85">
        <f>IF(Transform!I$50="",0,CUBIC(Transform!$H$52:$H$78,Transform!$I$52:$I$78,$B93))</f>
        <v>0.74812870495929495</v>
      </c>
      <c r="G93" s="85">
        <f>IF(Transform!K$50="",0,CUBIC(Transform!$J$52:$J$78,Transform!$K$52:$K$78,$B93))</f>
        <v>1.0507934052760441</v>
      </c>
      <c r="H93" s="85">
        <f>IF(Transform!M$50="",0,CUBIC(Transform!$L$52:$L$78,Transform!$M$52:$M$78,$B93))</f>
        <v>1.213948364925759</v>
      </c>
      <c r="I93" s="85">
        <f>IF(Transform!O$50="",0,CUBIC(Transform!$N$52:$N$78,Transform!$O$52:$O$78,$B93))</f>
        <v>1.288476222454751</v>
      </c>
      <c r="J93" s="85">
        <f>IF(Transform!Q$50="",0,CUBIC(Transform!$P$52:$P$78,Transform!$Q$52:$Q$78,$B93))</f>
        <v>1.3125900187038488</v>
      </c>
      <c r="K93" s="85">
        <f>IF(Transform!S$50="",0,CUBIC(Transform!$R$52:$R$78,Transform!$S$52:$S$78,$B93))</f>
        <v>1.3289427846064372</v>
      </c>
      <c r="L93" s="85">
        <f>IF(Transform!U$50="",0,CUBIC(Transform!$T$52:$T$78,Transform!$U$52:$U$78,$B93))</f>
        <v>1.338415990026961</v>
      </c>
      <c r="M93" s="85">
        <f>IF(Transform!W$50="",0,CUBIC(Transform!$V$52:$V$78,Transform!$W$52:$W$78,$B93))</f>
        <v>1.3415185931317148</v>
      </c>
      <c r="N93" s="85">
        <f>IF(Transform!Y$50="",0,CUBIC(Transform!$X$52:$X$78,Transform!$Y$52:$Y$78,$B93))</f>
        <v>1.338415990026961</v>
      </c>
      <c r="O93" s="85">
        <f>IF(Transform!AA$50="",0,CUBIC(Transform!$Z$52:$Z$78,Transform!$AA$52:$AA$78,$B93))</f>
        <v>1.328942784606437</v>
      </c>
      <c r="P93" s="85">
        <f>IF(Transform!AC$50="",0,CUBIC(Transform!$AB$52:$AB$78,Transform!$AC$52:$AC$78,$B93))</f>
        <v>1.3125900187038488</v>
      </c>
      <c r="Q93" s="85">
        <f>IF(Transform!AE$50="",0,CUBIC(Transform!$AD$52:$AD$78,Transform!$AE$52:$AE$78,$B93))</f>
        <v>1.2429603101293127</v>
      </c>
      <c r="R93" s="85">
        <f>IF(Transform!AG$50="",0,CUBIC(Transform!$AF$52:$AF$78,Transform!$AG$52:$AG$78,$B93))</f>
        <v>1.0855814054253865</v>
      </c>
      <c r="S93" s="85">
        <f>IF(Transform!AI$50="",0,CUBIC(Transform!$AH$52:$AH$78,Transform!$AI$52:$AI$78,$B93))</f>
        <v>0.82586875965369322</v>
      </c>
      <c r="T93" s="85">
        <f>IF(Transform!AK$50="",0,CUBIC(Transform!$AJ$52:$AJ$78,Transform!$AK$52:$AK$78,$B93))</f>
        <v>0.4898251558308529</v>
      </c>
      <c r="U93" s="85">
        <f>IF(Transform!AM$50="",0,CUBIC(Transform!$AL$52:$AL$78,Transform!$AM$52:$AM$78,$B93))</f>
        <v>0.23403261041327808</v>
      </c>
      <c r="V93" s="85">
        <f>IF(Transform!AO$50="",0,CUBIC(Transform!$AN$52:$AN$78,Transform!$AO$52:$AO$78,$B93))</f>
        <v>4.9734991751471995E-2</v>
      </c>
      <c r="W93" s="85">
        <f>IF(Transform!AQ$50="",0,CUBIC(Transform!$AP$52:$AP$78,Transform!$AQ$52:$AQ$78,$B93))</f>
        <v>0</v>
      </c>
    </row>
    <row r="94" spans="1:23" x14ac:dyDescent="0.2">
      <c r="A94" s="80">
        <f t="shared" si="24"/>
        <v>9</v>
      </c>
      <c r="B94" s="137">
        <f>Transform!$E$46*Transform!A94/Transform!$A$109</f>
        <v>0.65625</v>
      </c>
      <c r="C94" s="214">
        <f>IF(Transform!C$50="",0,CUBIC(Transform!B$52:B$78,Transform!C$52:C$78,B94))</f>
        <v>-2.1021131540446339E-3</v>
      </c>
      <c r="D94" s="85">
        <f>IF(Transform!E$50="",0,CUBIC(Transform!$D$52:$D$78,Transform!$E$52:$E$78,$B94))</f>
        <v>2.2190685555769755E-2</v>
      </c>
      <c r="E94" s="85">
        <f>IF(Transform!G$50="",0,CUBIC(Transform!$F$52:$F$78,Transform!$G$52:$G$78,$B94))</f>
        <v>0.46723838657510874</v>
      </c>
      <c r="F94" s="85">
        <f>IF(Transform!I$50="",0,CUBIC(Transform!$H$52:$H$78,Transform!$I$52:$I$78,$B94))</f>
        <v>0.90876399517449113</v>
      </c>
      <c r="G94" s="85">
        <f>IF(Transform!K$50="",0,CUBIC(Transform!$J$52:$J$78,Transform!$K$52:$K$78,$B94))</f>
        <v>1.1656610923784725</v>
      </c>
      <c r="H94" s="85">
        <f>IF(Transform!M$50="",0,CUBIC(Transform!$L$52:$L$78,Transform!$M$52:$M$78,$B94))</f>
        <v>1.2893532949748689</v>
      </c>
      <c r="I94" s="85">
        <f>IF(Transform!O$50="",0,CUBIC(Transform!$N$52:$N$78,Transform!$O$52:$O$78,$B94))</f>
        <v>1.3618386883276088</v>
      </c>
      <c r="J94" s="85">
        <f>IF(Transform!Q$50="",0,CUBIC(Transform!$P$52:$P$78,Transform!$Q$52:$Q$78,$B94))</f>
        <v>1.3813726887437048</v>
      </c>
      <c r="K94" s="85">
        <f>IF(Transform!S$50="",0,CUBIC(Transform!$R$52:$R$78,Transform!$S$52:$S$78,$B94))</f>
        <v>1.3947835246752427</v>
      </c>
      <c r="L94" s="85">
        <f>IF(Transform!U$50="",0,CUBIC(Transform!$T$52:$T$78,Transform!$U$52:$U$78,$B94))</f>
        <v>1.4026427591084263</v>
      </c>
      <c r="M94" s="85">
        <f>IF(Transform!W$50="",0,CUBIC(Transform!$V$52:$V$78,Transform!$W$52:$W$78,$B94))</f>
        <v>1.4052347776661305</v>
      </c>
      <c r="N94" s="85">
        <f>IF(Transform!Y$50="",0,CUBIC(Transform!$X$52:$X$78,Transform!$Y$52:$Y$78,$B94))</f>
        <v>1.4026427591084263</v>
      </c>
      <c r="O94" s="85">
        <f>IF(Transform!AA$50="",0,CUBIC(Transform!$Z$52:$Z$78,Transform!$AA$52:$AA$78,$B94))</f>
        <v>1.3947835246752427</v>
      </c>
      <c r="P94" s="85">
        <f>IF(Transform!AC$50="",0,CUBIC(Transform!$AB$52:$AB$78,Transform!$AC$52:$AC$78,$B94))</f>
        <v>1.3813726887437048</v>
      </c>
      <c r="Q94" s="85">
        <f>IF(Transform!AE$50="",0,CUBIC(Transform!$AD$52:$AD$78,Transform!$AE$52:$AE$78,$B94))</f>
        <v>1.3167922401073031</v>
      </c>
      <c r="R94" s="85">
        <f>IF(Transform!AG$50="",0,CUBIC(Transform!$AF$52:$AF$78,Transform!$AG$52:$AG$78,$B94))</f>
        <v>1.1582937125225612</v>
      </c>
      <c r="S94" s="85">
        <f>IF(Transform!AI$50="",0,CUBIC(Transform!$AH$52:$AH$78,Transform!$AI$52:$AI$78,$B94))</f>
        <v>0.89835245870470404</v>
      </c>
      <c r="T94" s="85">
        <f>IF(Transform!AK$50="",0,CUBIC(Transform!$AJ$52:$AJ$78,Transform!$AK$52:$AK$78,$B94))</f>
        <v>0.56704665416599842</v>
      </c>
      <c r="U94" s="85">
        <f>IF(Transform!AM$50="",0,CUBIC(Transform!$AL$52:$AL$78,Transform!$AM$52:$AM$78,$B94))</f>
        <v>0.317434946607487</v>
      </c>
      <c r="V94" s="85">
        <f>IF(Transform!AO$50="",0,CUBIC(Transform!$AN$52:$AN$78,Transform!$AO$52:$AO$78,$B94))</f>
        <v>0.1123412438997978</v>
      </c>
      <c r="W94" s="85">
        <f>IF(Transform!AQ$50="",0,CUBIC(Transform!$AP$52:$AP$78,Transform!$AQ$52:$AQ$78,$B94))</f>
        <v>0</v>
      </c>
    </row>
    <row r="95" spans="1:23" x14ac:dyDescent="0.2">
      <c r="A95" s="80">
        <f>A94+1</f>
        <v>10</v>
      </c>
      <c r="B95" s="137">
        <f>Transform!$E$46*Transform!A95/Transform!$A$109</f>
        <v>0.72916666666666663</v>
      </c>
      <c r="C95" s="214">
        <f>IF(Transform!C$50="",0,CUBIC(Transform!B$52:B$78,Transform!C$52:C$78,B95))</f>
        <v>7.1694604561595718E-3</v>
      </c>
      <c r="D95" s="85">
        <f>IF(Transform!E$50="",0,CUBIC(Transform!$D$52:$D$78,Transform!$E$52:$E$78,$B95))</f>
        <v>0.11437295508818882</v>
      </c>
      <c r="E95" s="85">
        <f>IF(Transform!G$50="",0,CUBIC(Transform!$F$52:$F$78,Transform!$G$52:$G$78,$B95))</f>
        <v>0.64508977701800763</v>
      </c>
      <c r="F95" s="85">
        <f>IF(Transform!I$50="",0,CUBIC(Transform!$H$52:$H$78,Transform!$I$52:$I$78,$B95))</f>
        <v>1.0426482490282609</v>
      </c>
      <c r="G95" s="85">
        <f>IF(Transform!K$50="",0,CUBIC(Transform!$J$52:$J$78,Transform!$K$52:$K$78,$B95))</f>
        <v>1.2540384688125663</v>
      </c>
      <c r="H95" s="85">
        <f>IF(Transform!M$50="",0,CUBIC(Transform!$L$52:$L$78,Transform!$M$52:$M$78,$B95))</f>
        <v>1.3620909921736852</v>
      </c>
      <c r="I95" s="85">
        <f>IF(Transform!O$50="",0,CUBIC(Transform!$N$52:$N$78,Transform!$O$52:$O$78,$B95))</f>
        <v>1.4223715973842721</v>
      </c>
      <c r="J95" s="85">
        <f>IF(Transform!Q$50="",0,CUBIC(Transform!$P$52:$P$78,Transform!$Q$52:$Q$78,$B95))</f>
        <v>1.4399999375657622</v>
      </c>
      <c r="K95" s="85">
        <f>IF(Transform!S$50="",0,CUBIC(Transform!$R$52:$R$78,Transform!$S$52:$S$78,$B95))</f>
        <v>1.4524423691242039</v>
      </c>
      <c r="L95" s="85">
        <f>IF(Transform!U$50="",0,CUBIC(Transform!$T$52:$T$78,Transform!$U$52:$U$78,$B95))</f>
        <v>1.4598266500665724</v>
      </c>
      <c r="M95" s="85">
        <f>IF(Transform!W$50="",0,CUBIC(Transform!$V$52:$V$78,Transform!$W$52:$W$78,$B95))</f>
        <v>1.4622722974392979</v>
      </c>
      <c r="N95" s="85">
        <f>IF(Transform!Y$50="",0,CUBIC(Transform!$X$52:$X$78,Transform!$Y$52:$Y$78,$B95))</f>
        <v>1.4598266500665724</v>
      </c>
      <c r="O95" s="85">
        <f>IF(Transform!AA$50="",0,CUBIC(Transform!$Z$52:$Z$78,Transform!$AA$52:$AA$78,$B95))</f>
        <v>1.4524423691242037</v>
      </c>
      <c r="P95" s="85">
        <f>IF(Transform!AC$50="",0,CUBIC(Transform!$AB$52:$AB$78,Transform!$AC$52:$AC$78,$B95))</f>
        <v>1.4399999375657622</v>
      </c>
      <c r="Q95" s="85">
        <f>IF(Transform!AE$50="",0,CUBIC(Transform!$AD$52:$AD$78,Transform!$AE$52:$AE$78,$B95))</f>
        <v>1.3769425571828127</v>
      </c>
      <c r="R95" s="85">
        <f>IF(Transform!AG$50="",0,CUBIC(Transform!$AF$52:$AF$78,Transform!$AG$52:$AG$78,$B95))</f>
        <v>1.2227936426049435</v>
      </c>
      <c r="S95" s="85">
        <f>IF(Transform!AI$50="",0,CUBIC(Transform!$AH$52:$AH$78,Transform!$AI$52:$AI$78,$B95))</f>
        <v>0.96846682196308465</v>
      </c>
      <c r="T95" s="85">
        <f>IF(Transform!AK$50="",0,CUBIC(Transform!$AJ$52:$AJ$78,Transform!$AK$52:$AK$78,$B95))</f>
        <v>0.62901401899140408</v>
      </c>
      <c r="U95" s="85">
        <f>IF(Transform!AM$50="",0,CUBIC(Transform!$AL$52:$AL$78,Transform!$AM$52:$AM$78,$B95))</f>
        <v>0.39279400321419478</v>
      </c>
      <c r="V95" s="85">
        <f>IF(Transform!AO$50="",0,CUBIC(Transform!$AN$52:$AN$78,Transform!$AO$52:$AO$78,$B95))</f>
        <v>0.18501458429826384</v>
      </c>
      <c r="W95" s="85">
        <f>IF(Transform!AQ$50="",0,CUBIC(Transform!$AP$52:$AP$78,Transform!$AQ$52:$AQ$78,$B95))</f>
        <v>0</v>
      </c>
    </row>
    <row r="96" spans="1:23" x14ac:dyDescent="0.2">
      <c r="A96" s="80">
        <f t="shared" si="24"/>
        <v>11</v>
      </c>
      <c r="B96" s="137">
        <f>Transform!$E$46*Transform!A96/Transform!$A$109</f>
        <v>0.80208333333333337</v>
      </c>
      <c r="C96" s="214">
        <f>IF(Transform!C$50="",0,CUBIC(Transform!B$52:B$78,Transform!C$52:C$78,B96))</f>
        <v>1.1680515670158336E-2</v>
      </c>
      <c r="D96" s="85">
        <f>IF(Transform!E$50="",0,CUBIC(Transform!$D$52:$D$78,Transform!$E$52:$E$78,$B96))</f>
        <v>0.25039409936511564</v>
      </c>
      <c r="E96" s="85">
        <f>IF(Transform!G$50="",0,CUBIC(Transform!$F$52:$F$78,Transform!$G$52:$G$78,$B96))</f>
        <v>0.81440742044805092</v>
      </c>
      <c r="F96" s="85">
        <f>IF(Transform!I$50="",0,CUBIC(Transform!$H$52:$H$78,Transform!$I$52:$I$78,$B96))</f>
        <v>1.1529625243774431</v>
      </c>
      <c r="G96" s="85">
        <f>IF(Transform!K$50="",0,CUBIC(Transform!$J$52:$J$78,Transform!$K$52:$K$78,$B96))</f>
        <v>1.3306388926610788</v>
      </c>
      <c r="H96" s="85">
        <f>IF(Transform!M$50="",0,CUBIC(Transform!$L$52:$L$78,Transform!$M$52:$M$78,$B96))</f>
        <v>1.4325478607304249</v>
      </c>
      <c r="I96" s="85">
        <f>IF(Transform!O$50="",0,CUBIC(Transform!$N$52:$N$78,Transform!$O$52:$O$78,$B96))</f>
        <v>1.4790653358321899</v>
      </c>
      <c r="J96" s="85">
        <f>IF(Transform!Q$50="",0,CUBIC(Transform!$P$52:$P$78,Transform!$Q$52:$Q$78,$B96))</f>
        <v>1.4956558683427628</v>
      </c>
      <c r="K96" s="85">
        <f>IF(Transform!S$50="",0,CUBIC(Transform!$R$52:$R$78,Transform!$S$52:$S$78,$B96))</f>
        <v>1.5071225454420085</v>
      </c>
      <c r="L96" s="85">
        <f>IF(Transform!U$50="",0,CUBIC(Transform!$T$52:$T$78,Transform!$U$52:$U$78,$B96))</f>
        <v>1.5138270748391547</v>
      </c>
      <c r="M96" s="85">
        <f>IF(Transform!W$50="",0,CUBIC(Transform!$V$52:$V$78,Transform!$W$52:$W$78,$B96))</f>
        <v>1.51603050527974</v>
      </c>
      <c r="N96" s="85">
        <f>IF(Transform!Y$50="",0,CUBIC(Transform!$X$52:$X$78,Transform!$Y$52:$Y$78,$B96))</f>
        <v>1.5138270748391547</v>
      </c>
      <c r="O96" s="85">
        <f>IF(Transform!AA$50="",0,CUBIC(Transform!$Z$52:$Z$78,Transform!$AA$52:$AA$78,$B96))</f>
        <v>1.5071225454420083</v>
      </c>
      <c r="P96" s="85">
        <f>IF(Transform!AC$50="",0,CUBIC(Transform!$AB$52:$AB$78,Transform!$AC$52:$AC$78,$B96))</f>
        <v>1.4956558683427628</v>
      </c>
      <c r="Q96" s="85">
        <f>IF(Transform!AE$50="",0,CUBIC(Transform!$AD$52:$AD$78,Transform!$AE$52:$AE$78,$B96))</f>
        <v>1.4342626135356225</v>
      </c>
      <c r="R96" s="85">
        <f>IF(Transform!AG$50="",0,CUBIC(Transform!$AF$52:$AF$78,Transform!$AG$52:$AG$78,$B96))</f>
        <v>1.285701609064744</v>
      </c>
      <c r="S96" s="85">
        <f>IF(Transform!AI$50="",0,CUBIC(Transform!$AH$52:$AH$78,Transform!$AI$52:$AI$78,$B96))</f>
        <v>1.0357097503674466</v>
      </c>
      <c r="T96" s="85">
        <f>IF(Transform!AK$50="",0,CUBIC(Transform!$AJ$52:$AJ$78,Transform!$AK$52:$AK$78,$B96))</f>
        <v>0.68542640711077496</v>
      </c>
      <c r="U96" s="85">
        <f>IF(Transform!AM$50="",0,CUBIC(Transform!$AL$52:$AL$78,Transform!$AM$52:$AM$78,$B96))</f>
        <v>0.45599489747118155</v>
      </c>
      <c r="V96" s="85">
        <f>IF(Transform!AO$50="",0,CUBIC(Transform!$AN$52:$AN$78,Transform!$AO$52:$AO$78,$B96))</f>
        <v>0.23086252549010405</v>
      </c>
      <c r="W96" s="85">
        <f>IF(Transform!AQ$50="",0,CUBIC(Transform!$AP$52:$AP$78,Transform!$AQ$52:$AQ$78,$B96))</f>
        <v>0</v>
      </c>
    </row>
    <row r="97" spans="1:23" x14ac:dyDescent="0.2">
      <c r="A97" s="80">
        <f t="shared" si="24"/>
        <v>12</v>
      </c>
      <c r="B97" s="137">
        <f>Transform!$E$46*Transform!A97/Transform!$A$109</f>
        <v>0.875</v>
      </c>
      <c r="C97" s="214">
        <f>IF(Transform!C$50="",0,CUBIC(Transform!B$52:B$78,Transform!C$52:C$78,B97))</f>
        <v>-1.2630328656244501E-2</v>
      </c>
      <c r="D97" s="85">
        <f>IF(Transform!E$50="",0,CUBIC(Transform!$D$52:$D$78,Transform!$E$52:$E$78,$B97))</f>
        <v>0.41764632232671367</v>
      </c>
      <c r="E97" s="85">
        <f>IF(Transform!G$50="",0,CUBIC(Transform!$F$52:$F$78,Transform!$G$52:$G$78,$B97))</f>
        <v>0.96525222983194159</v>
      </c>
      <c r="F97" s="85">
        <f>IF(Transform!I$50="",0,CUBIC(Transform!$H$52:$H$78,Transform!$I$52:$I$78,$B97))</f>
        <v>1.249497836949631</v>
      </c>
      <c r="G97" s="85">
        <f>IF(Transform!K$50="",0,CUBIC(Transform!$J$52:$J$78,Transform!$K$52:$K$78,$B97))</f>
        <v>1.4065893888808565</v>
      </c>
      <c r="H97" s="85">
        <f>IF(Transform!M$50="",0,CUBIC(Transform!$L$52:$L$78,Transform!$M$52:$M$78,$B97))</f>
        <v>1.496138741707306</v>
      </c>
      <c r="I97" s="85">
        <f>IF(Transform!O$50="",0,CUBIC(Transform!$N$52:$N$78,Transform!$O$52:$O$78,$B97))</f>
        <v>1.5318957455821061</v>
      </c>
      <c r="J97" s="85">
        <f>IF(Transform!Q$50="",0,CUBIC(Transform!$P$52:$P$78,Transform!$Q$52:$Q$78,$B97))</f>
        <v>1.5462905645276528</v>
      </c>
      <c r="K97" s="85">
        <f>IF(Transform!S$50="",0,CUBIC(Transform!$R$52:$R$78,Transform!$S$52:$S$78,$B97))</f>
        <v>1.5559786884783198</v>
      </c>
      <c r="L97" s="85">
        <f>IF(Transform!U$50="",0,CUBIC(Transform!$T$52:$T$78,Transform!$U$52:$U$78,$B97))</f>
        <v>1.5615439799008672</v>
      </c>
      <c r="M97" s="85">
        <f>IF(Transform!W$50="",0,CUBIC(Transform!$V$52:$V$78,Transform!$W$52:$W$78,$B97))</f>
        <v>1.5633570817906712</v>
      </c>
      <c r="N97" s="85">
        <f>IF(Transform!Y$50="",0,CUBIC(Transform!$X$52:$X$78,Transform!$Y$52:$Y$78,$B97))</f>
        <v>1.5615439799008672</v>
      </c>
      <c r="O97" s="85">
        <f>IF(Transform!AA$50="",0,CUBIC(Transform!$Z$52:$Z$78,Transform!$AA$52:$AA$78,$B97))</f>
        <v>1.5559786884783198</v>
      </c>
      <c r="P97" s="85">
        <f>IF(Transform!AC$50="",0,CUBIC(Transform!$AB$52:$AB$78,Transform!$AC$52:$AC$78,$B97))</f>
        <v>1.5462905645276528</v>
      </c>
      <c r="Q97" s="85">
        <f>IF(Transform!AE$50="",0,CUBIC(Transform!$AD$52:$AD$78,Transform!$AE$52:$AE$78,$B97))</f>
        <v>1.4863194710849614</v>
      </c>
      <c r="R97" s="85">
        <f>IF(Transform!AG$50="",0,CUBIC(Transform!$AF$52:$AF$78,Transform!$AG$52:$AG$78,$B97))</f>
        <v>1.3454135380488776</v>
      </c>
      <c r="S97" s="85">
        <f>IF(Transform!AI$50="",0,CUBIC(Transform!$AH$52:$AH$78,Transform!$AI$52:$AI$78,$B97))</f>
        <v>1.0947016104747096</v>
      </c>
      <c r="T97" s="85">
        <f>IF(Transform!AK$50="",0,CUBIC(Transform!$AJ$52:$AJ$78,Transform!$AK$52:$AK$78,$B97))</f>
        <v>0.74327317612250976</v>
      </c>
      <c r="U97" s="85">
        <f>IF(Transform!AM$50="",0,CUBIC(Transform!$AL$52:$AL$78,Transform!$AM$52:$AM$78,$B97))</f>
        <v>0.49516865912715213</v>
      </c>
      <c r="V97" s="85">
        <f>IF(Transform!AO$50="",0,CUBIC(Transform!$AN$52:$AN$78,Transform!$AO$52:$AO$78,$B97))</f>
        <v>0.230403985264754</v>
      </c>
      <c r="W97" s="85">
        <f>IF(Transform!AQ$50="",0,CUBIC(Transform!$AP$52:$AP$78,Transform!$AQ$52:$AQ$78,$B97))</f>
        <v>0</v>
      </c>
    </row>
    <row r="98" spans="1:23" x14ac:dyDescent="0.2">
      <c r="A98" s="80">
        <f t="shared" si="24"/>
        <v>13</v>
      </c>
      <c r="B98" s="137">
        <f>Transform!$E$46*Transform!A98/Transform!$A$109</f>
        <v>0.94791666666666663</v>
      </c>
      <c r="C98" s="214">
        <f>IF(Transform!C$50="",0,CUBIC(Transform!B$52:B$78,Transform!C$52:C$78,B98))</f>
        <v>-3.6465633667342699E-2</v>
      </c>
      <c r="D98" s="85">
        <f>IF(Transform!E$50="",0,CUBIC(Transform!$D$52:$D$78,Transform!$E$52:$E$78,$B98))</f>
        <v>0.60651139632638185</v>
      </c>
      <c r="E98" s="85">
        <f>IF(Transform!G$50="",0,CUBIC(Transform!$F$52:$F$78,Transform!$G$52:$G$78,$B98))</f>
        <v>1.0919178111759666</v>
      </c>
      <c r="F98" s="85">
        <f>IF(Transform!I$50="",0,CUBIC(Transform!$H$52:$H$78,Transform!$I$52:$I$78,$B98))</f>
        <v>1.3356798991602574</v>
      </c>
      <c r="G98" s="85">
        <f>IF(Transform!K$50="",0,CUBIC(Transform!$J$52:$J$78,Transform!$K$52:$K$78,$B98))</f>
        <v>1.4730563377671984</v>
      </c>
      <c r="H98" s="85">
        <f>IF(Transform!M$50="",0,CUBIC(Transform!$L$52:$L$78,Transform!$M$52:$M$78,$B98))</f>
        <v>1.5445503490775974</v>
      </c>
      <c r="I98" s="85">
        <f>IF(Transform!O$50="",0,CUBIC(Transform!$N$52:$N$78,Transform!$O$52:$O$78,$B98))</f>
        <v>1.5776592564219043</v>
      </c>
      <c r="J98" s="85">
        <f>IF(Transform!Q$50="",0,CUBIC(Transform!$P$52:$P$78,Transform!$Q$52:$Q$78,$B98))</f>
        <v>1.5889894932120485</v>
      </c>
      <c r="K98" s="85">
        <f>IF(Transform!S$50="",0,CUBIC(Transform!$R$52:$R$78,Transform!$S$52:$S$78,$B98))</f>
        <v>1.5963988739684425</v>
      </c>
      <c r="L98" s="85">
        <f>IF(Transform!U$50="",0,CUBIC(Transform!$T$52:$T$78,Transform!$U$52:$U$78,$B98))</f>
        <v>1.600572222845021</v>
      </c>
      <c r="M98" s="85">
        <f>IF(Transform!W$50="",0,CUBIC(Transform!$V$52:$V$78,Transform!$W$52:$W$78,$B98))</f>
        <v>1.6019182739164242</v>
      </c>
      <c r="N98" s="85">
        <f>IF(Transform!Y$50="",0,CUBIC(Transform!$X$52:$X$78,Transform!$Y$52:$Y$78,$B98))</f>
        <v>1.600572222845021</v>
      </c>
      <c r="O98" s="85">
        <f>IF(Transform!AA$50="",0,CUBIC(Transform!$Z$52:$Z$78,Transform!$AA$52:$AA$78,$B98))</f>
        <v>1.5963988739684425</v>
      </c>
      <c r="P98" s="85">
        <f>IF(Transform!AC$50="",0,CUBIC(Transform!$AB$52:$AB$78,Transform!$AC$52:$AC$78,$B98))</f>
        <v>1.5889894932120485</v>
      </c>
      <c r="Q98" s="85">
        <f>IF(Transform!AE$50="",0,CUBIC(Transform!$AD$52:$AD$78,Transform!$AE$52:$AE$78,$B98))</f>
        <v>1.5278633548225964</v>
      </c>
      <c r="R98" s="85">
        <f>IF(Transform!AG$50="",0,CUBIC(Transform!$AF$52:$AF$78,Transform!$AG$52:$AG$78,$B98))</f>
        <v>1.3925891985877425</v>
      </c>
      <c r="S98" s="85">
        <f>IF(Transform!AI$50="",0,CUBIC(Transform!$AH$52:$AH$78,Transform!$AI$52:$AI$78,$B98))</f>
        <v>1.1450473218091088</v>
      </c>
      <c r="T98" s="85">
        <f>IF(Transform!AK$50="",0,CUBIC(Transform!$AJ$52:$AJ$78,Transform!$AK$52:$AK$78,$B98))</f>
        <v>0.80028091007645796</v>
      </c>
      <c r="U98" s="85">
        <f>IF(Transform!AM$50="",0,CUBIC(Transform!$AL$52:$AL$78,Transform!$AM$52:$AM$78,$B98))</f>
        <v>0.49895429376194905</v>
      </c>
      <c r="V98" s="85">
        <f>IF(Transform!AO$50="",0,CUBIC(Transform!$AN$52:$AN$78,Transform!$AO$52:$AO$78,$B98))</f>
        <v>0.21180269589305425</v>
      </c>
      <c r="W98" s="85">
        <f>IF(Transform!AQ$50="",0,CUBIC(Transform!$AP$52:$AP$78,Transform!$AQ$52:$AQ$78,$B98))</f>
        <v>0</v>
      </c>
    </row>
    <row r="99" spans="1:23" x14ac:dyDescent="0.2">
      <c r="A99" s="80">
        <f t="shared" si="24"/>
        <v>14</v>
      </c>
      <c r="B99" s="137">
        <f>Transform!$E$46*Transform!A99/Transform!$A$109</f>
        <v>1.0208333333333333</v>
      </c>
      <c r="C99" s="214">
        <f>IF(Transform!C$50="",0,CUBIC(Transform!B$52:B$78,Transform!C$52:C$78,B99))</f>
        <v>5.0148701194707324E-2</v>
      </c>
      <c r="D99" s="85">
        <f>IF(Transform!E$50="",0,CUBIC(Transform!$D$52:$D$78,Transform!$E$52:$E$78,$B99))</f>
        <v>0.8016985658635053</v>
      </c>
      <c r="E99" s="85">
        <f>IF(Transform!G$50="",0,CUBIC(Transform!$F$52:$F$78,Transform!$G$52:$G$78,$B99))</f>
        <v>1.197009154300372</v>
      </c>
      <c r="F99" s="85">
        <f>IF(Transform!I$50="",0,CUBIC(Transform!$H$52:$H$78,Transform!$I$52:$I$78,$B99))</f>
        <v>1.4070521296679266</v>
      </c>
      <c r="G99" s="85">
        <f>IF(Transform!K$50="",0,CUBIC(Transform!$J$52:$J$78,Transform!$K$52:$K$78,$B99))</f>
        <v>1.5225478746516619</v>
      </c>
      <c r="H99" s="85">
        <f>IF(Transform!M$50="",0,CUBIC(Transform!$L$52:$L$78,Transform!$M$52:$M$78,$B99))</f>
        <v>1.5800482473610737</v>
      </c>
      <c r="I99" s="85">
        <f>IF(Transform!O$50="",0,CUBIC(Transform!$N$52:$N$78,Transform!$O$52:$O$78,$B99))</f>
        <v>1.6138151042261959</v>
      </c>
      <c r="J99" s="85">
        <f>IF(Transform!Q$50="",0,CUBIC(Transform!$P$52:$P$78,Transform!$Q$52:$Q$78,$B99))</f>
        <v>1.6216105830651537</v>
      </c>
      <c r="K99" s="85">
        <f>IF(Transform!S$50="",0,CUBIC(Transform!$R$52:$R$78,Transform!$S$52:$S$78,$B99))</f>
        <v>1.6265848587658764</v>
      </c>
      <c r="L99" s="85">
        <f>IF(Transform!U$50="",0,CUBIC(Transform!$T$52:$T$78,Transform!$U$52:$U$78,$B99))</f>
        <v>1.6293592181150716</v>
      </c>
      <c r="M99" s="85">
        <f>IF(Transform!W$50="",0,CUBIC(Transform!$V$52:$V$78,Transform!$W$52:$W$78,$B99))</f>
        <v>1.6302514995243331</v>
      </c>
      <c r="N99" s="85">
        <f>IF(Transform!Y$50="",0,CUBIC(Transform!$X$52:$X$78,Transform!$Y$52:$Y$78,$B99))</f>
        <v>1.6293592181150713</v>
      </c>
      <c r="O99" s="85">
        <f>IF(Transform!AA$50="",0,CUBIC(Transform!$Z$52:$Z$78,Transform!$AA$52:$AA$78,$B99))</f>
        <v>1.6265848587658764</v>
      </c>
      <c r="P99" s="85">
        <f>IF(Transform!AC$50="",0,CUBIC(Transform!$AB$52:$AB$78,Transform!$AC$52:$AC$78,$B99))</f>
        <v>1.6216105830651537</v>
      </c>
      <c r="Q99" s="85">
        <f>IF(Transform!AE$50="",0,CUBIC(Transform!$AD$52:$AD$78,Transform!$AE$52:$AE$78,$B99))</f>
        <v>1.5607770213780046</v>
      </c>
      <c r="R99" s="85">
        <f>IF(Transform!AG$50="",0,CUBIC(Transform!$AF$52:$AF$78,Transform!$AG$52:$AG$78,$B99))</f>
        <v>1.4284358156329116</v>
      </c>
      <c r="S99" s="85">
        <f>IF(Transform!AI$50="",0,CUBIC(Transform!$AH$52:$AH$78,Transform!$AI$52:$AI$78,$B99))</f>
        <v>1.1868727375278496</v>
      </c>
      <c r="T99" s="85">
        <f>IF(Transform!AK$50="",0,CUBIC(Transform!$AJ$52:$AJ$78,Transform!$AK$52:$AK$78,$B99))</f>
        <v>0.84367827445672849</v>
      </c>
      <c r="U99" s="85">
        <f>IF(Transform!AM$50="",0,CUBIC(Transform!$AL$52:$AL$78,Transform!$AM$52:$AM$78,$B99))</f>
        <v>0.48413339964266699</v>
      </c>
      <c r="V99" s="85">
        <f>IF(Transform!AO$50="",0,CUBIC(Transform!$AN$52:$AN$78,Transform!$AO$52:$AO$78,$B99))</f>
        <v>0.2019629718109352</v>
      </c>
      <c r="W99" s="85">
        <f>IF(Transform!AQ$50="",0,CUBIC(Transform!$AP$52:$AP$78,Transform!$AQ$52:$AQ$78,$B99))</f>
        <v>0</v>
      </c>
    </row>
    <row r="100" spans="1:23" x14ac:dyDescent="0.2">
      <c r="A100" s="80">
        <f t="shared" si="24"/>
        <v>15</v>
      </c>
      <c r="B100" s="137">
        <f>Transform!$E$46*Transform!A100/Transform!$A$109</f>
        <v>1.09375</v>
      </c>
      <c r="C100" s="214">
        <f>IF(Transform!C$50="",0,CUBIC(Transform!B$52:B$78,Transform!C$52:C$78,B100))</f>
        <v>0.28950035972523919</v>
      </c>
      <c r="D100" s="85">
        <f>IF(Transform!E$50="",0,CUBIC(Transform!$D$52:$D$78,Transform!$E$52:$E$78,$B100))</f>
        <v>0.96408870766079746</v>
      </c>
      <c r="E100" s="85">
        <f>IF(Transform!G$50="",0,CUBIC(Transform!$F$52:$F$78,Transform!$G$52:$G$78,$B100))</f>
        <v>1.2860541204841589</v>
      </c>
      <c r="F100" s="85">
        <f>IF(Transform!I$50="",0,CUBIC(Transform!$H$52:$H$78,Transform!$I$52:$I$78,$B100))</f>
        <v>1.4642239409749496</v>
      </c>
      <c r="G100" s="85">
        <f>IF(Transform!K$50="",0,CUBIC(Transform!$J$52:$J$78,Transform!$K$52:$K$78,$B100))</f>
        <v>1.5618287280454619</v>
      </c>
      <c r="H100" s="85">
        <f>IF(Transform!M$50="",0,CUBIC(Transform!$L$52:$L$78,Transform!$M$52:$M$78,$B100))</f>
        <v>1.6109453865838539</v>
      </c>
      <c r="I100" s="85">
        <f>IF(Transform!O$50="",0,CUBIC(Transform!$N$52:$N$78,Transform!$O$52:$O$78,$B100))</f>
        <v>1.6394422336209393</v>
      </c>
      <c r="J100" s="85">
        <f>IF(Transform!Q$50="",0,CUBIC(Transform!$P$52:$P$78,Transform!$Q$52:$Q$78,$B100))</f>
        <v>1.6446390332703233</v>
      </c>
      <c r="K100" s="85">
        <f>IF(Transform!S$50="",0,CUBIC(Transform!$R$52:$R$78,Transform!$S$52:$S$78,$B100))</f>
        <v>1.6480282618426267</v>
      </c>
      <c r="L100" s="85">
        <f>IF(Transform!U$50="",0,CUBIC(Transform!$T$52:$T$78,Transform!$U$52:$U$78,$B100))</f>
        <v>1.6499512847444531</v>
      </c>
      <c r="M100" s="85">
        <f>IF(Transform!W$50="",0,CUBIC(Transform!$V$52:$V$78,Transform!$W$52:$W$78,$B100))</f>
        <v>1.6505755798027737</v>
      </c>
      <c r="N100" s="85">
        <f>IF(Transform!Y$50="",0,CUBIC(Transform!$X$52:$X$78,Transform!$Y$52:$Y$78,$B100))</f>
        <v>1.6499512847444531</v>
      </c>
      <c r="O100" s="85">
        <f>IF(Transform!AA$50="",0,CUBIC(Transform!$Z$52:$Z$78,Transform!$AA$52:$AA$78,$B100))</f>
        <v>1.6480282618426267</v>
      </c>
      <c r="P100" s="85">
        <f>IF(Transform!AC$50="",0,CUBIC(Transform!$AB$52:$AB$78,Transform!$AC$52:$AC$78,$B100))</f>
        <v>1.6446390332703233</v>
      </c>
      <c r="Q100" s="85">
        <f>IF(Transform!AE$50="",0,CUBIC(Transform!$AD$52:$AD$78,Transform!$AE$52:$AE$78,$B100))</f>
        <v>1.5877428270793923</v>
      </c>
      <c r="R100" s="85">
        <f>IF(Transform!AG$50="",0,CUBIC(Transform!$AF$52:$AF$78,Transform!$AG$52:$AG$78,$B100))</f>
        <v>1.4602669863913738</v>
      </c>
      <c r="S100" s="85">
        <f>IF(Transform!AI$50="",0,CUBIC(Transform!$AH$52:$AH$78,Transform!$AI$52:$AI$78,$B100))</f>
        <v>1.2186210702116074</v>
      </c>
      <c r="T100" s="85">
        <f>IF(Transform!AK$50="",0,CUBIC(Transform!$AJ$52:$AJ$78,Transform!$AK$52:$AK$78,$B100))</f>
        <v>0.87254196991991706</v>
      </c>
      <c r="U100" s="85">
        <f>IF(Transform!AM$50="",0,CUBIC(Transform!$AL$52:$AL$78,Transform!$AM$52:$AM$78,$B100))</f>
        <v>0.4760331651973273</v>
      </c>
      <c r="V100" s="85">
        <f>IF(Transform!AO$50="",0,CUBIC(Transform!$AN$52:$AN$78,Transform!$AO$52:$AO$78,$B100))</f>
        <v>0.19367904989152102</v>
      </c>
      <c r="W100" s="85">
        <f>IF(Transform!AQ$50="",0,CUBIC(Transform!$AP$52:$AP$78,Transform!$AQ$52:$AQ$78,$B100))</f>
        <v>0</v>
      </c>
    </row>
    <row r="101" spans="1:23" x14ac:dyDescent="0.2">
      <c r="A101" s="80">
        <f t="shared" si="24"/>
        <v>16</v>
      </c>
      <c r="B101" s="137">
        <f>Transform!$E$46*Transform!A101/Transform!$A$109</f>
        <v>1.1666666666666667</v>
      </c>
      <c r="C101" s="214">
        <f>IF(Transform!C$50="",0,CUBIC(Transform!B$52:B$78,Transform!C$52:C$78,B101))</f>
        <v>0.5464335815806014</v>
      </c>
      <c r="D101" s="85">
        <f>IF(Transform!E$50="",0,CUBIC(Transform!$D$52:$D$78,Transform!$E$52:$E$78,$B101))</f>
        <v>1.0759412881473815</v>
      </c>
      <c r="E101" s="85">
        <f>IF(Transform!G$50="",0,CUBIC(Transform!$F$52:$F$78,Transform!$G$52:$G$78,$B101))</f>
        <v>1.3595479895685458</v>
      </c>
      <c r="F101" s="85">
        <f>IF(Transform!I$50="",0,CUBIC(Transform!$H$52:$H$78,Transform!$I$52:$I$78,$B101))</f>
        <v>1.5113080306192914</v>
      </c>
      <c r="G101" s="85">
        <f>IF(Transform!K$50="",0,CUBIC(Transform!$J$52:$J$78,Transform!$K$52:$K$78,$B101))</f>
        <v>1.5961031035079882</v>
      </c>
      <c r="H101" s="85">
        <f>IF(Transform!M$50="",0,CUBIC(Transform!$L$52:$L$78,Transform!$M$52:$M$78,$B101))</f>
        <v>1.6388883925512412</v>
      </c>
      <c r="I101" s="85">
        <f>IF(Transform!O$50="",0,CUBIC(Transform!$N$52:$N$78,Transform!$O$52:$O$78,$B101))</f>
        <v>1.658543113873636</v>
      </c>
      <c r="J101" s="85">
        <f>IF(Transform!Q$50="",0,CUBIC(Transform!$P$52:$P$78,Transform!$Q$52:$Q$78,$B101))</f>
        <v>1.6625200408342347</v>
      </c>
      <c r="K101" s="85">
        <f>IF(Transform!S$50="",0,CUBIC(Transform!$R$52:$R$78,Transform!$S$52:$S$78,$B101))</f>
        <v>1.6652198576111499</v>
      </c>
      <c r="L101" s="85">
        <f>IF(Transform!U$50="",0,CUBIC(Transform!$T$52:$T$78,Transform!$U$52:$U$78,$B101))</f>
        <v>1.6667827123476635</v>
      </c>
      <c r="M101" s="85">
        <f>IF(Transform!W$50="",0,CUBIC(Transform!$V$52:$V$78,Transform!$W$52:$W$78,$B101))</f>
        <v>1.6672940472507658</v>
      </c>
      <c r="N101" s="85">
        <f>IF(Transform!Y$50="",0,CUBIC(Transform!$X$52:$X$78,Transform!$Y$52:$Y$78,$B101))</f>
        <v>1.6667827123476635</v>
      </c>
      <c r="O101" s="85">
        <f>IF(Transform!AA$50="",0,CUBIC(Transform!$Z$52:$Z$78,Transform!$AA$52:$AA$78,$B101))</f>
        <v>1.6652198576111499</v>
      </c>
      <c r="P101" s="85">
        <f>IF(Transform!AC$50="",0,CUBIC(Transform!$AB$52:$AB$78,Transform!$AC$52:$AC$78,$B101))</f>
        <v>1.6625200408342347</v>
      </c>
      <c r="Q101" s="85">
        <f>IF(Transform!AE$50="",0,CUBIC(Transform!$AD$52:$AD$78,Transform!$AE$52:$AE$78,$B101))</f>
        <v>1.6092208371742851</v>
      </c>
      <c r="R101" s="85">
        <f>IF(Transform!AG$50="",0,CUBIC(Transform!$AF$52:$AF$78,Transform!$AG$52:$AG$78,$B101))</f>
        <v>1.4882547573796143</v>
      </c>
      <c r="S101" s="85">
        <f>IF(Transform!AI$50="",0,CUBIC(Transform!$AH$52:$AH$78,Transform!$AI$52:$AI$78,$B101))</f>
        <v>1.2411203188281075</v>
      </c>
      <c r="T101" s="85">
        <f>IF(Transform!AK$50="",0,CUBIC(Transform!$AJ$52:$AJ$78,Transform!$AK$52:$AK$78,$B101))</f>
        <v>0.893923668559513</v>
      </c>
      <c r="U101" s="85">
        <f>IF(Transform!AM$50="",0,CUBIC(Transform!$AL$52:$AL$78,Transform!$AM$52:$AM$78,$B101))</f>
        <v>0.47770040522834878</v>
      </c>
      <c r="V101" s="85">
        <f>IF(Transform!AO$50="",0,CUBIC(Transform!$AN$52:$AN$78,Transform!$AO$52:$AO$78,$B101))</f>
        <v>0.18006828659851043</v>
      </c>
      <c r="W101" s="85">
        <f>IF(Transform!AQ$50="",0,CUBIC(Transform!$AP$52:$AP$78,Transform!$AQ$52:$AQ$78,$B101))</f>
        <v>0</v>
      </c>
    </row>
    <row r="102" spans="1:23" x14ac:dyDescent="0.2">
      <c r="A102" s="80">
        <f t="shared" si="24"/>
        <v>17</v>
      </c>
      <c r="B102" s="137">
        <f>Transform!$E$46*Transform!A102/Transform!$A$109</f>
        <v>1.2395833333333333</v>
      </c>
      <c r="C102" s="214">
        <f>IF(Transform!C$50="",0,CUBIC(Transform!B$52:B$78,Transform!C$52:C$78,B102))</f>
        <v>0.73594359476941318</v>
      </c>
      <c r="D102" s="85">
        <f>IF(Transform!E$50="",0,CUBIC(Transform!$D$52:$D$78,Transform!$E$52:$E$78,$B102))</f>
        <v>1.1662712546744376</v>
      </c>
      <c r="E102" s="85">
        <f>IF(Transform!G$50="",0,CUBIC(Transform!$F$52:$F$78,Transform!$G$52:$G$78,$B102))</f>
        <v>1.4179960312556439</v>
      </c>
      <c r="F102" s="85">
        <f>IF(Transform!I$50="",0,CUBIC(Transform!$H$52:$H$78,Transform!$I$52:$I$78,$B102))</f>
        <v>1.550675922941656</v>
      </c>
      <c r="G102" s="85">
        <f>IF(Transform!K$50="",0,CUBIC(Transform!$J$52:$J$78,Transform!$K$52:$K$78,$B102))</f>
        <v>1.624453077748808</v>
      </c>
      <c r="H102" s="85">
        <f>IF(Transform!M$50="",0,CUBIC(Transform!$L$52:$L$78,Transform!$M$52:$M$78,$B102))</f>
        <v>1.6617166227795439</v>
      </c>
      <c r="I102" s="85">
        <f>IF(Transform!O$50="",0,CUBIC(Transform!$N$52:$N$78,Transform!$O$52:$O$78,$B102))</f>
        <v>1.6753724617052372</v>
      </c>
      <c r="J102" s="85">
        <f>IF(Transform!Q$50="",0,CUBIC(Transform!$P$52:$P$78,Transform!$Q$52:$Q$78,$B102))</f>
        <v>1.678555491314883</v>
      </c>
      <c r="K102" s="85">
        <f>IF(Transform!S$50="",0,CUBIC(Transform!$R$52:$R$78,Transform!$S$52:$S$78,$B102))</f>
        <v>1.6806574682822875</v>
      </c>
      <c r="L102" s="85">
        <f>IF(Transform!U$50="",0,CUBIC(Transform!$T$52:$T$78,Transform!$U$52:$U$78,$B102))</f>
        <v>1.68185174538767</v>
      </c>
      <c r="M102" s="85">
        <f>IF(Transform!W$50="",0,CUBIC(Transform!$V$52:$V$78,Transform!$W$52:$W$78,$B102))</f>
        <v>1.6822388825717927</v>
      </c>
      <c r="N102" s="85">
        <f>IF(Transform!Y$50="",0,CUBIC(Transform!$X$52:$X$78,Transform!$Y$52:$Y$78,$B102))</f>
        <v>1.68185174538767</v>
      </c>
      <c r="O102" s="85">
        <f>IF(Transform!AA$50="",0,CUBIC(Transform!$Z$52:$Z$78,Transform!$AA$52:$AA$78,$B102))</f>
        <v>1.6806574682822875</v>
      </c>
      <c r="P102" s="85">
        <f>IF(Transform!AC$50="",0,CUBIC(Transform!$AB$52:$AB$78,Transform!$AC$52:$AC$78,$B102))</f>
        <v>1.678555491314883</v>
      </c>
      <c r="Q102" s="85">
        <f>IF(Transform!AE$50="",0,CUBIC(Transform!$AD$52:$AD$78,Transform!$AE$52:$AE$78,$B102))</f>
        <v>1.6253423569478589</v>
      </c>
      <c r="R102" s="85">
        <f>IF(Transform!AG$50="",0,CUBIC(Transform!$AF$52:$AF$78,Transform!$AG$52:$AG$78,$B102))</f>
        <v>1.5086385307254906</v>
      </c>
      <c r="S102" s="85">
        <f>IF(Transform!AI$50="",0,CUBIC(Transform!$AH$52:$AH$78,Transform!$AI$52:$AI$78,$B102))</f>
        <v>1.2598449650667485</v>
      </c>
      <c r="T102" s="85">
        <f>IF(Transform!AK$50="",0,CUBIC(Transform!$AJ$52:$AJ$78,Transform!$AK$52:$AK$78,$B102))</f>
        <v>0.91176508394080613</v>
      </c>
      <c r="U102" s="85">
        <f>IF(Transform!AM$50="",0,CUBIC(Transform!$AL$52:$AL$78,Transform!$AM$52:$AM$78,$B102))</f>
        <v>0.48565286924828849</v>
      </c>
      <c r="V102" s="85">
        <f>IF(Transform!AO$50="",0,CUBIC(Transform!$AN$52:$AN$78,Transform!$AO$52:$AO$78,$B102))</f>
        <v>0.16913752326596418</v>
      </c>
      <c r="W102" s="85">
        <f>IF(Transform!AQ$50="",0,CUBIC(Transform!$AP$52:$AP$78,Transform!$AQ$52:$AQ$78,$B102))</f>
        <v>0</v>
      </c>
    </row>
    <row r="103" spans="1:23" x14ac:dyDescent="0.2">
      <c r="A103" s="80">
        <f t="shared" si="24"/>
        <v>18</v>
      </c>
      <c r="B103" s="137">
        <f>Transform!$E$46*Transform!A103/Transform!$A$109</f>
        <v>1.3125</v>
      </c>
      <c r="C103" s="214">
        <f>IF(Transform!C$50="",0,CUBIC(Transform!B$52:B$78,Transform!C$52:C$78,B103))</f>
        <v>0.85776492672294224</v>
      </c>
      <c r="D103" s="85">
        <f>IF(Transform!E$50="",0,CUBIC(Transform!$D$52:$D$78,Transform!$E$52:$E$78,$B103))</f>
        <v>1.2449924192510871</v>
      </c>
      <c r="E103" s="85">
        <f>IF(Transform!G$50="",0,CUBIC(Transform!$F$52:$F$78,Transform!$G$52:$G$78,$B103))</f>
        <v>1.4647421334507411</v>
      </c>
      <c r="F103" s="85">
        <f>IF(Transform!I$50="",0,CUBIC(Transform!$H$52:$H$78,Transform!$I$52:$I$78,$B103))</f>
        <v>1.5837195342665706</v>
      </c>
      <c r="G103" s="85">
        <f>IF(Transform!K$50="",0,CUBIC(Transform!$J$52:$J$78,Transform!$K$52:$K$78,$B103))</f>
        <v>1.6464327760672339</v>
      </c>
      <c r="H103" s="85">
        <f>IF(Transform!M$50="",0,CUBIC(Transform!$L$52:$L$78,Transform!$M$52:$M$78,$B103))</f>
        <v>1.6785221231054797</v>
      </c>
      <c r="I103" s="85">
        <f>IF(Transform!O$50="",0,CUBIC(Transform!$N$52:$N$78,Transform!$O$52:$O$78,$B103))</f>
        <v>1.6893990214124481</v>
      </c>
      <c r="J103" s="85">
        <f>IF(Transform!Q$50="",0,CUBIC(Transform!$P$52:$P$78,Transform!$Q$52:$Q$78,$B103))</f>
        <v>1.691449086702266</v>
      </c>
      <c r="K103" s="85">
        <f>IF(Transform!S$50="",0,CUBIC(Transform!$R$52:$R$78,Transform!$S$52:$S$78,$B103))</f>
        <v>1.6927479189293129</v>
      </c>
      <c r="L103" s="85">
        <f>IF(Transform!U$50="",0,CUBIC(Transform!$T$52:$T$78,Transform!$U$52:$U$78,$B103))</f>
        <v>1.6934644741835476</v>
      </c>
      <c r="M103" s="85">
        <f>IF(Transform!W$50="",0,CUBIC(Transform!$V$52:$V$78,Transform!$W$52:$W$78,$B103))</f>
        <v>1.6936932095223654</v>
      </c>
      <c r="N103" s="85">
        <f>IF(Transform!Y$50="",0,CUBIC(Transform!$X$52:$X$78,Transform!$Y$52:$Y$78,$B103))</f>
        <v>1.6934644741835476</v>
      </c>
      <c r="O103" s="85">
        <f>IF(Transform!AA$50="",0,CUBIC(Transform!$Z$52:$Z$78,Transform!$AA$52:$AA$78,$B103))</f>
        <v>1.6927479189293129</v>
      </c>
      <c r="P103" s="85">
        <f>IF(Transform!AC$50="",0,CUBIC(Transform!$AB$52:$AB$78,Transform!$AC$52:$AC$78,$B103))</f>
        <v>1.691449086702266</v>
      </c>
      <c r="Q103" s="85">
        <f>IF(Transform!AE$50="",0,CUBIC(Transform!$AD$52:$AD$78,Transform!$AE$52:$AE$78,$B103))</f>
        <v>1.6370609317098936</v>
      </c>
      <c r="R103" s="85">
        <f>IF(Transform!AG$50="",0,CUBIC(Transform!$AF$52:$AF$78,Transform!$AG$52:$AG$78,$B103))</f>
        <v>1.5215411472777487</v>
      </c>
      <c r="S103" s="85">
        <f>IF(Transform!AI$50="",0,CUBIC(Transform!$AH$52:$AH$78,Transform!$AI$52:$AI$78,$B103))</f>
        <v>1.278143519731946</v>
      </c>
      <c r="T103" s="85">
        <f>IF(Transform!AK$50="",0,CUBIC(Transform!$AJ$52:$AJ$78,Transform!$AK$52:$AK$78,$B103))</f>
        <v>0.9280780199530384</v>
      </c>
      <c r="U103" s="85">
        <f>IF(Transform!AM$50="",0,CUBIC(Transform!$AL$52:$AL$78,Transform!$AM$52:$AM$78,$B103))</f>
        <v>0.49375376719522068</v>
      </c>
      <c r="V103" s="85">
        <f>IF(Transform!AO$50="",0,CUBIC(Transform!$AN$52:$AN$78,Transform!$AO$52:$AO$78,$B103))</f>
        <v>0.16155904483670588</v>
      </c>
      <c r="W103" s="85">
        <f>IF(Transform!AQ$50="",0,CUBIC(Transform!$AP$52:$AP$78,Transform!$AQ$52:$AQ$78,$B103))</f>
        <v>0</v>
      </c>
    </row>
    <row r="104" spans="1:23" x14ac:dyDescent="0.2">
      <c r="A104" s="80">
        <f t="shared" si="24"/>
        <v>19</v>
      </c>
      <c r="B104" s="137">
        <f>Transform!$E$46*Transform!A104/Transform!$A$109</f>
        <v>1.3854166666666667</v>
      </c>
      <c r="C104" s="214">
        <f>IF(Transform!C$50="",0,CUBIC(Transform!B$52:B$78,Transform!C$52:C$78,B104))</f>
        <v>0.93673619068555969</v>
      </c>
      <c r="D104" s="85">
        <f>IF(Transform!E$50="",0,CUBIC(Transform!$D$52:$D$78,Transform!$E$52:$E$78,$B104))</f>
        <v>1.3012697249408849</v>
      </c>
      <c r="E104" s="85">
        <f>IF(Transform!G$50="",0,CUBIC(Transform!$F$52:$F$78,Transform!$G$52:$G$78,$B104))</f>
        <v>1.5034427000115183</v>
      </c>
      <c r="F104" s="85">
        <f>IF(Transform!I$50="",0,CUBIC(Transform!$H$52:$H$78,Transform!$I$52:$I$78,$B104))</f>
        <v>1.6109573071489414</v>
      </c>
      <c r="G104" s="85">
        <f>IF(Transform!K$50="",0,CUBIC(Transform!$J$52:$J$78,Transform!$K$52:$K$78,$B104))</f>
        <v>1.6640995711095043</v>
      </c>
      <c r="H104" s="85">
        <f>IF(Transform!M$50="",0,CUBIC(Transform!$L$52:$L$78,Transform!$M$52:$M$78,$B104))</f>
        <v>1.6895174613135941</v>
      </c>
      <c r="I104" s="85">
        <f>IF(Transform!O$50="",0,CUBIC(Transform!$N$52:$N$78,Transform!$O$52:$O$78,$B104))</f>
        <v>1.6983221379551012</v>
      </c>
      <c r="J104" s="85">
        <f>IF(Transform!Q$50="",0,CUBIC(Transform!$P$52:$P$78,Transform!$Q$52:$Q$78,$B104))</f>
        <v>1.6991858568680593</v>
      </c>
      <c r="K104" s="85">
        <f>IF(Transform!S$50="",0,CUBIC(Transform!$R$52:$R$78,Transform!$S$52:$S$78,$B104))</f>
        <v>1.6997067683992533</v>
      </c>
      <c r="L104" s="85">
        <f>IF(Transform!U$50="",0,CUBIC(Transform!$T$52:$T$78,Transform!$U$52:$U$78,$B104))</f>
        <v>1.6999857323992118</v>
      </c>
      <c r="M104" s="85">
        <f>IF(Transform!W$50="",0,CUBIC(Transform!$V$52:$V$78,Transform!$W$52:$W$78,$B104))</f>
        <v>1.700073555603876</v>
      </c>
      <c r="N104" s="85">
        <f>IF(Transform!Y$50="",0,CUBIC(Transform!$X$52:$X$78,Transform!$Y$52:$Y$78,$B104))</f>
        <v>1.6999857323992118</v>
      </c>
      <c r="O104" s="85">
        <f>IF(Transform!AA$50="",0,CUBIC(Transform!$Z$52:$Z$78,Transform!$AA$52:$AA$78,$B104))</f>
        <v>1.6997067683992533</v>
      </c>
      <c r="P104" s="85">
        <f>IF(Transform!AC$50="",0,CUBIC(Transform!$AB$52:$AB$78,Transform!$AC$52:$AC$78,$B104))</f>
        <v>1.6991858568680593</v>
      </c>
      <c r="Q104" s="85">
        <f>IF(Transform!AE$50="",0,CUBIC(Transform!$AD$52:$AD$78,Transform!$AE$52:$AE$78,$B104))</f>
        <v>1.6456349222062721</v>
      </c>
      <c r="R104" s="85">
        <f>IF(Transform!AG$50="",0,CUBIC(Transform!$AF$52:$AF$78,Transform!$AG$52:$AG$78,$B104))</f>
        <v>1.5304606909038723</v>
      </c>
      <c r="S104" s="85">
        <f>IF(Transform!AI$50="",0,CUBIC(Transform!$AH$52:$AH$78,Transform!$AI$52:$AI$78,$B104))</f>
        <v>1.2934632234046057</v>
      </c>
      <c r="T104" s="85">
        <f>IF(Transform!AK$50="",0,CUBIC(Transform!$AJ$52:$AJ$78,Transform!$AK$52:$AK$78,$B104))</f>
        <v>0.94195321028032897</v>
      </c>
      <c r="U104" s="85">
        <f>IF(Transform!AM$50="",0,CUBIC(Transform!$AL$52:$AL$78,Transform!$AM$52:$AM$78,$B104))</f>
        <v>0.49812104363372967</v>
      </c>
      <c r="V104" s="85">
        <f>IF(Transform!AO$50="",0,CUBIC(Transform!$AN$52:$AN$78,Transform!$AO$52:$AO$78,$B104))</f>
        <v>0.15052729304486337</v>
      </c>
      <c r="W104" s="85">
        <f>IF(Transform!AQ$50="",0,CUBIC(Transform!$AP$52:$AP$78,Transform!$AQ$52:$AQ$78,$B104))</f>
        <v>0</v>
      </c>
    </row>
    <row r="105" spans="1:23" x14ac:dyDescent="0.2">
      <c r="A105" s="80">
        <f t="shared" si="24"/>
        <v>20</v>
      </c>
      <c r="B105" s="137">
        <f>Transform!$E$46*Transform!A105/Transform!$A$109</f>
        <v>1.4583333333333333</v>
      </c>
      <c r="C105" s="214">
        <f>IF(Transform!C$50="",0,CUBIC(Transform!B$52:B$78,Transform!C$52:C$78,B105))</f>
        <v>1.0010930174716755</v>
      </c>
      <c r="D105" s="85">
        <f>IF(Transform!E$50="",0,CUBIC(Transform!$D$52:$D$78,Transform!$E$52:$E$78,$B105))</f>
        <v>1.341500680294097</v>
      </c>
      <c r="E105" s="85">
        <f>IF(Transform!G$50="",0,CUBIC(Transform!$F$52:$F$78,Transform!$G$52:$G$78,$B105))</f>
        <v>1.5375708662929679</v>
      </c>
      <c r="F105" s="85">
        <f>IF(Transform!I$50="",0,CUBIC(Transform!$H$52:$H$78,Transform!$I$52:$I$78,$B105))</f>
        <v>1.6325220604536403</v>
      </c>
      <c r="G105" s="85">
        <f>IF(Transform!K$50="",0,CUBIC(Transform!$J$52:$J$78,Transform!$K$52:$K$78,$B105))</f>
        <v>1.6792911166414435</v>
      </c>
      <c r="H105" s="85">
        <f>IF(Transform!M$50="",0,CUBIC(Transform!$L$52:$L$78,Transform!$M$52:$M$78,$B105))</f>
        <v>1.6954901977598911</v>
      </c>
      <c r="I105" s="85">
        <f>IF(Transform!O$50="",0,CUBIC(Transform!$N$52:$N$78,Transform!$O$52:$O$78,$B105))</f>
        <v>1.7019774265078191</v>
      </c>
      <c r="J105" s="85">
        <f>IF(Transform!Q$50="",0,CUBIC(Transform!$P$52:$P$78,Transform!$Q$52:$Q$78,$B105))</f>
        <v>1.7021894091722025</v>
      </c>
      <c r="K105" s="85">
        <f>IF(Transform!S$50="",0,CUBIC(Transform!$R$52:$R$78,Transform!$S$52:$S$78,$B105))</f>
        <v>1.7023084224415455</v>
      </c>
      <c r="L105" s="85">
        <f>IF(Transform!U$50="",0,CUBIC(Transform!$T$52:$T$78,Transform!$U$52:$U$78,$B105))</f>
        <v>1.7023688599785687</v>
      </c>
      <c r="M105" s="85">
        <f>IF(Transform!W$50="",0,CUBIC(Transform!$V$52:$V$78,Transform!$W$52:$W$78,$B105))</f>
        <v>1.7023873535528493</v>
      </c>
      <c r="N105" s="85">
        <f>IF(Transform!Y$50="",0,CUBIC(Transform!$X$52:$X$78,Transform!$Y$52:$Y$78,$B105))</f>
        <v>1.7023688599785687</v>
      </c>
      <c r="O105" s="85">
        <f>IF(Transform!AA$50="",0,CUBIC(Transform!$Z$52:$Z$78,Transform!$AA$52:$AA$78,$B105))</f>
        <v>1.7023084224415455</v>
      </c>
      <c r="P105" s="85">
        <f>IF(Transform!AC$50="",0,CUBIC(Transform!$AB$52:$AB$78,Transform!$AC$52:$AC$78,$B105))</f>
        <v>1.7021894091722025</v>
      </c>
      <c r="Q105" s="85">
        <f>IF(Transform!AE$50="",0,CUBIC(Transform!$AD$52:$AD$78,Transform!$AE$52:$AE$78,$B105))</f>
        <v>1.6519812339900342</v>
      </c>
      <c r="R105" s="85">
        <f>IF(Transform!AG$50="",0,CUBIC(Transform!$AF$52:$AF$78,Transform!$AG$52:$AG$78,$B105))</f>
        <v>1.5376962730818844</v>
      </c>
      <c r="S105" s="85">
        <f>IF(Transform!AI$50="",0,CUBIC(Transform!$AH$52:$AH$78,Transform!$AI$52:$AI$78,$B105))</f>
        <v>1.3031809461506123</v>
      </c>
      <c r="T105" s="85">
        <f>IF(Transform!AK$50="",0,CUBIC(Transform!$AJ$52:$AJ$78,Transform!$AK$52:$AK$78,$B105))</f>
        <v>0.95122084673197027</v>
      </c>
      <c r="U105" s="85">
        <f>IF(Transform!AM$50="",0,CUBIC(Transform!$AL$52:$AL$78,Transform!$AM$52:$AM$78,$B105))</f>
        <v>0.49968664764200554</v>
      </c>
      <c r="V105" s="85">
        <f>IF(Transform!AO$50="",0,CUBIC(Transform!$AN$52:$AN$78,Transform!$AO$52:$AO$78,$B105))</f>
        <v>0.13780531057318232</v>
      </c>
      <c r="W105" s="85">
        <f>IF(Transform!AQ$50="",0,CUBIC(Transform!$AP$52:$AP$78,Transform!$AQ$52:$AQ$78,$B105))</f>
        <v>0</v>
      </c>
    </row>
    <row r="106" spans="1:23" x14ac:dyDescent="0.2">
      <c r="A106" s="80">
        <f t="shared" si="24"/>
        <v>21</v>
      </c>
      <c r="B106" s="137">
        <f>Transform!$E$46*Transform!A106/Transform!$A$109</f>
        <v>1.53125</v>
      </c>
      <c r="C106" s="214">
        <f>IF(Transform!C$50="",0,CUBIC(Transform!B$52:B$78,Transform!C$52:C$78,B106))</f>
        <v>1.058531146599049</v>
      </c>
      <c r="D106" s="85">
        <f>IF(Transform!E$50="",0,CUBIC(Transform!$D$52:$D$78,Transform!$E$52:$E$78,$B106))</f>
        <v>1.3797756117111593</v>
      </c>
      <c r="E106" s="85">
        <f>IF(Transform!G$50="",0,CUBIC(Transform!$F$52:$F$78,Transform!$G$52:$G$78,$B106))</f>
        <v>1.5683665400004321</v>
      </c>
      <c r="F106" s="85">
        <f>IF(Transform!I$50="",0,CUBIC(Transform!$H$52:$H$78,Transform!$I$52:$I$78,$B106))</f>
        <v>1.6490833155968903</v>
      </c>
      <c r="G106" s="85">
        <f>IF(Transform!K$50="",0,CUBIC(Transform!$J$52:$J$78,Transform!$K$52:$K$78,$B106))</f>
        <v>1.6912471617352147</v>
      </c>
      <c r="H106" s="85">
        <f>IF(Transform!M$50="",0,CUBIC(Transform!$L$52:$L$78,Transform!$M$52:$M$78,$B106))</f>
        <v>1.6983593348149291</v>
      </c>
      <c r="I106" s="85">
        <f>IF(Transform!O$50="",0,CUBIC(Transform!$N$52:$N$78,Transform!$O$52:$O$78,$B106))</f>
        <v>1.7026949491072674</v>
      </c>
      <c r="J106" s="85">
        <f>IF(Transform!Q$50="",0,CUBIC(Transform!$P$52:$P$78,Transform!$Q$52:$Q$78,$B106))</f>
        <v>1.7027009547042402</v>
      </c>
      <c r="K106" s="85">
        <f>IF(Transform!S$50="",0,CUBIC(Transform!$R$52:$R$78,Transform!$S$52:$S$78,$B106))</f>
        <v>1.7027025304928958</v>
      </c>
      <c r="L106" s="85">
        <f>IF(Transform!U$50="",0,CUBIC(Transform!$T$52:$T$78,Transform!$U$52:$U$78,$B106))</f>
        <v>1.702702872146721</v>
      </c>
      <c r="M106" s="85">
        <f>IF(Transform!W$50="",0,CUBIC(Transform!$V$52:$V$78,Transform!$W$52:$W$78,$B106))</f>
        <v>1.7027029154948938</v>
      </c>
      <c r="N106" s="85">
        <f>IF(Transform!Y$50="",0,CUBIC(Transform!$X$52:$X$78,Transform!$Y$52:$Y$78,$B106))</f>
        <v>1.702702872146721</v>
      </c>
      <c r="O106" s="85">
        <f>IF(Transform!AA$50="",0,CUBIC(Transform!$Z$52:$Z$78,Transform!$AA$52:$AA$78,$B106))</f>
        <v>1.7027025304928958</v>
      </c>
      <c r="P106" s="85">
        <f>IF(Transform!AC$50="",0,CUBIC(Transform!$AB$52:$AB$78,Transform!$AC$52:$AC$78,$B106))</f>
        <v>1.7027009547042402</v>
      </c>
      <c r="Q106" s="85">
        <f>IF(Transform!AE$50="",0,CUBIC(Transform!$AD$52:$AD$78,Transform!$AE$52:$AE$78,$B106))</f>
        <v>1.6566180143437159</v>
      </c>
      <c r="R106" s="85">
        <f>IF(Transform!AG$50="",0,CUBIC(Transform!$AF$52:$AF$78,Transform!$AG$52:$AG$78,$B106))</f>
        <v>1.5427963090761905</v>
      </c>
      <c r="S106" s="85">
        <f>IF(Transform!AI$50="",0,CUBIC(Transform!$AH$52:$AH$78,Transform!$AI$52:$AI$78,$B106))</f>
        <v>1.3080873666271446</v>
      </c>
      <c r="T106" s="85">
        <f>IF(Transform!AK$50="",0,CUBIC(Transform!$AJ$52:$AJ$78,Transform!$AK$52:$AK$78,$B106))</f>
        <v>0.95594125938347996</v>
      </c>
      <c r="U106" s="85">
        <f>IF(Transform!AM$50="",0,CUBIC(Transform!$AL$52:$AL$78,Transform!$AM$52:$AM$78,$B106))</f>
        <v>0.49976213432055117</v>
      </c>
      <c r="V106" s="85">
        <f>IF(Transform!AO$50="",0,CUBIC(Transform!$AN$52:$AN$78,Transform!$AO$52:$AO$78,$B106))</f>
        <v>0.12894831813421009</v>
      </c>
      <c r="W106" s="85">
        <f>IF(Transform!AQ$50="",0,CUBIC(Transform!$AP$52:$AP$78,Transform!$AQ$52:$AQ$78,$B106))</f>
        <v>0</v>
      </c>
    </row>
    <row r="107" spans="1:23" x14ac:dyDescent="0.2">
      <c r="A107" s="80">
        <f t="shared" si="24"/>
        <v>22</v>
      </c>
      <c r="B107" s="137">
        <f>Transform!$E$46*Transform!A107/Transform!$A$109</f>
        <v>1.6041666666666667</v>
      </c>
      <c r="C107" s="214">
        <f>IF(Transform!C$50="",0,CUBIC(Transform!B$52:B$78,Transform!C$52:C$78,B107))</f>
        <v>1.1077937191147369</v>
      </c>
      <c r="D107" s="85">
        <f>IF(Transform!E$50="",0,CUBIC(Transform!$D$52:$D$78,Transform!$E$52:$E$78,$B107))</f>
        <v>1.4137161320234708</v>
      </c>
      <c r="E107" s="85">
        <f>IF(Transform!G$50="",0,CUBIC(Transform!$F$52:$F$78,Transform!$G$52:$G$78,$B107))</f>
        <v>1.592993461444371</v>
      </c>
      <c r="F107" s="85">
        <f>IF(Transform!I$50="",0,CUBIC(Transform!$H$52:$H$78,Transform!$I$52:$I$78,$B107))</f>
        <v>1.6616918909664906</v>
      </c>
      <c r="G107" s="85">
        <f>IF(Transform!K$50="",0,CUBIC(Transform!$J$52:$J$78,Transform!$K$52:$K$78,$B107))</f>
        <v>1.6985629265584556</v>
      </c>
      <c r="H107" s="85">
        <f>IF(Transform!M$50="",0,CUBIC(Transform!$L$52:$L$78,Transform!$M$52:$M$78,$B107))</f>
        <v>1.7000767462503339</v>
      </c>
      <c r="I107" s="85">
        <f>IF(Transform!O$50="",0,CUBIC(Transform!$N$52:$N$78,Transform!$O$52:$O$78,$B107))</f>
        <v>1.7027168150863137</v>
      </c>
      <c r="J107" s="85">
        <f>IF(Transform!Q$50="",0,CUBIC(Transform!$P$52:$P$78,Transform!$Q$52:$Q$78,$B107))</f>
        <v>1.7027121122151652</v>
      </c>
      <c r="K107" s="85">
        <f>IF(Transform!S$50="",0,CUBIC(Transform!$R$52:$R$78,Transform!$S$52:$S$78,$B107))</f>
        <v>1.7027086812607559</v>
      </c>
      <c r="L107" s="85">
        <f>IF(Transform!U$50="",0,CUBIC(Transform!$T$52:$T$78,Transform!$U$52:$U$78,$B107))</f>
        <v>1.7027066156045634</v>
      </c>
      <c r="M107" s="85">
        <f>IF(Transform!W$50="",0,CUBIC(Transform!$V$52:$V$78,Transform!$W$52:$W$78,$B107))</f>
        <v>1.7027059276846961</v>
      </c>
      <c r="N107" s="85">
        <f>IF(Transform!Y$50="",0,CUBIC(Transform!$X$52:$X$78,Transform!$Y$52:$Y$78,$B107))</f>
        <v>1.7027066156045634</v>
      </c>
      <c r="O107" s="85">
        <f>IF(Transform!AA$50="",0,CUBIC(Transform!$Z$52:$Z$78,Transform!$AA$52:$AA$78,$B107))</f>
        <v>1.7027086812607559</v>
      </c>
      <c r="P107" s="85">
        <f>IF(Transform!AC$50="",0,CUBIC(Transform!$AB$52:$AB$78,Transform!$AC$52:$AC$78,$B107))</f>
        <v>1.7027121122151652</v>
      </c>
      <c r="Q107" s="85">
        <f>IF(Transform!AE$50="",0,CUBIC(Transform!$AD$52:$AD$78,Transform!$AE$52:$AE$78,$B107))</f>
        <v>1.660031910617779</v>
      </c>
      <c r="R107" s="85">
        <f>IF(Transform!AG$50="",0,CUBIC(Transform!$AF$52:$AF$78,Transform!$AG$52:$AG$78,$B107))</f>
        <v>1.5450759987926832</v>
      </c>
      <c r="S107" s="85">
        <f>IF(Transform!AI$50="",0,CUBIC(Transform!$AH$52:$AH$78,Transform!$AI$52:$AI$78,$B107))</f>
        <v>1.3099302617422013</v>
      </c>
      <c r="T107" s="85">
        <f>IF(Transform!AK$50="",0,CUBIC(Transform!$AJ$52:$AJ$78,Transform!$AK$52:$AK$78,$B107))</f>
        <v>0.95773693268641735</v>
      </c>
      <c r="U107" s="85">
        <f>IF(Transform!AM$50="",0,CUBIC(Transform!$AL$52:$AL$78,Transform!$AM$52:$AM$78,$B107))</f>
        <v>0.49941073732810032</v>
      </c>
      <c r="V107" s="85">
        <f>IF(Transform!AO$50="",0,CUBIC(Transform!$AN$52:$AN$78,Transform!$AO$52:$AO$78,$B107))</f>
        <v>0.12151263148851667</v>
      </c>
      <c r="W107" s="85">
        <f>IF(Transform!AQ$50="",0,CUBIC(Transform!$AP$52:$AP$78,Transform!$AQ$52:$AQ$78,$B107))</f>
        <v>0</v>
      </c>
    </row>
    <row r="108" spans="1:23" x14ac:dyDescent="0.2">
      <c r="A108" s="80">
        <f t="shared" si="24"/>
        <v>23</v>
      </c>
      <c r="B108" s="137">
        <f>Transform!$E$46*Transform!A108/Transform!$A$109</f>
        <v>1.6770833333333333</v>
      </c>
      <c r="C108" s="214">
        <f>IF(Transform!C$50="",0,CUBIC(Transform!B$52:B$78,Transform!C$52:C$78,B108))</f>
        <v>1.142052531923293</v>
      </c>
      <c r="D108" s="85">
        <f>IF(Transform!E$50="",0,CUBIC(Transform!$D$52:$D$78,Transform!$E$52:$E$78,$B108))</f>
        <v>1.4368122846494422</v>
      </c>
      <c r="E108" s="85">
        <f>IF(Transform!G$50="",0,CUBIC(Transform!$F$52:$F$78,Transform!$G$52:$G$78,$B108))</f>
        <v>1.6101546537699771</v>
      </c>
      <c r="F108" s="85">
        <f>IF(Transform!I$50="",0,CUBIC(Transform!$H$52:$H$78,Transform!$I$52:$I$78,$B108))</f>
        <v>1.6715394827410417</v>
      </c>
      <c r="G108" s="85">
        <f>IF(Transform!K$50="",0,CUBIC(Transform!$J$52:$J$78,Transform!$K$52:$K$78,$B108))</f>
        <v>1.7016926735359503</v>
      </c>
      <c r="H108" s="85">
        <f>IF(Transform!M$50="",0,CUBIC(Transform!$L$52:$L$78,Transform!$M$52:$M$78,$B108))</f>
        <v>1.701468938001935</v>
      </c>
      <c r="I108" s="85">
        <f>IF(Transform!O$50="",0,CUBIC(Transform!$N$52:$N$78,Transform!$O$52:$O$78,$B108))</f>
        <v>1.7027150902693178</v>
      </c>
      <c r="J108" s="85">
        <f>IF(Transform!Q$50="",0,CUBIC(Transform!$P$52:$P$78,Transform!$Q$52:$Q$78,$B108))</f>
        <v>1.7027105368475506</v>
      </c>
      <c r="K108" s="85">
        <f>IF(Transform!S$50="",0,CUBIC(Transform!$R$52:$R$78,Transform!$S$52:$S$78,$B108))</f>
        <v>1.7027075197168657</v>
      </c>
      <c r="L108" s="85">
        <f>IF(Transform!U$50="",0,CUBIC(Transform!$T$52:$T$78,Transform!$U$52:$U$78,$B108))</f>
        <v>1.7027057991353876</v>
      </c>
      <c r="M108" s="85">
        <f>IF(Transform!W$50="",0,CUBIC(Transform!$V$52:$V$78,Transform!$W$52:$W$78,$B108))</f>
        <v>1.7027052401298592</v>
      </c>
      <c r="N108" s="85">
        <f>IF(Transform!Y$50="",0,CUBIC(Transform!$X$52:$X$78,Transform!$Y$52:$Y$78,$B108))</f>
        <v>1.7027057991353876</v>
      </c>
      <c r="O108" s="85">
        <f>IF(Transform!AA$50="",0,CUBIC(Transform!$Z$52:$Z$78,Transform!$AA$52:$AA$78,$B108))</f>
        <v>1.7027075197168657</v>
      </c>
      <c r="P108" s="85">
        <f>IF(Transform!AC$50="",0,CUBIC(Transform!$AB$52:$AB$78,Transform!$AC$52:$AC$78,$B108))</f>
        <v>1.7027105368475506</v>
      </c>
      <c r="Q108" s="85">
        <f>IF(Transform!AE$50="",0,CUBIC(Transform!$AD$52:$AD$78,Transform!$AE$52:$AE$78,$B108))</f>
        <v>1.6626478537622422</v>
      </c>
      <c r="R108" s="85">
        <f>IF(Transform!AG$50="",0,CUBIC(Transform!$AF$52:$AF$78,Transform!$AG$52:$AG$78,$B108))</f>
        <v>1.5450167846183485</v>
      </c>
      <c r="S108" s="85">
        <f>IF(Transform!AI$50="",0,CUBIC(Transform!$AH$52:$AH$78,Transform!$AI$52:$AI$78,$B108))</f>
        <v>1.3099997814342215</v>
      </c>
      <c r="T108" s="85">
        <f>IF(Transform!AK$50="",0,CUBIC(Transform!$AJ$52:$AJ$78,Transform!$AK$52:$AK$78,$B108))</f>
        <v>0.95791329868891972</v>
      </c>
      <c r="U108" s="85">
        <f>IF(Transform!AM$50="",0,CUBIC(Transform!$AL$52:$AL$78,Transform!$AM$52:$AM$78,$B108))</f>
        <v>0.49933715442486742</v>
      </c>
      <c r="V108" s="85">
        <f>IF(Transform!AO$50="",0,CUBIC(Transform!$AN$52:$AN$78,Transform!$AO$52:$AO$78,$B108))</f>
        <v>0.11107250828649644</v>
      </c>
      <c r="W108" s="85">
        <f>IF(Transform!AQ$50="",0,CUBIC(Transform!$AP$52:$AP$78,Transform!$AQ$52:$AQ$78,$B108))</f>
        <v>0</v>
      </c>
    </row>
    <row r="109" spans="1:23" ht="13.5" thickBot="1" x14ac:dyDescent="0.25">
      <c r="A109" s="82">
        <f t="shared" si="24"/>
        <v>24</v>
      </c>
      <c r="B109" s="140">
        <f>Transform!$E$46*Transform!A109/Transform!$A$109</f>
        <v>1.75</v>
      </c>
      <c r="C109" s="214">
        <f>IF(Transform!C$50="",0,CUBIC(Transform!B$52:B$78,Transform!C$52:C$78,B109))</f>
        <v>1.1654054054054053</v>
      </c>
      <c r="D109" s="85">
        <f>IF(Transform!E$50="",0,CUBIC(Transform!$D$52:$D$78,Transform!$E$52:$E$78,$B109))</f>
        <v>1.4529729729729728</v>
      </c>
      <c r="E109" s="85">
        <f>IF(Transform!G$50="",0,CUBIC(Transform!$F$52:$F$78,Transform!$G$52:$G$78,$B109))</f>
        <v>1.6232432432432431</v>
      </c>
      <c r="F109" s="85">
        <f>IF(Transform!I$50="",0,CUBIC(Transform!$H$52:$H$78,Transform!$I$52:$I$78,$B109))</f>
        <v>1.68</v>
      </c>
      <c r="G109" s="85">
        <f>IF(Transform!K$50="",0,CUBIC(Transform!$J$52:$J$78,Transform!$K$52:$K$78,$B109))</f>
        <v>1.7027027027027026</v>
      </c>
      <c r="H109" s="85">
        <f>IF(Transform!M$50="",0,CUBIC(Transform!$L$52:$L$78,Transform!$M$52:$M$78,$B109))</f>
        <v>1.7027027027027026</v>
      </c>
      <c r="I109" s="85">
        <f>IF(Transform!O$50="",0,CUBIC(Transform!$N$52:$N$78,Transform!$O$52:$O$78,$B109))</f>
        <v>1.7027027027027026</v>
      </c>
      <c r="J109" s="85">
        <f>IF(Transform!Q$50="",0,CUBIC(Transform!$P$52:$P$78,Transform!$Q$52:$Q$78,$B109))</f>
        <v>1.7027027027027026</v>
      </c>
      <c r="K109" s="85">
        <f>IF(Transform!S$50="",0,CUBIC(Transform!$R$52:$R$78,Transform!$S$52:$S$78,$B109))</f>
        <v>1.7027027027027026</v>
      </c>
      <c r="L109" s="85">
        <f>IF(Transform!U$50="",0,CUBIC(Transform!$T$52:$T$78,Transform!$U$52:$U$78,$B109))</f>
        <v>1.7027027027027026</v>
      </c>
      <c r="M109" s="85">
        <f>IF(Transform!W$50="",0,CUBIC(Transform!$V$52:$V$78,Transform!$W$52:$W$78,$B109))</f>
        <v>1.7027027027027026</v>
      </c>
      <c r="N109" s="85">
        <f>IF(Transform!Y$50="",0,CUBIC(Transform!$X$52:$X$78,Transform!$Y$52:$Y$78,$B109))</f>
        <v>1.7027027027027026</v>
      </c>
      <c r="O109" s="85">
        <f>IF(Transform!AA$50="",0,CUBIC(Transform!$Z$52:$Z$78,Transform!$AA$52:$AA$78,$B109))</f>
        <v>1.7027027027027026</v>
      </c>
      <c r="P109" s="85">
        <f>IF(Transform!AC$50="",0,CUBIC(Transform!$AB$52:$AB$78,Transform!$AC$52:$AC$78,$B109))</f>
        <v>1.7027027027027026</v>
      </c>
      <c r="Q109" s="85">
        <f>IF(Transform!AE$50="",0,CUBIC(Transform!$AD$52:$AD$78,Transform!$AE$52:$AE$78,$B109))</f>
        <v>1.6648648648648647</v>
      </c>
      <c r="R109" s="85">
        <f>IF(Transform!AG$50="",0,CUBIC(Transform!$AF$52:$AF$78,Transform!$AG$52:$AG$78,$B109))</f>
        <v>1.5437837837837836</v>
      </c>
      <c r="S109" s="85">
        <f>IF(Transform!AI$50="",0,CUBIC(Transform!$AH$52:$AH$78,Transform!$AI$52:$AI$78,$B109))</f>
        <v>1.3091891891891889</v>
      </c>
      <c r="T109" s="85">
        <f>IF(Transform!AK$50="",0,CUBIC(Transform!$AJ$52:$AJ$78,Transform!$AK$52:$AK$78,$B109))</f>
        <v>0.95729729729729707</v>
      </c>
      <c r="U109" s="85">
        <f>IF(Transform!AM$50="",0,CUBIC(Transform!$AL$52:$AL$78,Transform!$AM$52:$AM$78,$B109))</f>
        <v>0.49945945945945941</v>
      </c>
      <c r="V109" s="85">
        <f>IF(Transform!AO$50="",0,CUBIC(Transform!$AN$52:$AN$78,Transform!$AO$52:$AO$78,$B109))</f>
        <v>9.8378378378378373E-2</v>
      </c>
      <c r="W109" s="85">
        <f>IF(Transform!AQ$50="",0,CUBIC(Transform!$AP$52:$AP$78,Transform!$AQ$52:$AQ$78,$B109))</f>
        <v>0</v>
      </c>
    </row>
    <row r="110" spans="1:23" x14ac:dyDescent="0.2">
      <c r="A110" s="67"/>
      <c r="B110" s="19"/>
      <c r="C110" s="19"/>
      <c r="D110" s="19"/>
      <c r="E110" s="19"/>
      <c r="F110" s="19"/>
      <c r="G110" s="19"/>
      <c r="H110" s="19"/>
      <c r="I110" s="19"/>
      <c r="J110" s="19"/>
      <c r="K110" s="19"/>
      <c r="L110" s="19"/>
      <c r="M110" s="19"/>
      <c r="N110" s="19"/>
      <c r="O110" s="19"/>
      <c r="P110" s="19"/>
      <c r="Q110" s="19"/>
      <c r="R110" s="19"/>
      <c r="S110" s="19"/>
      <c r="T110" s="19"/>
      <c r="U110" s="19"/>
      <c r="V110" s="19"/>
    </row>
    <row r="112" spans="1:23" x14ac:dyDescent="0.2">
      <c r="A112" s="84" t="s">
        <v>11</v>
      </c>
    </row>
    <row r="113" spans="1:24" ht="13.5" thickBot="1" x14ac:dyDescent="0.25"/>
    <row r="114" spans="1:24" x14ac:dyDescent="0.2">
      <c r="A114" s="86"/>
      <c r="B114" s="87"/>
      <c r="C114" s="72">
        <v>21</v>
      </c>
      <c r="D114" s="72">
        <f>C114-1</f>
        <v>20</v>
      </c>
      <c r="E114" s="72">
        <f t="shared" ref="E114:V114" si="25">D114-1</f>
        <v>19</v>
      </c>
      <c r="F114" s="72">
        <f t="shared" si="25"/>
        <v>18</v>
      </c>
      <c r="G114" s="72">
        <f t="shared" si="25"/>
        <v>17</v>
      </c>
      <c r="H114" s="72">
        <f t="shared" si="25"/>
        <v>16</v>
      </c>
      <c r="I114" s="72">
        <f t="shared" si="25"/>
        <v>15</v>
      </c>
      <c r="J114" s="72">
        <f t="shared" si="25"/>
        <v>14</v>
      </c>
      <c r="K114" s="72">
        <f t="shared" si="25"/>
        <v>13</v>
      </c>
      <c r="L114" s="72">
        <f t="shared" si="25"/>
        <v>12</v>
      </c>
      <c r="M114" s="72">
        <f t="shared" si="25"/>
        <v>11</v>
      </c>
      <c r="N114" s="72">
        <f t="shared" si="25"/>
        <v>10</v>
      </c>
      <c r="O114" s="72">
        <f t="shared" si="25"/>
        <v>9</v>
      </c>
      <c r="P114" s="72">
        <f t="shared" si="25"/>
        <v>8</v>
      </c>
      <c r="Q114" s="72">
        <f t="shared" si="25"/>
        <v>7</v>
      </c>
      <c r="R114" s="72">
        <f t="shared" si="25"/>
        <v>6</v>
      </c>
      <c r="S114" s="72">
        <f t="shared" si="25"/>
        <v>5</v>
      </c>
      <c r="T114" s="72">
        <f t="shared" si="25"/>
        <v>4</v>
      </c>
      <c r="U114" s="72">
        <f t="shared" si="25"/>
        <v>3</v>
      </c>
      <c r="V114" s="72">
        <f t="shared" si="25"/>
        <v>2</v>
      </c>
      <c r="W114" s="73">
        <v>1</v>
      </c>
    </row>
    <row r="115" spans="1:24" x14ac:dyDescent="0.2">
      <c r="A115" s="88" t="s">
        <v>53</v>
      </c>
      <c r="B115" s="56" t="s">
        <v>54</v>
      </c>
      <c r="C115" s="85">
        <v>0</v>
      </c>
      <c r="D115" s="85">
        <f t="shared" ref="D115:V115" si="26">C115+$W$115/20</f>
        <v>0.86</v>
      </c>
      <c r="E115" s="85">
        <f t="shared" si="26"/>
        <v>1.72</v>
      </c>
      <c r="F115" s="85">
        <f t="shared" si="26"/>
        <v>2.58</v>
      </c>
      <c r="G115" s="85">
        <f t="shared" si="26"/>
        <v>3.44</v>
      </c>
      <c r="H115" s="85">
        <f t="shared" si="26"/>
        <v>4.3</v>
      </c>
      <c r="I115" s="85">
        <f t="shared" si="26"/>
        <v>5.16</v>
      </c>
      <c r="J115" s="85">
        <f t="shared" si="26"/>
        <v>6.0200000000000005</v>
      </c>
      <c r="K115" s="85">
        <f t="shared" si="26"/>
        <v>6.8800000000000008</v>
      </c>
      <c r="L115" s="85">
        <f>K115+$W$115/20</f>
        <v>7.7400000000000011</v>
      </c>
      <c r="M115" s="85">
        <f t="shared" si="26"/>
        <v>8.6000000000000014</v>
      </c>
      <c r="N115" s="85">
        <f t="shared" si="26"/>
        <v>9.4600000000000009</v>
      </c>
      <c r="O115" s="85">
        <f t="shared" si="26"/>
        <v>10.32</v>
      </c>
      <c r="P115" s="85">
        <f t="shared" si="26"/>
        <v>11.18</v>
      </c>
      <c r="Q115" s="85">
        <f t="shared" si="26"/>
        <v>12.04</v>
      </c>
      <c r="R115" s="85">
        <f t="shared" si="26"/>
        <v>12.899999999999999</v>
      </c>
      <c r="S115" s="85">
        <f t="shared" si="26"/>
        <v>13.759999999999998</v>
      </c>
      <c r="T115" s="85">
        <f t="shared" si="26"/>
        <v>14.619999999999997</v>
      </c>
      <c r="U115" s="85">
        <f t="shared" si="26"/>
        <v>15.479999999999997</v>
      </c>
      <c r="V115" s="85">
        <f t="shared" si="26"/>
        <v>16.339999999999996</v>
      </c>
      <c r="W115" s="137">
        <f>LWL</f>
        <v>17.2</v>
      </c>
    </row>
    <row r="116" spans="1:24" x14ac:dyDescent="0.2">
      <c r="A116" s="80">
        <f>$A$85</f>
        <v>0</v>
      </c>
      <c r="B116" s="85">
        <f>$B$85</f>
        <v>0</v>
      </c>
      <c r="C116" s="85">
        <f t="shared" ref="C116:W116" si="27">CUBIC($C$84:$W$84,$C85:$W85,C115)</f>
        <v>0</v>
      </c>
      <c r="D116" s="85">
        <f t="shared" si="27"/>
        <v>-2.3293446324389832E-19</v>
      </c>
      <c r="E116" s="85">
        <f t="shared" si="27"/>
        <v>1.3077022497903044E-18</v>
      </c>
      <c r="F116" s="85">
        <f t="shared" si="27"/>
        <v>0</v>
      </c>
      <c r="G116" s="85">
        <f t="shared" si="27"/>
        <v>0</v>
      </c>
      <c r="H116" s="85">
        <f t="shared" si="27"/>
        <v>6.0540540540540533E-2</v>
      </c>
      <c r="I116" s="85">
        <f t="shared" si="27"/>
        <v>6.0540540540540526E-2</v>
      </c>
      <c r="J116" s="85">
        <f t="shared" si="27"/>
        <v>6.0540540540540533E-2</v>
      </c>
      <c r="K116" s="85">
        <f t="shared" si="27"/>
        <v>6.0540540540540533E-2</v>
      </c>
      <c r="L116" s="85">
        <f t="shared" si="27"/>
        <v>6.0540540540540533E-2</v>
      </c>
      <c r="M116" s="85">
        <f t="shared" si="27"/>
        <v>6.0540540540540533E-2</v>
      </c>
      <c r="N116" s="85">
        <f t="shared" si="27"/>
        <v>6.0540540540540533E-2</v>
      </c>
      <c r="O116" s="85">
        <f t="shared" si="27"/>
        <v>6.0540540540540526E-2</v>
      </c>
      <c r="P116" s="85">
        <f t="shared" si="27"/>
        <v>6.0540540540540554E-2</v>
      </c>
      <c r="Q116" s="85">
        <f t="shared" si="27"/>
        <v>6.0540540540540533E-2</v>
      </c>
      <c r="R116" s="85">
        <f t="shared" si="27"/>
        <v>0</v>
      </c>
      <c r="S116" s="85">
        <f>CUBIC($C$84:$W$84,$C85:$W85,S115)</f>
        <v>0</v>
      </c>
      <c r="T116" s="85">
        <f t="shared" si="27"/>
        <v>0</v>
      </c>
      <c r="U116" s="85">
        <f t="shared" si="27"/>
        <v>-1.4957604455816942E-18</v>
      </c>
      <c r="V116" s="85">
        <f t="shared" si="27"/>
        <v>8.8092187296520665E-19</v>
      </c>
      <c r="W116" s="137">
        <f t="shared" si="27"/>
        <v>0</v>
      </c>
      <c r="X116" s="4">
        <f>B116</f>
        <v>0</v>
      </c>
    </row>
    <row r="117" spans="1:24" x14ac:dyDescent="0.2">
      <c r="A117" s="80">
        <f>$A$86</f>
        <v>1</v>
      </c>
      <c r="B117" s="85">
        <f>$B$86</f>
        <v>7.2916666666666671E-2</v>
      </c>
      <c r="C117" s="85">
        <f>CUBIC($C$84:$W$84,$C$86:$W$86,C115)</f>
        <v>7.029973018428768E-5</v>
      </c>
      <c r="D117" s="85">
        <f>CUBIC($C$84:$W$84,$C$86:$W$86,D115)</f>
        <v>3.1061674659347622E-4</v>
      </c>
      <c r="E117" s="85">
        <f>CUBIC($C$84:$W$84,$C$86:$W$86,E115)</f>
        <v>3.9757065496441238E-4</v>
      </c>
      <c r="F117" s="85">
        <f>CUBIC($C$84:$W$84,$C$86:$W$86,F115)</f>
        <v>-5.4460663919468424E-3</v>
      </c>
      <c r="G117" s="85">
        <f>CUBIC($C$84:$W$84,$C$86:$W$86,G115)</f>
        <v>4.1675724515099224E-2</v>
      </c>
      <c r="H117" s="85">
        <f>CUBIC($C$84:$W$84,$C$86:$W$86,H115)</f>
        <v>6.4790346219262746E-2</v>
      </c>
      <c r="I117" s="85">
        <f>CUBIC($C$84:$W$84,$C$86:$W$86,I115)</f>
        <v>6.8138131398385843E-2</v>
      </c>
      <c r="J117" s="85">
        <f>CUBIC($C$84:$W$84,$C$86:$W$86,J115)</f>
        <v>6.8078919649115929E-2</v>
      </c>
      <c r="K117" s="85">
        <f>CUBIC($C$84:$W$84,$C$86:$W$86,K115)</f>
        <v>6.8078261599640949E-2</v>
      </c>
      <c r="L117" s="85">
        <f>CUBIC($C$84:$W$84,$C$86:$W$86,L115)</f>
        <v>6.8106169683771034E-2</v>
      </c>
      <c r="M117" s="85">
        <f>CUBIC($C$84:$W$84,$C$86:$W$86,M115)</f>
        <v>6.8121904317421697E-2</v>
      </c>
      <c r="N117" s="85">
        <f>CUBIC($C$84:$W$84,$C$86:$W$86,N115)</f>
        <v>6.8106169683771034E-2</v>
      </c>
      <c r="O117" s="85">
        <f>CUBIC($C$84:$W$84,$C$86:$W$86,O115)</f>
        <v>6.8078261599640949E-2</v>
      </c>
      <c r="P117" s="85">
        <f>CUBIC($C$84:$W$84,$C$86:$W$86,P115)</f>
        <v>6.8078919649115929E-2</v>
      </c>
      <c r="Q117" s="85">
        <f>CUBIC($C$84:$W$84,$C$86:$W$86,Q115)</f>
        <v>6.7496534546662976E-2</v>
      </c>
      <c r="R117" s="85">
        <f>CUBIC($C$84:$W$84,$C$86:$W$86,R115)</f>
        <v>3.7407966633995086E-2</v>
      </c>
      <c r="S117" s="85">
        <f>CUBIC($C$84:$W$84,$C$86:$W$86,S115)</f>
        <v>-6.2632566089643122E-3</v>
      </c>
      <c r="T117" s="85">
        <f>CUBIC($C$84:$W$84,$C$86:$W$86,T115)</f>
        <v>1.5743618238699288E-4</v>
      </c>
      <c r="U117" s="85">
        <f>CUBIC($C$84:$W$84,$C$86:$W$86,U115)</f>
        <v>8.4468162950232701E-4</v>
      </c>
      <c r="V117" s="85">
        <f>CUBIC($C$84:$W$84,$C$86:$W$86,V115)</f>
        <v>-3.6445738734696716E-4</v>
      </c>
      <c r="W117" s="137">
        <f>CUBIC($C$84:$W$84,$C$86:$W$86,W115)</f>
        <v>0</v>
      </c>
      <c r="X117" s="4">
        <f t="shared" ref="X117:X140" si="28">B117</f>
        <v>7.2916666666666671E-2</v>
      </c>
    </row>
    <row r="118" spans="1:24" x14ac:dyDescent="0.2">
      <c r="A118" s="80">
        <f>$A$87</f>
        <v>2</v>
      </c>
      <c r="B118" s="85">
        <f>$B$87</f>
        <v>0.14583333333333334</v>
      </c>
      <c r="C118" s="85">
        <f>CUBIC($C$84:$W$84,$C$87:$W$87,C115)</f>
        <v>4.5504712752921032E-5</v>
      </c>
      <c r="D118" s="85">
        <f>CUBIC($C$84:$W$84,$C$87:$W$87,D115)</f>
        <v>5.8324348922286002E-5</v>
      </c>
      <c r="E118" s="85">
        <f>CUBIC($C$84:$W$84,$C$87:$W$87,E115)</f>
        <v>-1.8936446786681414E-4</v>
      </c>
      <c r="F118" s="85">
        <f>CUBIC($C$84:$W$84,$C$87:$W$87,F115)</f>
        <v>8.0324163214880902E-3</v>
      </c>
      <c r="G118" s="85">
        <f>CUBIC($C$84:$W$84,$C$87:$W$87,G115)</f>
        <v>6.9998678635844927E-2</v>
      </c>
      <c r="H118" s="85">
        <f>CUBIC($C$84:$W$84,$C$87:$W$87,H115)</f>
        <v>8.5690606001584665E-2</v>
      </c>
      <c r="I118" s="85">
        <f>CUBIC($C$84:$W$84,$C$87:$W$87,I115)</f>
        <v>8.18322262182892E-2</v>
      </c>
      <c r="J118" s="85">
        <f>CUBIC($C$84:$W$84,$C$87:$W$87,J115)</f>
        <v>9.4436556234972061E-2</v>
      </c>
      <c r="K118" s="85">
        <f>CUBIC($C$84:$W$84,$C$87:$W$87,K115)</f>
        <v>0.10749448811764979</v>
      </c>
      <c r="L118" s="85">
        <f>CUBIC($C$84:$W$84,$C$87:$W$87,L115)</f>
        <v>0.11742672452863331</v>
      </c>
      <c r="M118" s="85">
        <f>CUBIC($C$84:$W$84,$C$87:$W$87,M115)</f>
        <v>0.12114502243749126</v>
      </c>
      <c r="N118" s="85">
        <f>CUBIC($C$84:$W$84,$C$87:$W$87,N115)</f>
        <v>0.11742672452863323</v>
      </c>
      <c r="O118" s="85">
        <f>CUBIC($C$84:$W$84,$C$87:$W$87,O115)</f>
        <v>0.10749448811764978</v>
      </c>
      <c r="P118" s="85">
        <f>CUBIC($C$84:$W$84,$C$87:$W$87,P115)</f>
        <v>9.4436556234972102E-2</v>
      </c>
      <c r="Q118" s="85">
        <f>CUBIC($C$84:$W$84,$C$87:$W$87,Q115)</f>
        <v>8.550495552168047E-2</v>
      </c>
      <c r="R118" s="85">
        <f>CUBIC($C$84:$W$84,$C$87:$W$87,R115)</f>
        <v>5.9444886128064284E-2</v>
      </c>
      <c r="S118" s="85">
        <f>CUBIC($C$84:$W$84,$C$87:$W$87,S115)</f>
        <v>1.8818400496165788E-2</v>
      </c>
      <c r="T118" s="85">
        <f>CUBIC($C$84:$W$84,$C$87:$W$87,T115)</f>
        <v>-3.4250651196698553E-5</v>
      </c>
      <c r="U118" s="85">
        <f>CUBIC($C$84:$W$84,$C$87:$W$87,U115)</f>
        <v>-4.0232518494579542E-4</v>
      </c>
      <c r="V118" s="85">
        <f>CUBIC($C$84:$W$84,$C$87:$W$87,V115)</f>
        <v>-6.8433978721530131E-5</v>
      </c>
      <c r="W118" s="137">
        <f>CUBIC($C$84:$W$84,$C$87:$W$87,W115)</f>
        <v>0</v>
      </c>
      <c r="X118" s="4">
        <f t="shared" si="28"/>
        <v>0.14583333333333334</v>
      </c>
    </row>
    <row r="119" spans="1:24" x14ac:dyDescent="0.2">
      <c r="A119" s="80">
        <f>$A$88</f>
        <v>3</v>
      </c>
      <c r="B119" s="85">
        <f>$B$88</f>
        <v>0.21875</v>
      </c>
      <c r="C119" s="85">
        <f>CUBIC($C$84:$W$84,$C$88:$W$88,C115)</f>
        <v>-1.4106137723678369E-4</v>
      </c>
      <c r="D119" s="85">
        <f>CUBIC($C$84:$W$84,$C$88:$W$88,D115)</f>
        <v>-8.873256491634127E-4</v>
      </c>
      <c r="E119" s="85">
        <f>CUBIC($C$84:$W$84,$C$88:$W$88,E115)</f>
        <v>-1.3270633097472095E-3</v>
      </c>
      <c r="F119" s="85">
        <f>CUBIC($C$84:$W$84,$C$88:$W$88,F115)</f>
        <v>5.0286595397915627E-2</v>
      </c>
      <c r="G119" s="85">
        <f>CUBIC($C$84:$W$84,$C$88:$W$88,G115)</f>
        <v>0.12566762277574772</v>
      </c>
      <c r="H119" s="85">
        <f>CUBIC($C$84:$W$84,$C$88:$W$88,H115)</f>
        <v>0.19573964371753436</v>
      </c>
      <c r="I119" s="85">
        <f>CUBIC($C$84:$W$84,$C$88:$W$88,I115)</f>
        <v>0.27815775832931777</v>
      </c>
      <c r="J119" s="85">
        <f>CUBIC($C$84:$W$84,$C$88:$W$88,J115)</f>
        <v>0.34654473172219846</v>
      </c>
      <c r="K119" s="85">
        <f>CUBIC($C$84:$W$84,$C$88:$W$88,K115)</f>
        <v>0.40244371973608384</v>
      </c>
      <c r="L119" s="85">
        <f>CUBIC($C$84:$W$84,$C$88:$W$88,L115)</f>
        <v>0.43862216627486889</v>
      </c>
      <c r="M119" s="85">
        <f>CUBIC($C$84:$W$84,$C$88:$W$88,M115)</f>
        <v>0.4510917941647451</v>
      </c>
      <c r="N119" s="85">
        <f>CUBIC($C$84:$W$84,$C$88:$W$88,N115)</f>
        <v>0.43862216627486883</v>
      </c>
      <c r="O119" s="85">
        <f>CUBIC($C$84:$W$84,$C$88:$W$88,O115)</f>
        <v>0.40244371973608345</v>
      </c>
      <c r="P119" s="85">
        <f>CUBIC($C$84:$W$84,$C$88:$W$88,P115)</f>
        <v>0.34654473172219813</v>
      </c>
      <c r="Q119" s="85">
        <f>CUBIC($C$84:$W$84,$C$88:$W$88,Q115)</f>
        <v>0.26963065755325905</v>
      </c>
      <c r="R119" s="85">
        <f>CUBIC($C$84:$W$84,$C$88:$W$88,R115)</f>
        <v>0.15688569574851394</v>
      </c>
      <c r="S119" s="85">
        <f>CUBIC($C$84:$W$84,$C$88:$W$88,S115)</f>
        <v>8.8969103013508008E-2</v>
      </c>
      <c r="T119" s="85">
        <f>CUBIC($C$84:$W$84,$C$88:$W$88,T115)</f>
        <v>9.6569974918407769E-3</v>
      </c>
      <c r="U119" s="85">
        <f>CUBIC($C$84:$W$84,$C$88:$W$88,U115)</f>
        <v>-2.8194887749709648E-3</v>
      </c>
      <c r="V119" s="85">
        <f>CUBIC($C$84:$W$84,$C$88:$W$88,V115)</f>
        <v>1.0411299177094659E-3</v>
      </c>
      <c r="W119" s="137">
        <f>CUBIC($C$84:$W$84,$C$88:$W$88,W115)</f>
        <v>0</v>
      </c>
      <c r="X119" s="4">
        <f t="shared" si="28"/>
        <v>0.21875</v>
      </c>
    </row>
    <row r="120" spans="1:24" x14ac:dyDescent="0.2">
      <c r="A120" s="80">
        <f>$A$89</f>
        <v>4</v>
      </c>
      <c r="B120" s="85">
        <f>$B$89</f>
        <v>0.29166666666666669</v>
      </c>
      <c r="C120" s="85">
        <f>CUBIC($C$84:$W$84,$C$89:$W$89,C115)</f>
        <v>-2.2798392806550562E-4</v>
      </c>
      <c r="D120" s="85">
        <f>CUBIC($C$84:$W$84,$C$89:$W$89,D115)</f>
        <v>-4.8061538914967369E-4</v>
      </c>
      <c r="E120" s="85">
        <f>CUBIC($C$84:$W$84,$C$89:$W$89,E115)</f>
        <v>1.0718668149196713E-3</v>
      </c>
      <c r="F120" s="85">
        <f>CUBIC($C$84:$W$84,$C$89:$W$89,F115)</f>
        <v>0.11863826901878188</v>
      </c>
      <c r="G120" s="85">
        <f>CUBIC($C$84:$W$84,$C$89:$W$89,G115)</f>
        <v>0.27944134556272426</v>
      </c>
      <c r="H120" s="85">
        <f>CUBIC($C$84:$W$84,$C$89:$W$89,H115)</f>
        <v>0.44126856955001215</v>
      </c>
      <c r="I120" s="85">
        <f>CUBIC($C$84:$W$84,$C$89:$W$89,I115)</f>
        <v>0.66224710264727127</v>
      </c>
      <c r="J120" s="85">
        <f>CUBIC($C$84:$W$84,$C$89:$W$89,J115)</f>
        <v>0.74351070066726566</v>
      </c>
      <c r="K120" s="85">
        <f>CUBIC($C$84:$W$84,$C$89:$W$89,K115)</f>
        <v>0.79799440539475264</v>
      </c>
      <c r="L120" s="85">
        <f>CUBIC($C$84:$W$84,$C$89:$W$89,L115)</f>
        <v>0.8288489942985563</v>
      </c>
      <c r="M120" s="85">
        <f>CUBIC($C$84:$W$84,$C$89:$W$89,M115)</f>
        <v>0.8388137482582545</v>
      </c>
      <c r="N120" s="85">
        <f>CUBIC($C$84:$W$84,$C$89:$W$89,N115)</f>
        <v>0.82884899429855619</v>
      </c>
      <c r="O120" s="85">
        <f>CUBIC($C$84:$W$84,$C$89:$W$89,O115)</f>
        <v>0.7979944053947523</v>
      </c>
      <c r="P120" s="85">
        <f>CUBIC($C$84:$W$84,$C$89:$W$89,P115)</f>
        <v>0.7435107006672651</v>
      </c>
      <c r="Q120" s="85">
        <f>CUBIC($C$84:$W$84,$C$89:$W$89,Q115)</f>
        <v>0.62254942062763297</v>
      </c>
      <c r="R120" s="85">
        <f>CUBIC($C$84:$W$84,$C$89:$W$89,R115)</f>
        <v>0.40181434545186706</v>
      </c>
      <c r="S120" s="85">
        <f>CUBIC($C$84:$W$84,$C$89:$W$89,S115)</f>
        <v>0.20239743887817427</v>
      </c>
      <c r="T120" s="85">
        <f>CUBIC($C$84:$W$84,$C$89:$W$89,T115)</f>
        <v>5.3846454700269955E-2</v>
      </c>
      <c r="U120" s="85">
        <f>CUBIC($C$84:$W$84,$C$89:$W$89,U115)</f>
        <v>2.2138808852601019E-3</v>
      </c>
      <c r="V120" s="85">
        <f>CUBIC($C$84:$W$84,$C$89:$W$89,V115)</f>
        <v>5.6392268275695884E-4</v>
      </c>
      <c r="W120" s="137">
        <f>CUBIC($C$84:$W$84,$C$89:$W$89,W115)</f>
        <v>0</v>
      </c>
      <c r="X120" s="4">
        <f t="shared" si="28"/>
        <v>0.29166666666666669</v>
      </c>
    </row>
    <row r="121" spans="1:24" x14ac:dyDescent="0.2">
      <c r="A121" s="80">
        <f>$A$90</f>
        <v>5</v>
      </c>
      <c r="B121" s="85">
        <f>$B$90</f>
        <v>0.36458333333333331</v>
      </c>
      <c r="C121" s="85">
        <f>CUBIC($C$84:$W$84,$C$90:$W$90,C115)</f>
        <v>2.4217213094836044E-4</v>
      </c>
      <c r="D121" s="85">
        <f>CUBIC($C$84:$W$84,$C$90:$W$90,D115)</f>
        <v>2.9130516895191352E-3</v>
      </c>
      <c r="E121" s="85">
        <f>CUBIC($C$84:$W$84,$C$90:$W$90,E115)</f>
        <v>1.6723413614413898E-2</v>
      </c>
      <c r="F121" s="85">
        <f>CUBIC($C$84:$W$84,$C$90:$W$90,F115)</f>
        <v>0.22216267313616767</v>
      </c>
      <c r="G121" s="85">
        <f>CUBIC($C$84:$W$84,$C$90:$W$90,G115)</f>
        <v>0.49487877889576848</v>
      </c>
      <c r="H121" s="85">
        <f>CUBIC($C$84:$W$84,$C$90:$W$90,H115)</f>
        <v>0.72107362584788315</v>
      </c>
      <c r="I121" s="85">
        <f>CUBIC($C$84:$W$84,$C$90:$W$90,I115)</f>
        <v>0.93954429548007412</v>
      </c>
      <c r="J121" s="85">
        <f>CUBIC($C$84:$W$84,$C$90:$W$90,J115)</f>
        <v>0.98582148937437197</v>
      </c>
      <c r="K121" s="85">
        <f>CUBIC($C$84:$W$84,$C$90:$W$90,K115)</f>
        <v>1.0153927604163706</v>
      </c>
      <c r="L121" s="85">
        <f>CUBIC($C$84:$W$84,$C$90:$W$90,L115)</f>
        <v>1.0318702834087272</v>
      </c>
      <c r="M121" s="85">
        <f>CUBIC($C$84:$W$84,$C$90:$W$90,M115)</f>
        <v>1.0371723138628222</v>
      </c>
      <c r="N121" s="85">
        <f>CUBIC($C$84:$W$84,$C$90:$W$90,N115)</f>
        <v>1.0318702834087272</v>
      </c>
      <c r="O121" s="85">
        <f>CUBIC($C$84:$W$84,$C$90:$W$90,O115)</f>
        <v>1.0153927604163704</v>
      </c>
      <c r="P121" s="85">
        <f>CUBIC($C$84:$W$84,$C$90:$W$90,P115)</f>
        <v>0.98582148937437153</v>
      </c>
      <c r="Q121" s="85">
        <f>CUBIC($C$84:$W$84,$C$90:$W$90,Q115)</f>
        <v>0.88456565466551218</v>
      </c>
      <c r="R121" s="85">
        <f>CUBIC($C$84:$W$84,$C$90:$W$90,R115)</f>
        <v>0.66169243375527997</v>
      </c>
      <c r="S121" s="85">
        <f>CUBIC($C$84:$W$84,$C$90:$W$90,S115)</f>
        <v>0.3613220076300015</v>
      </c>
      <c r="T121" s="85">
        <f>CUBIC($C$84:$W$84,$C$90:$W$90,T115)</f>
        <v>0.13977957330905683</v>
      </c>
      <c r="U121" s="85">
        <f>CUBIC($C$84:$W$84,$C$90:$W$90,U115)</f>
        <v>2.4243016775146575E-2</v>
      </c>
      <c r="V121" s="85">
        <f>CUBIC($C$84:$W$84,$C$90:$W$90,V115)</f>
        <v>-3.4179844442138348E-3</v>
      </c>
      <c r="W121" s="137">
        <f>CUBIC($C$84:$W$84,$C$90:$W$90,W115)</f>
        <v>0</v>
      </c>
      <c r="X121" s="4">
        <f t="shared" si="28"/>
        <v>0.36458333333333331</v>
      </c>
    </row>
    <row r="122" spans="1:24" x14ac:dyDescent="0.2">
      <c r="A122" s="80">
        <f>$A$91</f>
        <v>6</v>
      </c>
      <c r="B122" s="85">
        <f>$B$91</f>
        <v>0.4375</v>
      </c>
      <c r="C122" s="85">
        <f>CUBIC($C$84:$W$84,$C$91:$W$91,C115)</f>
        <v>8.7922103124886799E-4</v>
      </c>
      <c r="D122" s="85">
        <f>CUBIC($C$84:$W$84,$C$91:$W$91,D115)</f>
        <v>2.8706344946735829E-3</v>
      </c>
      <c r="E122" s="85">
        <f>CUBIC($C$84:$W$84,$C$91:$W$91,E115)</f>
        <v>6.6092374718647331E-2</v>
      </c>
      <c r="F122" s="85">
        <f>CUBIC($C$84:$W$84,$C$91:$W$91,F115)</f>
        <v>0.37704805461013574</v>
      </c>
      <c r="G122" s="85">
        <f>CUBIC($C$84:$W$84,$C$91:$W$91,G115)</f>
        <v>0.71088163073820609</v>
      </c>
      <c r="H122" s="85">
        <f>CUBIC($C$84:$W$84,$C$91:$W$91,H115)</f>
        <v>0.95593256943324056</v>
      </c>
      <c r="I122" s="85">
        <f>CUBIC($C$84:$W$84,$C$91:$W$91,I115)</f>
        <v>1.0846019126938546</v>
      </c>
      <c r="J122" s="85">
        <f>CUBIC($C$84:$W$84,$C$91:$W$91,J115)</f>
        <v>1.1164388120973254</v>
      </c>
      <c r="K122" s="85">
        <f>CUBIC($C$84:$W$84,$C$91:$W$91,K115)</f>
        <v>1.1389858130574113</v>
      </c>
      <c r="L122" s="85">
        <f>CUBIC($C$84:$W$84,$C$91:$W$91,L115)</f>
        <v>1.1524260379820059</v>
      </c>
      <c r="M122" s="85">
        <f>CUBIC($C$84:$W$84,$C$91:$W$91,M115)</f>
        <v>1.1568901428698595</v>
      </c>
      <c r="N122" s="85">
        <f>CUBIC($C$84:$W$84,$C$91:$W$91,N115)</f>
        <v>1.1524260379820059</v>
      </c>
      <c r="O122" s="85">
        <f>CUBIC($C$84:$W$84,$C$91:$W$91,O115)</f>
        <v>1.1389858130574111</v>
      </c>
      <c r="P122" s="85">
        <f>CUBIC($C$84:$W$84,$C$91:$W$91,P115)</f>
        <v>1.1164388120973252</v>
      </c>
      <c r="Q122" s="85">
        <f>CUBIC($C$84:$W$84,$C$91:$W$91,Q115)</f>
        <v>1.0314147987778595</v>
      </c>
      <c r="R122" s="85">
        <f>CUBIC($C$84:$W$84,$C$91:$W$91,R115)</f>
        <v>0.85575239242427181</v>
      </c>
      <c r="S122" s="85">
        <f>CUBIC($C$84:$W$84,$C$91:$W$91,S115)</f>
        <v>0.55344145064147243</v>
      </c>
      <c r="T122" s="85">
        <f>CUBIC($C$84:$W$84,$C$91:$W$91,T115)</f>
        <v>0.25834313569862294</v>
      </c>
      <c r="U122" s="85">
        <f>CUBIC($C$84:$W$84,$C$91:$W$91,U115)</f>
        <v>7.2166917456874591E-2</v>
      </c>
      <c r="V122" s="85">
        <f>CUBIC($C$84:$W$84,$C$91:$W$91,V115)</f>
        <v>-3.3682148803330348E-3</v>
      </c>
      <c r="W122" s="137">
        <f>CUBIC($C$84:$W$84,$C$91:$W$91,W115)</f>
        <v>0</v>
      </c>
      <c r="X122" s="4">
        <f t="shared" si="28"/>
        <v>0.4375</v>
      </c>
    </row>
    <row r="123" spans="1:24" x14ac:dyDescent="0.2">
      <c r="A123" s="80">
        <f>$A$92</f>
        <v>7</v>
      </c>
      <c r="B123" s="85">
        <f>$B$92</f>
        <v>0.51041666666666663</v>
      </c>
      <c r="C123" s="85">
        <f>CUBIC($C$84:$W$84,$C$92:$W$92,C115)</f>
        <v>-1.2853343955949198E-5</v>
      </c>
      <c r="D123" s="85">
        <f>CUBIC($C$84:$W$84,$C$92:$W$92,D115)</f>
        <v>-8.6793371289104783E-3</v>
      </c>
      <c r="E123" s="85">
        <f>CUBIC($C$84:$W$84,$C$92:$W$92,E115)</f>
        <v>0.16252514340687821</v>
      </c>
      <c r="F123" s="85">
        <f>CUBIC($C$84:$W$84,$C$92:$W$92,F115)</f>
        <v>0.56497843559443728</v>
      </c>
      <c r="G123" s="85">
        <f>CUBIC($C$84:$W$84,$C$92:$W$92,G115)</f>
        <v>0.90064350640877089</v>
      </c>
      <c r="H123" s="85">
        <f>CUBIC($C$84:$W$84,$C$92:$W$92,H115)</f>
        <v>1.1162830497202489</v>
      </c>
      <c r="I123" s="85">
        <f>CUBIC($C$84:$W$84,$C$92:$W$92,I115)</f>
        <v>1.195006169876879</v>
      </c>
      <c r="J123" s="85">
        <f>CUBIC($C$84:$W$84,$C$92:$W$92,J115)</f>
        <v>1.2239600083745943</v>
      </c>
      <c r="K123" s="85">
        <f>CUBIC($C$84:$W$84,$C$92:$W$92,K115)</f>
        <v>1.2441685838085339</v>
      </c>
      <c r="L123" s="85">
        <f>CUBIC($C$84:$W$84,$C$92:$W$92,L115)</f>
        <v>1.2560647473514741</v>
      </c>
      <c r="M123" s="85">
        <f>CUBIC($C$84:$W$84,$C$92:$W$92,M115)</f>
        <v>1.2599870577656005</v>
      </c>
      <c r="N123" s="85">
        <f>CUBIC($C$84:$W$84,$C$92:$W$92,N115)</f>
        <v>1.2560647473514739</v>
      </c>
      <c r="O123" s="85">
        <f>CUBIC($C$84:$W$84,$C$92:$W$92,O115)</f>
        <v>1.2441685838085337</v>
      </c>
      <c r="P123" s="85">
        <f>CUBIC($C$84:$W$84,$C$92:$W$92,P115)</f>
        <v>1.2239600083745941</v>
      </c>
      <c r="Q123" s="85">
        <f>CUBIC($C$84:$W$84,$C$92:$W$92,Q115)</f>
        <v>1.146440846738807</v>
      </c>
      <c r="R123" s="85">
        <f>CUBIC($C$84:$W$84,$C$92:$W$92,R115)</f>
        <v>0.99146727819274016</v>
      </c>
      <c r="S123" s="85">
        <f>CUBIC($C$84:$W$84,$C$92:$W$92,S115)</f>
        <v>0.72086428964892568</v>
      </c>
      <c r="T123" s="85">
        <f>CUBIC($C$84:$W$84,$C$92:$W$92,T115)</f>
        <v>0.38532891132255276</v>
      </c>
      <c r="U123" s="85">
        <f>CUBIC($C$84:$W$84,$C$92:$W$92,U115)</f>
        <v>0.14732858808380428</v>
      </c>
      <c r="V123" s="85">
        <f>CUBIC($C$84:$W$84,$C$92:$W$92,V115)</f>
        <v>1.2116709005667638E-2</v>
      </c>
      <c r="W123" s="137">
        <f>CUBIC($C$84:$W$84,$C$92:$W$92,W115)</f>
        <v>0</v>
      </c>
      <c r="X123" s="4">
        <f t="shared" si="28"/>
        <v>0.51041666666666663</v>
      </c>
    </row>
    <row r="124" spans="1:24" x14ac:dyDescent="0.2">
      <c r="A124" s="80">
        <f>$A$93</f>
        <v>8</v>
      </c>
      <c r="B124" s="85">
        <f>$B$93</f>
        <v>0.58333333333333337</v>
      </c>
      <c r="C124" s="85">
        <f>CUBIC($C$84:$W$84,$C$93:$W$93,C115)</f>
        <v>-2.7898378512786147E-3</v>
      </c>
      <c r="D124" s="85">
        <f>CUBIC($C$84:$W$84,$C$93:$W$93,D115)</f>
        <v>-1.402516710642302E-2</v>
      </c>
      <c r="E124" s="85">
        <f>CUBIC($C$84:$W$84,$C$93:$W$93,E115)</f>
        <v>0.29998870387939591</v>
      </c>
      <c r="F124" s="85">
        <f>CUBIC($C$84:$W$84,$C$93:$W$93,F115)</f>
        <v>0.74812870495929495</v>
      </c>
      <c r="G124" s="85">
        <f>CUBIC($C$84:$W$84,$C$93:$W$93,G115)</f>
        <v>1.0507934052760441</v>
      </c>
      <c r="H124" s="85">
        <f>CUBIC($C$84:$W$84,$C$93:$W$93,H115)</f>
        <v>1.213948364925759</v>
      </c>
      <c r="I124" s="85">
        <f>CUBIC($C$84:$W$84,$C$93:$W$93,I115)</f>
        <v>1.288476222454751</v>
      </c>
      <c r="J124" s="85">
        <f>CUBIC($C$84:$W$84,$C$93:$W$93,J115)</f>
        <v>1.3125900187038488</v>
      </c>
      <c r="K124" s="85">
        <f>CUBIC($C$84:$W$84,$C$93:$W$93,K115)</f>
        <v>1.328942784606437</v>
      </c>
      <c r="L124" s="85">
        <f>CUBIC($C$84:$W$84,$C$93:$W$93,L115)</f>
        <v>1.3384159900269608</v>
      </c>
      <c r="M124" s="85">
        <f>CUBIC($C$84:$W$84,$C$93:$W$93,M115)</f>
        <v>1.3415185931317146</v>
      </c>
      <c r="N124" s="85">
        <f>CUBIC($C$84:$W$84,$C$93:$W$93,N115)</f>
        <v>1.338415990026961</v>
      </c>
      <c r="O124" s="85">
        <f>CUBIC($C$84:$W$84,$C$93:$W$93,O115)</f>
        <v>1.3289427846064368</v>
      </c>
      <c r="P124" s="85">
        <f>CUBIC($C$84:$W$84,$C$93:$W$93,P115)</f>
        <v>1.3125900187038488</v>
      </c>
      <c r="Q124" s="85">
        <f>CUBIC($C$84:$W$84,$C$93:$W$93,Q115)</f>
        <v>1.2429603101293127</v>
      </c>
      <c r="R124" s="85">
        <f>CUBIC($C$84:$W$84,$C$93:$W$93,R115)</f>
        <v>1.0855814054253865</v>
      </c>
      <c r="S124" s="85">
        <f>CUBIC($C$84:$W$84,$C$93:$W$93,S115)</f>
        <v>0.82586875965369322</v>
      </c>
      <c r="T124" s="85">
        <f>CUBIC($C$84:$W$84,$C$93:$W$93,T115)</f>
        <v>0.4898251558308529</v>
      </c>
      <c r="U124" s="85">
        <f>CUBIC($C$84:$W$84,$C$93:$W$93,U115)</f>
        <v>0.23403261041327852</v>
      </c>
      <c r="V124" s="85">
        <f>CUBIC($C$84:$W$84,$C$93:$W$93,V115)</f>
        <v>4.9734991751472474E-2</v>
      </c>
      <c r="W124" s="137">
        <f>CUBIC($C$84:$W$84,$C$93:$W$93,W115)</f>
        <v>0</v>
      </c>
      <c r="X124" s="4">
        <f t="shared" si="28"/>
        <v>0.58333333333333337</v>
      </c>
    </row>
    <row r="125" spans="1:24" x14ac:dyDescent="0.2">
      <c r="A125" s="80">
        <f>$A$94</f>
        <v>9</v>
      </c>
      <c r="B125" s="85">
        <f>$B$94</f>
        <v>0.65625</v>
      </c>
      <c r="C125" s="85">
        <f>CUBIC($C$84:$W$84,$C$94:$W$94,C115)</f>
        <v>-2.1021131540446339E-3</v>
      </c>
      <c r="D125" s="85">
        <f>CUBIC($C$84:$W$84,$C$94:$W$94,D115)</f>
        <v>2.2190685555769828E-2</v>
      </c>
      <c r="E125" s="85">
        <f>CUBIC($C$84:$W$84,$C$94:$W$94,E115)</f>
        <v>0.46723838657510897</v>
      </c>
      <c r="F125" s="85">
        <f>CUBIC($C$84:$W$84,$C$94:$W$94,F115)</f>
        <v>0.90876399517449113</v>
      </c>
      <c r="G125" s="85">
        <f>CUBIC($C$84:$W$84,$C$94:$W$94,G115)</f>
        <v>1.1656610923784725</v>
      </c>
      <c r="H125" s="85">
        <f>CUBIC($C$84:$W$84,$C$94:$W$94,H115)</f>
        <v>1.2893532949748689</v>
      </c>
      <c r="I125" s="85">
        <f>CUBIC($C$84:$W$84,$C$94:$W$94,I115)</f>
        <v>1.3618386883276088</v>
      </c>
      <c r="J125" s="85">
        <f>CUBIC($C$84:$W$84,$C$94:$W$94,J115)</f>
        <v>1.3813726887437048</v>
      </c>
      <c r="K125" s="85">
        <f>CUBIC($C$84:$W$84,$C$94:$W$94,K115)</f>
        <v>1.3947835246752427</v>
      </c>
      <c r="L125" s="85">
        <f>CUBIC($C$84:$W$84,$C$94:$W$94,L115)</f>
        <v>1.4026427591084263</v>
      </c>
      <c r="M125" s="85">
        <f>CUBIC($C$84:$W$84,$C$94:$W$94,M115)</f>
        <v>1.4052347776661305</v>
      </c>
      <c r="N125" s="85">
        <f>CUBIC($C$84:$W$84,$C$94:$W$94,N115)</f>
        <v>1.4026427591084263</v>
      </c>
      <c r="O125" s="85">
        <f>CUBIC($C$84:$W$84,$C$94:$W$94,O115)</f>
        <v>1.3947835246752427</v>
      </c>
      <c r="P125" s="85">
        <f>CUBIC($C$84:$W$84,$C$94:$W$94,P115)</f>
        <v>1.3813726887437046</v>
      </c>
      <c r="Q125" s="85">
        <f>CUBIC($C$84:$W$84,$C$94:$W$94,Q115)</f>
        <v>1.3167922401073031</v>
      </c>
      <c r="R125" s="85">
        <f>CUBIC($C$84:$W$84,$C$94:$W$94,R115)</f>
        <v>1.1582937125225612</v>
      </c>
      <c r="S125" s="85">
        <f>CUBIC($C$84:$W$84,$C$94:$W$94,S115)</f>
        <v>0.89835245870470404</v>
      </c>
      <c r="T125" s="85">
        <f>CUBIC($C$84:$W$84,$C$94:$W$94,T115)</f>
        <v>0.56704665416599842</v>
      </c>
      <c r="U125" s="85">
        <f>CUBIC($C$84:$W$84,$C$94:$W$94,U115)</f>
        <v>0.31743494660748744</v>
      </c>
      <c r="V125" s="85">
        <f>CUBIC($C$84:$W$84,$C$94:$W$94,V115)</f>
        <v>0.11234124389979845</v>
      </c>
      <c r="W125" s="137">
        <f>CUBIC($C$84:$W$84,$C$94:$W$94,W115)</f>
        <v>0</v>
      </c>
      <c r="X125" s="4">
        <f t="shared" si="28"/>
        <v>0.65625</v>
      </c>
    </row>
    <row r="126" spans="1:24" x14ac:dyDescent="0.2">
      <c r="A126" s="80">
        <f>$A$95</f>
        <v>10</v>
      </c>
      <c r="B126" s="85">
        <f>$B$95</f>
        <v>0.72916666666666663</v>
      </c>
      <c r="C126" s="85">
        <f>CUBIC($C$84:$W$84,$C$95:$W$95,C115)</f>
        <v>7.1694604561595718E-3</v>
      </c>
      <c r="D126" s="85">
        <f>CUBIC($C$84:$W$84,$C$95:$W$95,D115)</f>
        <v>0.11437295508818891</v>
      </c>
      <c r="E126" s="85">
        <f>CUBIC($C$84:$W$84,$C$95:$W$95,E115)</f>
        <v>0.64508977701800796</v>
      </c>
      <c r="F126" s="85">
        <f>CUBIC($C$84:$W$84,$C$95:$W$95,F115)</f>
        <v>1.0426482490282609</v>
      </c>
      <c r="G126" s="85">
        <f>CUBIC($C$84:$W$84,$C$95:$W$95,G115)</f>
        <v>1.2540384688125663</v>
      </c>
      <c r="H126" s="85">
        <f>CUBIC($C$84:$W$84,$C$95:$W$95,H115)</f>
        <v>1.3620909921736852</v>
      </c>
      <c r="I126" s="85">
        <f>CUBIC($C$84:$W$84,$C$95:$W$95,I115)</f>
        <v>1.4223715973842723</v>
      </c>
      <c r="J126" s="85">
        <f>CUBIC($C$84:$W$84,$C$95:$W$95,J115)</f>
        <v>1.4399999375657624</v>
      </c>
      <c r="K126" s="85">
        <f>CUBIC($C$84:$W$84,$C$95:$W$95,K115)</f>
        <v>1.4524423691242039</v>
      </c>
      <c r="L126" s="85">
        <f>CUBIC($C$84:$W$84,$C$95:$W$95,L115)</f>
        <v>1.4598266500665724</v>
      </c>
      <c r="M126" s="85">
        <f>CUBIC($C$84:$W$84,$C$95:$W$95,M115)</f>
        <v>1.4622722974392979</v>
      </c>
      <c r="N126" s="85">
        <f>CUBIC($C$84:$W$84,$C$95:$W$95,N115)</f>
        <v>1.4598266500665724</v>
      </c>
      <c r="O126" s="85">
        <f>CUBIC($C$84:$W$84,$C$95:$W$95,O115)</f>
        <v>1.4524423691242034</v>
      </c>
      <c r="P126" s="85">
        <f>CUBIC($C$84:$W$84,$C$95:$W$95,P115)</f>
        <v>1.4399999375657619</v>
      </c>
      <c r="Q126" s="85">
        <f>CUBIC($C$84:$W$84,$C$95:$W$95,Q115)</f>
        <v>1.3769425571828127</v>
      </c>
      <c r="R126" s="85">
        <f>CUBIC($C$84:$W$84,$C$95:$W$95,R115)</f>
        <v>1.2227936426049435</v>
      </c>
      <c r="S126" s="85">
        <f>CUBIC($C$84:$W$84,$C$95:$W$95,S115)</f>
        <v>0.96846682196308465</v>
      </c>
      <c r="T126" s="85">
        <f>CUBIC($C$84:$W$84,$C$95:$W$95,T115)</f>
        <v>0.62901401899140408</v>
      </c>
      <c r="U126" s="85">
        <f>CUBIC($C$84:$W$84,$C$95:$W$95,U115)</f>
        <v>0.39279400321419516</v>
      </c>
      <c r="V126" s="85">
        <f>CUBIC($C$84:$W$84,$C$95:$W$95,V115)</f>
        <v>0.18501458429826467</v>
      </c>
      <c r="W126" s="137">
        <f>CUBIC($C$84:$W$84,$C$95:$W$95,W115)</f>
        <v>0</v>
      </c>
      <c r="X126" s="4">
        <f t="shared" si="28"/>
        <v>0.72916666666666663</v>
      </c>
    </row>
    <row r="127" spans="1:24" x14ac:dyDescent="0.2">
      <c r="A127" s="80">
        <f>$A$96</f>
        <v>11</v>
      </c>
      <c r="B127" s="85">
        <f>$B$96</f>
        <v>0.80208333333333337</v>
      </c>
      <c r="C127" s="85">
        <f>CUBIC($C$84:$W$84,$C$96:$W$96,C115)</f>
        <v>1.1680515670158336E-2</v>
      </c>
      <c r="D127" s="85">
        <f>CUBIC($C$84:$W$84,$C$96:$W$96,D115)</f>
        <v>0.25039409936511581</v>
      </c>
      <c r="E127" s="85">
        <f>CUBIC($C$84:$W$84,$C$96:$W$96,E115)</f>
        <v>0.81440742044805114</v>
      </c>
      <c r="F127" s="85">
        <f>CUBIC($C$84:$W$84,$C$96:$W$96,F115)</f>
        <v>1.1529625243774431</v>
      </c>
      <c r="G127" s="85">
        <f>CUBIC($C$84:$W$84,$C$96:$W$96,G115)</f>
        <v>1.3306388926610788</v>
      </c>
      <c r="H127" s="85">
        <f>CUBIC($C$84:$W$84,$C$96:$W$96,H115)</f>
        <v>1.4325478607304249</v>
      </c>
      <c r="I127" s="85">
        <f>CUBIC($C$84:$W$84,$C$96:$W$96,I115)</f>
        <v>1.4790653358321899</v>
      </c>
      <c r="J127" s="85">
        <f>CUBIC($C$84:$W$84,$C$96:$W$96,J115)</f>
        <v>1.4956558683427628</v>
      </c>
      <c r="K127" s="85">
        <f>CUBIC($C$84:$W$84,$C$96:$W$96,K115)</f>
        <v>1.5071225454420085</v>
      </c>
      <c r="L127" s="85">
        <f>CUBIC($C$84:$W$84,$C$96:$W$96,L115)</f>
        <v>1.5138270748391547</v>
      </c>
      <c r="M127" s="85">
        <f>CUBIC($C$84:$W$84,$C$96:$W$96,M115)</f>
        <v>1.51603050527974</v>
      </c>
      <c r="N127" s="85">
        <f>CUBIC($C$84:$W$84,$C$96:$W$96,N115)</f>
        <v>1.5138270748391547</v>
      </c>
      <c r="O127" s="85">
        <f>CUBIC($C$84:$W$84,$C$96:$W$96,O115)</f>
        <v>1.5071225454420083</v>
      </c>
      <c r="P127" s="85">
        <f>CUBIC($C$84:$W$84,$C$96:$W$96,P115)</f>
        <v>1.4956558683427625</v>
      </c>
      <c r="Q127" s="85">
        <f>CUBIC($C$84:$W$84,$C$96:$W$96,Q115)</f>
        <v>1.4342626135356225</v>
      </c>
      <c r="R127" s="85">
        <f>CUBIC($C$84:$W$84,$C$96:$W$96,R115)</f>
        <v>1.285701609064744</v>
      </c>
      <c r="S127" s="85">
        <f>CUBIC($C$84:$W$84,$C$96:$W$96,S115)</f>
        <v>1.0357097503674466</v>
      </c>
      <c r="T127" s="85">
        <f>CUBIC($C$84:$W$84,$C$96:$W$96,T115)</f>
        <v>0.68542640711077496</v>
      </c>
      <c r="U127" s="85">
        <f>CUBIC($C$84:$W$84,$C$96:$W$96,U115)</f>
        <v>0.45599489747118199</v>
      </c>
      <c r="V127" s="85">
        <f>CUBIC($C$84:$W$84,$C$96:$W$96,V115)</f>
        <v>0.23086252549010502</v>
      </c>
      <c r="W127" s="137">
        <f>CUBIC($C$84:$W$84,$C$96:$W$96,W115)</f>
        <v>0</v>
      </c>
      <c r="X127" s="4">
        <f t="shared" si="28"/>
        <v>0.80208333333333337</v>
      </c>
    </row>
    <row r="128" spans="1:24" x14ac:dyDescent="0.2">
      <c r="A128" s="80">
        <f>$A$97</f>
        <v>12</v>
      </c>
      <c r="B128" s="85">
        <f>$B$97</f>
        <v>0.875</v>
      </c>
      <c r="C128" s="85">
        <f>CUBIC($C$84:$W$84,$C$97:$W$97,C115)</f>
        <v>-1.2630328656244501E-2</v>
      </c>
      <c r="D128" s="85">
        <f>CUBIC($C$84:$W$84,$C$97:$W$97,D115)</f>
        <v>0.41764632232671378</v>
      </c>
      <c r="E128" s="85">
        <f>CUBIC($C$84:$W$84,$C$97:$W$97,E115)</f>
        <v>0.96525222983194181</v>
      </c>
      <c r="F128" s="85">
        <f>CUBIC($C$84:$W$84,$C$97:$W$97,F115)</f>
        <v>1.249497836949631</v>
      </c>
      <c r="G128" s="85">
        <f>CUBIC($C$84:$W$84,$C$97:$W$97,G115)</f>
        <v>1.4065893888808565</v>
      </c>
      <c r="H128" s="85">
        <f>CUBIC($C$84:$W$84,$C$97:$W$97,H115)</f>
        <v>1.496138741707306</v>
      </c>
      <c r="I128" s="85">
        <f>CUBIC($C$84:$W$84,$C$97:$W$97,I115)</f>
        <v>1.5318957455821061</v>
      </c>
      <c r="J128" s="85">
        <f>CUBIC($C$84:$W$84,$C$97:$W$97,J115)</f>
        <v>1.5462905645276528</v>
      </c>
      <c r="K128" s="85">
        <f>CUBIC($C$84:$W$84,$C$97:$W$97,K115)</f>
        <v>1.5559786884783198</v>
      </c>
      <c r="L128" s="85">
        <f>CUBIC($C$84:$W$84,$C$97:$W$97,L115)</f>
        <v>1.5615439799008672</v>
      </c>
      <c r="M128" s="85">
        <f>CUBIC($C$84:$W$84,$C$97:$W$97,M115)</f>
        <v>1.5633570817906712</v>
      </c>
      <c r="N128" s="85">
        <f>CUBIC($C$84:$W$84,$C$97:$W$97,N115)</f>
        <v>1.5615439799008672</v>
      </c>
      <c r="O128" s="85">
        <f>CUBIC($C$84:$W$84,$C$97:$W$97,O115)</f>
        <v>1.5559786884783195</v>
      </c>
      <c r="P128" s="85">
        <f>CUBIC($C$84:$W$84,$C$97:$W$97,P115)</f>
        <v>1.5462905645276526</v>
      </c>
      <c r="Q128" s="85">
        <f>CUBIC($C$84:$W$84,$C$97:$W$97,Q115)</f>
        <v>1.4863194710849614</v>
      </c>
      <c r="R128" s="85">
        <f>CUBIC($C$84:$W$84,$C$97:$W$97,R115)</f>
        <v>1.3454135380488776</v>
      </c>
      <c r="S128" s="85">
        <f>CUBIC($C$84:$W$84,$C$97:$W$97,S115)</f>
        <v>1.0947016104747096</v>
      </c>
      <c r="T128" s="85">
        <f>CUBIC($C$84:$W$84,$C$97:$W$97,T115)</f>
        <v>0.74327317612250976</v>
      </c>
      <c r="U128" s="85">
        <f>CUBIC($C$84:$W$84,$C$97:$W$97,U115)</f>
        <v>0.49516865912715263</v>
      </c>
      <c r="V128" s="85">
        <f>CUBIC($C$84:$W$84,$C$97:$W$97,V115)</f>
        <v>0.23040398526475508</v>
      </c>
      <c r="W128" s="137">
        <f>CUBIC($C$84:$W$84,$C$97:$W$97,W115)</f>
        <v>0</v>
      </c>
      <c r="X128" s="4">
        <f t="shared" si="28"/>
        <v>0.875</v>
      </c>
    </row>
    <row r="129" spans="1:24" x14ac:dyDescent="0.2">
      <c r="A129" s="80">
        <f>$A$98</f>
        <v>13</v>
      </c>
      <c r="B129" s="85">
        <f>$B$98</f>
        <v>0.94791666666666663</v>
      </c>
      <c r="C129" s="85">
        <f>CUBIC($C$84:$W$84,$C$98:$W$98,C115)</f>
        <v>-3.6465633667342699E-2</v>
      </c>
      <c r="D129" s="85">
        <f>CUBIC($C$84:$W$84,$C$98:$W$98,D115)</f>
        <v>0.60651139632638207</v>
      </c>
      <c r="E129" s="85">
        <f>CUBIC($C$84:$W$84,$C$98:$W$98,E115)</f>
        <v>1.0919178111759666</v>
      </c>
      <c r="F129" s="85">
        <f>CUBIC($C$84:$W$84,$C$98:$W$98,F115)</f>
        <v>1.3356798991602574</v>
      </c>
      <c r="G129" s="85">
        <f>CUBIC($C$84:$W$84,$C$98:$W$98,G115)</f>
        <v>1.4730563377671984</v>
      </c>
      <c r="H129" s="85">
        <f>CUBIC($C$84:$W$84,$C$98:$W$98,H115)</f>
        <v>1.5445503490775974</v>
      </c>
      <c r="I129" s="85">
        <f>CUBIC($C$84:$W$84,$C$98:$W$98,I115)</f>
        <v>1.5776592564219043</v>
      </c>
      <c r="J129" s="85">
        <f>CUBIC($C$84:$W$84,$C$98:$W$98,J115)</f>
        <v>1.5889894932120485</v>
      </c>
      <c r="K129" s="85">
        <f>CUBIC($C$84:$W$84,$C$98:$W$98,K115)</f>
        <v>1.5963988739684425</v>
      </c>
      <c r="L129" s="85">
        <f>CUBIC($C$84:$W$84,$C$98:$W$98,L115)</f>
        <v>1.600572222845021</v>
      </c>
      <c r="M129" s="85">
        <f>CUBIC($C$84:$W$84,$C$98:$W$98,M115)</f>
        <v>1.6019182739164242</v>
      </c>
      <c r="N129" s="85">
        <f>CUBIC($C$84:$W$84,$C$98:$W$98,N115)</f>
        <v>1.600572222845021</v>
      </c>
      <c r="O129" s="85">
        <f>CUBIC($C$84:$W$84,$C$98:$W$98,O115)</f>
        <v>1.5963988739684425</v>
      </c>
      <c r="P129" s="85">
        <f>CUBIC($C$84:$W$84,$C$98:$W$98,P115)</f>
        <v>1.5889894932120483</v>
      </c>
      <c r="Q129" s="85">
        <f>CUBIC($C$84:$W$84,$C$98:$W$98,Q115)</f>
        <v>1.5278633548225964</v>
      </c>
      <c r="R129" s="85">
        <f>CUBIC($C$84:$W$84,$C$98:$W$98,R115)</f>
        <v>1.3925891985877425</v>
      </c>
      <c r="S129" s="85">
        <f>CUBIC($C$84:$W$84,$C$98:$W$98,S115)</f>
        <v>1.1450473218091088</v>
      </c>
      <c r="T129" s="85">
        <f>CUBIC($C$84:$W$84,$C$98:$W$98,T115)</f>
        <v>0.80028091007645796</v>
      </c>
      <c r="U129" s="85">
        <f>CUBIC($C$84:$W$84,$C$98:$W$98,U115)</f>
        <v>0.49895429376194966</v>
      </c>
      <c r="V129" s="85">
        <f>CUBIC($C$84:$W$84,$C$98:$W$98,V115)</f>
        <v>0.21180269589305531</v>
      </c>
      <c r="W129" s="137">
        <f>CUBIC($C$84:$W$84,$C$98:$W$98,W115)</f>
        <v>0</v>
      </c>
      <c r="X129" s="4">
        <f t="shared" si="28"/>
        <v>0.94791666666666663</v>
      </c>
    </row>
    <row r="130" spans="1:24" x14ac:dyDescent="0.2">
      <c r="A130" s="80">
        <f>$A$99</f>
        <v>14</v>
      </c>
      <c r="B130" s="85">
        <f>$B$99</f>
        <v>1.0208333333333333</v>
      </c>
      <c r="C130" s="85">
        <f>CUBIC($C$84:$W$84,$C$99:$W$99,C115)</f>
        <v>5.0148701194707324E-2</v>
      </c>
      <c r="D130" s="85">
        <f>CUBIC($C$84:$W$84,$C$99:$W$99,D115)</f>
        <v>0.80169856586350541</v>
      </c>
      <c r="E130" s="85">
        <f>CUBIC($C$84:$W$84,$C$99:$W$99,E115)</f>
        <v>1.197009154300372</v>
      </c>
      <c r="F130" s="85">
        <f>CUBIC($C$84:$W$84,$C$99:$W$99,F115)</f>
        <v>1.4070521296679266</v>
      </c>
      <c r="G130" s="85">
        <f>CUBIC($C$84:$W$84,$C$99:$W$99,G115)</f>
        <v>1.5225478746516619</v>
      </c>
      <c r="H130" s="85">
        <f>CUBIC($C$84:$W$84,$C$99:$W$99,H115)</f>
        <v>1.5800482473610737</v>
      </c>
      <c r="I130" s="85">
        <f>CUBIC($C$84:$W$84,$C$99:$W$99,I115)</f>
        <v>1.6138151042261961</v>
      </c>
      <c r="J130" s="85">
        <f>CUBIC($C$84:$W$84,$C$99:$W$99,J115)</f>
        <v>1.6216105830651539</v>
      </c>
      <c r="K130" s="85">
        <f>CUBIC($C$84:$W$84,$C$99:$W$99,K115)</f>
        <v>1.6265848587658764</v>
      </c>
      <c r="L130" s="85">
        <f>CUBIC($C$84:$W$84,$C$99:$W$99,L115)</f>
        <v>1.6293592181150716</v>
      </c>
      <c r="M130" s="85">
        <f>CUBIC($C$84:$W$84,$C$99:$W$99,M115)</f>
        <v>1.6302514995243331</v>
      </c>
      <c r="N130" s="85">
        <f>CUBIC($C$84:$W$84,$C$99:$W$99,N115)</f>
        <v>1.6293592181150713</v>
      </c>
      <c r="O130" s="85">
        <f>CUBIC($C$84:$W$84,$C$99:$W$99,O115)</f>
        <v>1.6265848587658764</v>
      </c>
      <c r="P130" s="85">
        <f>CUBIC($C$84:$W$84,$C$99:$W$99,P115)</f>
        <v>1.6216105830651537</v>
      </c>
      <c r="Q130" s="85">
        <f>CUBIC($C$84:$W$84,$C$99:$W$99,Q115)</f>
        <v>1.5607770213780046</v>
      </c>
      <c r="R130" s="85">
        <f>CUBIC($C$84:$W$84,$C$99:$W$99,R115)</f>
        <v>1.4284358156329116</v>
      </c>
      <c r="S130" s="85">
        <f>CUBIC($C$84:$W$84,$C$99:$W$99,S115)</f>
        <v>1.1868727375278496</v>
      </c>
      <c r="T130" s="85">
        <f>CUBIC($C$84:$W$84,$C$99:$W$99,T115)</f>
        <v>0.84367827445672849</v>
      </c>
      <c r="U130" s="85">
        <f>CUBIC($C$84:$W$84,$C$99:$W$99,U115)</f>
        <v>0.48413339964266766</v>
      </c>
      <c r="V130" s="85">
        <f>CUBIC($C$84:$W$84,$C$99:$W$99,V115)</f>
        <v>0.20196297181093617</v>
      </c>
      <c r="W130" s="137">
        <f>CUBIC($C$84:$W$84,$C$99:$W$99,W115)</f>
        <v>0</v>
      </c>
      <c r="X130" s="4">
        <f t="shared" si="28"/>
        <v>1.0208333333333333</v>
      </c>
    </row>
    <row r="131" spans="1:24" x14ac:dyDescent="0.2">
      <c r="A131" s="80">
        <f>$A$100</f>
        <v>15</v>
      </c>
      <c r="B131" s="85">
        <f>$B$100</f>
        <v>1.09375</v>
      </c>
      <c r="C131" s="85">
        <f>CUBIC($C$84:$W$84,$C$100:$W$100,C115)</f>
        <v>0.28950035972523919</v>
      </c>
      <c r="D131" s="85">
        <f>CUBIC($C$84:$W$84,$C$100:$W$100,D115)</f>
        <v>0.96408870766079757</v>
      </c>
      <c r="E131" s="85">
        <f>CUBIC($C$84:$W$84,$C$100:$W$100,E115)</f>
        <v>1.2860541204841589</v>
      </c>
      <c r="F131" s="85">
        <f>CUBIC($C$84:$W$84,$C$100:$W$100,F115)</f>
        <v>1.4642239409749496</v>
      </c>
      <c r="G131" s="85">
        <f>CUBIC($C$84:$W$84,$C$100:$W$100,G115)</f>
        <v>1.5618287280454619</v>
      </c>
      <c r="H131" s="85">
        <f>CUBIC($C$84:$W$84,$C$100:$W$100,H115)</f>
        <v>1.6109453865838539</v>
      </c>
      <c r="I131" s="85">
        <f>CUBIC($C$84:$W$84,$C$100:$W$100,I115)</f>
        <v>1.6394422336209395</v>
      </c>
      <c r="J131" s="85">
        <f>CUBIC($C$84:$W$84,$C$100:$W$100,J115)</f>
        <v>1.6446390332703236</v>
      </c>
      <c r="K131" s="85">
        <f>CUBIC($C$84:$W$84,$C$100:$W$100,K115)</f>
        <v>1.6480282618426265</v>
      </c>
      <c r="L131" s="85">
        <f>CUBIC($C$84:$W$84,$C$100:$W$100,L115)</f>
        <v>1.6499512847444529</v>
      </c>
      <c r="M131" s="85">
        <f>CUBIC($C$84:$W$84,$C$100:$W$100,M115)</f>
        <v>1.6505755798027735</v>
      </c>
      <c r="N131" s="85">
        <f>CUBIC($C$84:$W$84,$C$100:$W$100,N115)</f>
        <v>1.6499512847444531</v>
      </c>
      <c r="O131" s="85">
        <f>CUBIC($C$84:$W$84,$C$100:$W$100,O115)</f>
        <v>1.6480282618426265</v>
      </c>
      <c r="P131" s="85">
        <f>CUBIC($C$84:$W$84,$C$100:$W$100,P115)</f>
        <v>1.6446390332703231</v>
      </c>
      <c r="Q131" s="85">
        <f>CUBIC($C$84:$W$84,$C$100:$W$100,Q115)</f>
        <v>1.5877428270793923</v>
      </c>
      <c r="R131" s="85">
        <f>CUBIC($C$84:$W$84,$C$100:$W$100,R115)</f>
        <v>1.4602669863913738</v>
      </c>
      <c r="S131" s="85">
        <f>CUBIC($C$84:$W$84,$C$100:$W$100,S115)</f>
        <v>1.2186210702116074</v>
      </c>
      <c r="T131" s="85">
        <f>CUBIC($C$84:$W$84,$C$100:$W$100,T115)</f>
        <v>0.87254196991991706</v>
      </c>
      <c r="U131" s="85">
        <f>CUBIC($C$84:$W$84,$C$100:$W$100,U115)</f>
        <v>0.47603316519732797</v>
      </c>
      <c r="V131" s="85">
        <f>CUBIC($C$84:$W$84,$C$100:$W$100,V115)</f>
        <v>0.19367904989152193</v>
      </c>
      <c r="W131" s="137">
        <f>CUBIC($C$84:$W$84,$C$100:$W$100,W115)</f>
        <v>0</v>
      </c>
      <c r="X131" s="4">
        <f t="shared" si="28"/>
        <v>1.09375</v>
      </c>
    </row>
    <row r="132" spans="1:24" x14ac:dyDescent="0.2">
      <c r="A132" s="80">
        <f>$A$101</f>
        <v>16</v>
      </c>
      <c r="B132" s="85">
        <f>$B$101</f>
        <v>1.1666666666666667</v>
      </c>
      <c r="C132" s="85">
        <f>CUBIC($C$84:$W$84,$C$101:$W$101,C115)</f>
        <v>0.5464335815806014</v>
      </c>
      <c r="D132" s="85">
        <f>CUBIC($C$84:$W$84,$C$101:$W$101,D115)</f>
        <v>1.0759412881473818</v>
      </c>
      <c r="E132" s="85">
        <f>CUBIC($C$84:$W$84,$C$101:$W$101,E115)</f>
        <v>1.3595479895685461</v>
      </c>
      <c r="F132" s="85">
        <f>CUBIC($C$84:$W$84,$C$101:$W$101,F115)</f>
        <v>1.5113080306192914</v>
      </c>
      <c r="G132" s="85">
        <f>CUBIC($C$84:$W$84,$C$101:$W$101,G115)</f>
        <v>1.5961031035079882</v>
      </c>
      <c r="H132" s="85">
        <f>CUBIC($C$84:$W$84,$C$101:$W$101,H115)</f>
        <v>1.6388883925512412</v>
      </c>
      <c r="I132" s="85">
        <f>CUBIC($C$84:$W$84,$C$101:$W$101,I115)</f>
        <v>1.6585431138736362</v>
      </c>
      <c r="J132" s="85">
        <f>CUBIC($C$84:$W$84,$C$101:$W$101,J115)</f>
        <v>1.6625200408342349</v>
      </c>
      <c r="K132" s="85">
        <f>CUBIC($C$84:$W$84,$C$101:$W$101,K115)</f>
        <v>1.6652198576111499</v>
      </c>
      <c r="L132" s="85">
        <f>CUBIC($C$84:$W$84,$C$101:$W$101,L115)</f>
        <v>1.6667827123476635</v>
      </c>
      <c r="M132" s="85">
        <f>CUBIC($C$84:$W$84,$C$101:$W$101,M115)</f>
        <v>1.6672940472507658</v>
      </c>
      <c r="N132" s="85">
        <f>CUBIC($C$84:$W$84,$C$101:$W$101,N115)</f>
        <v>1.6667827123476635</v>
      </c>
      <c r="O132" s="85">
        <f>CUBIC($C$84:$W$84,$C$101:$W$101,O115)</f>
        <v>1.6652198576111497</v>
      </c>
      <c r="P132" s="85">
        <f>CUBIC($C$84:$W$84,$C$101:$W$101,P115)</f>
        <v>1.6625200408342344</v>
      </c>
      <c r="Q132" s="85">
        <f>CUBIC($C$84:$W$84,$C$101:$W$101,Q115)</f>
        <v>1.6092208371742851</v>
      </c>
      <c r="R132" s="85">
        <f>CUBIC($C$84:$W$84,$C$101:$W$101,R115)</f>
        <v>1.4882547573796143</v>
      </c>
      <c r="S132" s="85">
        <f>CUBIC($C$84:$W$84,$C$101:$W$101,S115)</f>
        <v>1.2411203188281075</v>
      </c>
      <c r="T132" s="85">
        <f>CUBIC($C$84:$W$84,$C$101:$W$101,T115)</f>
        <v>0.893923668559513</v>
      </c>
      <c r="U132" s="85">
        <f>CUBIC($C$84:$W$84,$C$101:$W$101,U115)</f>
        <v>0.47770040522834956</v>
      </c>
      <c r="V132" s="85">
        <f>CUBIC($C$84:$W$84,$C$101:$W$101,V115)</f>
        <v>0.18006828659851135</v>
      </c>
      <c r="W132" s="137">
        <f>CUBIC($C$84:$W$84,$C$101:$W$101,W115)</f>
        <v>0</v>
      </c>
      <c r="X132" s="4">
        <f t="shared" si="28"/>
        <v>1.1666666666666667</v>
      </c>
    </row>
    <row r="133" spans="1:24" x14ac:dyDescent="0.2">
      <c r="A133" s="80">
        <f>$A$102</f>
        <v>17</v>
      </c>
      <c r="B133" s="85">
        <f>$B$102</f>
        <v>1.2395833333333333</v>
      </c>
      <c r="C133" s="85">
        <f>CUBIC($C$84:$W$84,$C$102:$W$102,C115)</f>
        <v>0.73594359476941318</v>
      </c>
      <c r="D133" s="85">
        <f>CUBIC($C$84:$W$84,$C$102:$W$102,D115)</f>
        <v>1.1662712546744378</v>
      </c>
      <c r="E133" s="85">
        <f>CUBIC($C$84:$W$84,$C$102:$W$102,E115)</f>
        <v>1.4179960312556439</v>
      </c>
      <c r="F133" s="85">
        <f>CUBIC($C$84:$W$84,$C$102:$W$102,F115)</f>
        <v>1.550675922941656</v>
      </c>
      <c r="G133" s="85">
        <f>CUBIC($C$84:$W$84,$C$102:$W$102,G115)</f>
        <v>1.624453077748808</v>
      </c>
      <c r="H133" s="85">
        <f>CUBIC($C$84:$W$84,$C$102:$W$102,H115)</f>
        <v>1.6617166227795439</v>
      </c>
      <c r="I133" s="85">
        <f>CUBIC($C$84:$W$84,$C$102:$W$102,I115)</f>
        <v>1.6753724617052372</v>
      </c>
      <c r="J133" s="85">
        <f>CUBIC($C$84:$W$84,$C$102:$W$102,J115)</f>
        <v>1.678555491314883</v>
      </c>
      <c r="K133" s="85">
        <f>CUBIC($C$84:$W$84,$C$102:$W$102,K115)</f>
        <v>1.6806574682822875</v>
      </c>
      <c r="L133" s="85">
        <f>CUBIC($C$84:$W$84,$C$102:$W$102,L115)</f>
        <v>1.68185174538767</v>
      </c>
      <c r="M133" s="85">
        <f>CUBIC($C$84:$W$84,$C$102:$W$102,M115)</f>
        <v>1.6822388825717927</v>
      </c>
      <c r="N133" s="85">
        <f>CUBIC($C$84:$W$84,$C$102:$W$102,N115)</f>
        <v>1.68185174538767</v>
      </c>
      <c r="O133" s="85">
        <f>CUBIC($C$84:$W$84,$C$102:$W$102,O115)</f>
        <v>1.6806574682822875</v>
      </c>
      <c r="P133" s="85">
        <f>CUBIC($C$84:$W$84,$C$102:$W$102,P115)</f>
        <v>1.6785554913148828</v>
      </c>
      <c r="Q133" s="85">
        <f>CUBIC($C$84:$W$84,$C$102:$W$102,Q115)</f>
        <v>1.6253423569478589</v>
      </c>
      <c r="R133" s="85">
        <f>CUBIC($C$84:$W$84,$C$102:$W$102,R115)</f>
        <v>1.5086385307254906</v>
      </c>
      <c r="S133" s="85">
        <f>CUBIC($C$84:$W$84,$C$102:$W$102,S115)</f>
        <v>1.2598449650667485</v>
      </c>
      <c r="T133" s="85">
        <f>CUBIC($C$84:$W$84,$C$102:$W$102,T115)</f>
        <v>0.91176508394080613</v>
      </c>
      <c r="U133" s="85">
        <f>CUBIC($C$84:$W$84,$C$102:$W$102,U115)</f>
        <v>0.48565286924828932</v>
      </c>
      <c r="V133" s="85">
        <f>CUBIC($C$84:$W$84,$C$102:$W$102,V115)</f>
        <v>0.16913752326596512</v>
      </c>
      <c r="W133" s="137">
        <f>CUBIC($C$84:$W$84,$C$102:$W$102,W115)</f>
        <v>0</v>
      </c>
      <c r="X133" s="4">
        <f t="shared" si="28"/>
        <v>1.2395833333333333</v>
      </c>
    </row>
    <row r="134" spans="1:24" x14ac:dyDescent="0.2">
      <c r="A134" s="80">
        <f>$A$103</f>
        <v>18</v>
      </c>
      <c r="B134" s="85">
        <f>$B$103</f>
        <v>1.3125</v>
      </c>
      <c r="C134" s="85">
        <f>CUBIC($C$84:$W$84,$C$103:$W$103,C115)</f>
        <v>0.85776492672294224</v>
      </c>
      <c r="D134" s="85">
        <f>CUBIC($C$84:$W$84,$C$103:$W$103,D115)</f>
        <v>1.2449924192510873</v>
      </c>
      <c r="E134" s="85">
        <f>CUBIC($C$84:$W$84,$C$103:$W$103,E115)</f>
        <v>1.4647421334507411</v>
      </c>
      <c r="F134" s="85">
        <f>CUBIC($C$84:$W$84,$C$103:$W$103,F115)</f>
        <v>1.5837195342665706</v>
      </c>
      <c r="G134" s="85">
        <f>CUBIC($C$84:$W$84,$C$103:$W$103,G115)</f>
        <v>1.6464327760672339</v>
      </c>
      <c r="H134" s="85">
        <f>CUBIC($C$84:$W$84,$C$103:$W$103,H115)</f>
        <v>1.6785221231054797</v>
      </c>
      <c r="I134" s="85">
        <f>CUBIC($C$84:$W$84,$C$103:$W$103,I115)</f>
        <v>1.6893990214124481</v>
      </c>
      <c r="J134" s="85">
        <f>CUBIC($C$84:$W$84,$C$103:$W$103,J115)</f>
        <v>1.691449086702266</v>
      </c>
      <c r="K134" s="85">
        <f>CUBIC($C$84:$W$84,$C$103:$W$103,K115)</f>
        <v>1.6927479189293129</v>
      </c>
      <c r="L134" s="85">
        <f>CUBIC($C$84:$W$84,$C$103:$W$103,L115)</f>
        <v>1.6934644741835476</v>
      </c>
      <c r="M134" s="85">
        <f>CUBIC($C$84:$W$84,$C$103:$W$103,M115)</f>
        <v>1.6936932095223654</v>
      </c>
      <c r="N134" s="85">
        <f>CUBIC($C$84:$W$84,$C$103:$W$103,N115)</f>
        <v>1.6934644741835476</v>
      </c>
      <c r="O134" s="85">
        <f>CUBIC($C$84:$W$84,$C$103:$W$103,O115)</f>
        <v>1.6927479189293129</v>
      </c>
      <c r="P134" s="85">
        <f>CUBIC($C$84:$W$84,$C$103:$W$103,P115)</f>
        <v>1.6914490867022658</v>
      </c>
      <c r="Q134" s="85">
        <f>CUBIC($C$84:$W$84,$C$103:$W$103,Q115)</f>
        <v>1.6370609317098936</v>
      </c>
      <c r="R134" s="85">
        <f>CUBIC($C$84:$W$84,$C$103:$W$103,R115)</f>
        <v>1.5215411472777487</v>
      </c>
      <c r="S134" s="85">
        <f>CUBIC($C$84:$W$84,$C$103:$W$103,S115)</f>
        <v>1.278143519731946</v>
      </c>
      <c r="T134" s="85">
        <f>CUBIC($C$84:$W$84,$C$103:$W$103,T115)</f>
        <v>0.9280780199530384</v>
      </c>
      <c r="U134" s="85">
        <f>CUBIC($C$84:$W$84,$C$103:$W$103,U115)</f>
        <v>0.49375376719522152</v>
      </c>
      <c r="V134" s="85">
        <f>CUBIC($C$84:$W$84,$C$103:$W$103,V115)</f>
        <v>0.16155904483670686</v>
      </c>
      <c r="W134" s="137">
        <f>CUBIC($C$84:$W$84,$C$103:$W$103,W115)</f>
        <v>0</v>
      </c>
      <c r="X134" s="4">
        <f t="shared" si="28"/>
        <v>1.3125</v>
      </c>
    </row>
    <row r="135" spans="1:24" x14ac:dyDescent="0.2">
      <c r="A135" s="80">
        <f>$A$104</f>
        <v>19</v>
      </c>
      <c r="B135" s="85">
        <f>$B$104</f>
        <v>1.3854166666666667</v>
      </c>
      <c r="C135" s="85">
        <f>CUBIC($C$84:$W$84,$C$104:$W$104,C115)</f>
        <v>0.93673619068555969</v>
      </c>
      <c r="D135" s="85">
        <f>CUBIC($C$84:$W$84,$C$104:$W$104,D115)</f>
        <v>1.3012697249408851</v>
      </c>
      <c r="E135" s="85">
        <f>CUBIC($C$84:$W$84,$C$104:$W$104,E115)</f>
        <v>1.5034427000115183</v>
      </c>
      <c r="F135" s="85">
        <f>CUBIC($C$84:$W$84,$C$104:$W$104,F115)</f>
        <v>1.6109573071489414</v>
      </c>
      <c r="G135" s="85">
        <f>CUBIC($C$84:$W$84,$C$104:$W$104,G115)</f>
        <v>1.6640995711095043</v>
      </c>
      <c r="H135" s="85">
        <f>CUBIC($C$84:$W$84,$C$104:$W$104,H115)</f>
        <v>1.6895174613135941</v>
      </c>
      <c r="I135" s="85">
        <f>CUBIC($C$84:$W$84,$C$104:$W$104,I115)</f>
        <v>1.6983221379551012</v>
      </c>
      <c r="J135" s="85">
        <f>CUBIC($C$84:$W$84,$C$104:$W$104,J115)</f>
        <v>1.6991858568680593</v>
      </c>
      <c r="K135" s="85">
        <f>CUBIC($C$84:$W$84,$C$104:$W$104,K115)</f>
        <v>1.6997067683992533</v>
      </c>
      <c r="L135" s="85">
        <f>CUBIC($C$84:$W$84,$C$104:$W$104,L115)</f>
        <v>1.6999857323992118</v>
      </c>
      <c r="M135" s="85">
        <f>CUBIC($C$84:$W$84,$C$104:$W$104,M115)</f>
        <v>1.700073555603876</v>
      </c>
      <c r="N135" s="85">
        <f>CUBIC($C$84:$W$84,$C$104:$W$104,N115)</f>
        <v>1.6999857323992118</v>
      </c>
      <c r="O135" s="85">
        <f>CUBIC($C$84:$W$84,$C$104:$W$104,O115)</f>
        <v>1.6997067683992533</v>
      </c>
      <c r="P135" s="85">
        <f>CUBIC($C$84:$W$84,$C$104:$W$104,P115)</f>
        <v>1.6991858568680591</v>
      </c>
      <c r="Q135" s="85">
        <f>CUBIC($C$84:$W$84,$C$104:$W$104,Q115)</f>
        <v>1.6456349222062721</v>
      </c>
      <c r="R135" s="85">
        <f>CUBIC($C$84:$W$84,$C$104:$W$104,R115)</f>
        <v>1.5304606909038723</v>
      </c>
      <c r="S135" s="85">
        <f>CUBIC($C$84:$W$84,$C$104:$W$104,S115)</f>
        <v>1.2934632234046057</v>
      </c>
      <c r="T135" s="85">
        <f>CUBIC($C$84:$W$84,$C$104:$W$104,T115)</f>
        <v>0.94195321028032897</v>
      </c>
      <c r="U135" s="85">
        <f>CUBIC($C$84:$W$84,$C$104:$W$104,U115)</f>
        <v>0.4981210436337305</v>
      </c>
      <c r="V135" s="85">
        <f>CUBIC($C$84:$W$84,$C$104:$W$104,V115)</f>
        <v>0.15052729304486437</v>
      </c>
      <c r="W135" s="137">
        <f>CUBIC($C$84:$W$84,$C$104:$W$104,W115)</f>
        <v>0</v>
      </c>
      <c r="X135" s="4">
        <f t="shared" si="28"/>
        <v>1.3854166666666667</v>
      </c>
    </row>
    <row r="136" spans="1:24" x14ac:dyDescent="0.2">
      <c r="A136" s="80">
        <f>$A$105</f>
        <v>20</v>
      </c>
      <c r="B136" s="85">
        <f>$B$105</f>
        <v>1.4583333333333333</v>
      </c>
      <c r="C136" s="85">
        <f>CUBIC($C$84:$W$84,$C$105:$W$105,C115)</f>
        <v>1.0010930174716755</v>
      </c>
      <c r="D136" s="85">
        <f>CUBIC($C$84:$W$84,$C$105:$W$105,D115)</f>
        <v>1.3415006802940972</v>
      </c>
      <c r="E136" s="85">
        <f>CUBIC($C$84:$W$84,$C$105:$W$105,E115)</f>
        <v>1.5375708662929679</v>
      </c>
      <c r="F136" s="85">
        <f>CUBIC($C$84:$W$84,$C$105:$W$105,F115)</f>
        <v>1.6325220604536403</v>
      </c>
      <c r="G136" s="85">
        <f>CUBIC($C$84:$W$84,$C$105:$W$105,G115)</f>
        <v>1.6792911166414435</v>
      </c>
      <c r="H136" s="85">
        <f>CUBIC($C$84:$W$84,$C$105:$W$105,H115)</f>
        <v>1.6954901977598911</v>
      </c>
      <c r="I136" s="85">
        <f>CUBIC($C$84:$W$84,$C$105:$W$105,I115)</f>
        <v>1.7019774265078191</v>
      </c>
      <c r="J136" s="85">
        <f>CUBIC($C$84:$W$84,$C$105:$W$105,J115)</f>
        <v>1.7021894091722025</v>
      </c>
      <c r="K136" s="85">
        <f>CUBIC($C$84:$W$84,$C$105:$W$105,K115)</f>
        <v>1.7023084224415455</v>
      </c>
      <c r="L136" s="85">
        <f>CUBIC($C$84:$W$84,$C$105:$W$105,L115)</f>
        <v>1.7023688599785687</v>
      </c>
      <c r="M136" s="85">
        <f>CUBIC($C$84:$W$84,$C$105:$W$105,M115)</f>
        <v>1.7023873535528493</v>
      </c>
      <c r="N136" s="85">
        <f>CUBIC($C$84:$W$84,$C$105:$W$105,N115)</f>
        <v>1.7023688599785687</v>
      </c>
      <c r="O136" s="85">
        <f>CUBIC($C$84:$W$84,$C$105:$W$105,O115)</f>
        <v>1.7023084224415455</v>
      </c>
      <c r="P136" s="85">
        <f>CUBIC($C$84:$W$84,$C$105:$W$105,P115)</f>
        <v>1.7021894091722023</v>
      </c>
      <c r="Q136" s="85">
        <f>CUBIC($C$84:$W$84,$C$105:$W$105,Q115)</f>
        <v>1.6519812339900342</v>
      </c>
      <c r="R136" s="85">
        <f>CUBIC($C$84:$W$84,$C$105:$W$105,R115)</f>
        <v>1.5376962730818844</v>
      </c>
      <c r="S136" s="85">
        <f>CUBIC($C$84:$W$84,$C$105:$W$105,S115)</f>
        <v>1.3031809461506123</v>
      </c>
      <c r="T136" s="85">
        <f>CUBIC($C$84:$W$84,$C$105:$W$105,T115)</f>
        <v>0.95122084673197027</v>
      </c>
      <c r="U136" s="85">
        <f>CUBIC($C$84:$W$84,$C$105:$W$105,U115)</f>
        <v>0.49968664764200643</v>
      </c>
      <c r="V136" s="85">
        <f>CUBIC($C$84:$W$84,$C$105:$W$105,V115)</f>
        <v>0.13780531057318332</v>
      </c>
      <c r="W136" s="137">
        <f>CUBIC($C$84:$W$84,$C$105:$W$105,W115)</f>
        <v>0</v>
      </c>
      <c r="X136" s="4">
        <f t="shared" si="28"/>
        <v>1.4583333333333333</v>
      </c>
    </row>
    <row r="137" spans="1:24" x14ac:dyDescent="0.2">
      <c r="A137" s="80">
        <f>$A$106</f>
        <v>21</v>
      </c>
      <c r="B137" s="85">
        <f>$B$106</f>
        <v>1.53125</v>
      </c>
      <c r="C137" s="85">
        <f>CUBIC($C$84:$W$84,$C$106:$W$106,C115)</f>
        <v>1.058531146599049</v>
      </c>
      <c r="D137" s="85">
        <f>CUBIC($C$84:$W$84,$C$106:$W$106,D115)</f>
        <v>1.3797756117111595</v>
      </c>
      <c r="E137" s="85">
        <f>CUBIC($C$84:$W$84,$C$106:$W$106,E115)</f>
        <v>1.5683665400004321</v>
      </c>
      <c r="F137" s="85">
        <f>CUBIC($C$84:$W$84,$C$106:$W$106,F115)</f>
        <v>1.6490833155968903</v>
      </c>
      <c r="G137" s="85">
        <f>CUBIC($C$84:$W$84,$C$106:$W$106,G115)</f>
        <v>1.6912471617352147</v>
      </c>
      <c r="H137" s="85">
        <f>CUBIC($C$84:$W$84,$C$106:$W$106,H115)</f>
        <v>1.6983593348149291</v>
      </c>
      <c r="I137" s="85">
        <f>CUBIC($C$84:$W$84,$C$106:$W$106,I115)</f>
        <v>1.7026949491072674</v>
      </c>
      <c r="J137" s="85">
        <f>CUBIC($C$84:$W$84,$C$106:$W$106,J115)</f>
        <v>1.7027009547042402</v>
      </c>
      <c r="K137" s="85">
        <f>CUBIC($C$84:$W$84,$C$106:$W$106,K115)</f>
        <v>1.7027025304928958</v>
      </c>
      <c r="L137" s="85">
        <f>CUBIC($C$84:$W$84,$C$106:$W$106,L115)</f>
        <v>1.702702872146721</v>
      </c>
      <c r="M137" s="85">
        <f>CUBIC($C$84:$W$84,$C$106:$W$106,M115)</f>
        <v>1.7027029154948938</v>
      </c>
      <c r="N137" s="85">
        <f>CUBIC($C$84:$W$84,$C$106:$W$106,N115)</f>
        <v>1.702702872146721</v>
      </c>
      <c r="O137" s="85">
        <f>CUBIC($C$84:$W$84,$C$106:$W$106,O115)</f>
        <v>1.7027025304928958</v>
      </c>
      <c r="P137" s="85">
        <f>CUBIC($C$84:$W$84,$C$106:$W$106,P115)</f>
        <v>1.70270095470424</v>
      </c>
      <c r="Q137" s="85">
        <f>CUBIC($C$84:$W$84,$C$106:$W$106,Q115)</f>
        <v>1.6566180143437159</v>
      </c>
      <c r="R137" s="85">
        <f>CUBIC($C$84:$W$84,$C$106:$W$106,R115)</f>
        <v>1.5427963090761905</v>
      </c>
      <c r="S137" s="85">
        <f>CUBIC($C$84:$W$84,$C$106:$W$106,S115)</f>
        <v>1.3080873666271446</v>
      </c>
      <c r="T137" s="85">
        <f>CUBIC($C$84:$W$84,$C$106:$W$106,T115)</f>
        <v>0.95594125938347996</v>
      </c>
      <c r="U137" s="85">
        <f>CUBIC($C$84:$W$84,$C$106:$W$106,U115)</f>
        <v>0.49976213432055211</v>
      </c>
      <c r="V137" s="85">
        <f>CUBIC($C$84:$W$84,$C$106:$W$106,V115)</f>
        <v>0.12894831813421109</v>
      </c>
      <c r="W137" s="137">
        <f>CUBIC($C$84:$W$84,$C$106:$W$106,W115)</f>
        <v>0</v>
      </c>
      <c r="X137" s="4">
        <f t="shared" si="28"/>
        <v>1.53125</v>
      </c>
    </row>
    <row r="138" spans="1:24" x14ac:dyDescent="0.2">
      <c r="A138" s="80">
        <f>$A$107</f>
        <v>22</v>
      </c>
      <c r="B138" s="85">
        <f>$B$107</f>
        <v>1.6041666666666667</v>
      </c>
      <c r="C138" s="85">
        <f>CUBIC($C$84:$W$84,$C$107:$W$107,C115)</f>
        <v>1.1077937191147369</v>
      </c>
      <c r="D138" s="85">
        <f>CUBIC($C$84:$W$84,$C$107:$W$107,D115)</f>
        <v>1.413716132023471</v>
      </c>
      <c r="E138" s="85">
        <f>CUBIC($C$84:$W$84,$C$107:$W$107,E115)</f>
        <v>1.592993461444371</v>
      </c>
      <c r="F138" s="85">
        <f>CUBIC($C$84:$W$84,$C$107:$W$107,F115)</f>
        <v>1.6616918909664906</v>
      </c>
      <c r="G138" s="85">
        <f>CUBIC($C$84:$W$84,$C$107:$W$107,G115)</f>
        <v>1.6985629265584556</v>
      </c>
      <c r="H138" s="85">
        <f>CUBIC($C$84:$W$84,$C$107:$W$107,H115)</f>
        <v>1.7000767462503339</v>
      </c>
      <c r="I138" s="85">
        <f>CUBIC($C$84:$W$84,$C$107:$W$107,I115)</f>
        <v>1.7027168150863137</v>
      </c>
      <c r="J138" s="85">
        <f>CUBIC($C$84:$W$84,$C$107:$W$107,J115)</f>
        <v>1.7027121122151652</v>
      </c>
      <c r="K138" s="85">
        <f>CUBIC($C$84:$W$84,$C$107:$W$107,K115)</f>
        <v>1.7027086812607559</v>
      </c>
      <c r="L138" s="85">
        <f>CUBIC($C$84:$W$84,$C$107:$W$107,L115)</f>
        <v>1.7027066156045634</v>
      </c>
      <c r="M138" s="85">
        <f>CUBIC($C$84:$W$84,$C$107:$W$107,M115)</f>
        <v>1.7027059276846961</v>
      </c>
      <c r="N138" s="85">
        <f>CUBIC($C$84:$W$84,$C$107:$W$107,N115)</f>
        <v>1.7027066156045634</v>
      </c>
      <c r="O138" s="85">
        <f>CUBIC($C$84:$W$84,$C$107:$W$107,O115)</f>
        <v>1.7027086812607559</v>
      </c>
      <c r="P138" s="85">
        <f>CUBIC($C$84:$W$84,$C$107:$W$107,P115)</f>
        <v>1.7027121122151649</v>
      </c>
      <c r="Q138" s="85">
        <f>CUBIC($C$84:$W$84,$C$107:$W$107,Q115)</f>
        <v>1.660031910617779</v>
      </c>
      <c r="R138" s="85">
        <f>CUBIC($C$84:$W$84,$C$107:$W$107,R115)</f>
        <v>1.5450759987926832</v>
      </c>
      <c r="S138" s="85">
        <f>CUBIC($C$84:$W$84,$C$107:$W$107,S115)</f>
        <v>1.3099302617422013</v>
      </c>
      <c r="T138" s="85">
        <f>CUBIC($C$84:$W$84,$C$107:$W$107,T115)</f>
        <v>0.95773693268641735</v>
      </c>
      <c r="U138" s="85">
        <f>CUBIC($C$84:$W$84,$C$107:$W$107,U115)</f>
        <v>0.49941073732810126</v>
      </c>
      <c r="V138" s="85">
        <f>CUBIC($C$84:$W$84,$C$107:$W$107,V115)</f>
        <v>0.12151263148851768</v>
      </c>
      <c r="W138" s="137">
        <f>CUBIC($C$84:$W$84,$C$107:$W$107,W115)</f>
        <v>0</v>
      </c>
      <c r="X138" s="4">
        <f t="shared" si="28"/>
        <v>1.6041666666666667</v>
      </c>
    </row>
    <row r="139" spans="1:24" x14ac:dyDescent="0.2">
      <c r="A139" s="80">
        <f>$A$138+1</f>
        <v>23</v>
      </c>
      <c r="B139" s="85">
        <f>$B$108</f>
        <v>1.6770833333333333</v>
      </c>
      <c r="C139" s="85">
        <f>CUBIC($C$84:$W$84,$C$108:$W$108,C115)</f>
        <v>1.142052531923293</v>
      </c>
      <c r="D139" s="85">
        <f>CUBIC($C$84:$W$84,$C$108:$W$108,D115)</f>
        <v>1.4368122846494424</v>
      </c>
      <c r="E139" s="85">
        <f>CUBIC($C$84:$W$84,$C$108:$W$108,E115)</f>
        <v>1.6101546537699771</v>
      </c>
      <c r="F139" s="85">
        <f>CUBIC($C$84:$W$84,$C$108:$W$108,F115)</f>
        <v>1.6715394827410417</v>
      </c>
      <c r="G139" s="85">
        <f>CUBIC($C$84:$W$84,$C$108:$W$108,G115)</f>
        <v>1.7016926735359503</v>
      </c>
      <c r="H139" s="85">
        <f>CUBIC($C$84:$W$84,$C$108:$W$108,H115)</f>
        <v>1.701468938001935</v>
      </c>
      <c r="I139" s="85">
        <f>CUBIC($C$84:$W$84,$C$108:$W$108,I115)</f>
        <v>1.7027150902693178</v>
      </c>
      <c r="J139" s="85">
        <f>CUBIC($C$84:$W$84,$C$108:$W$108,J115)</f>
        <v>1.7027105368475506</v>
      </c>
      <c r="K139" s="85">
        <f>CUBIC($C$84:$W$84,$C$108:$W$108,K115)</f>
        <v>1.7027075197168657</v>
      </c>
      <c r="L139" s="85">
        <f>CUBIC($C$84:$W$84,$C$108:$W$108,L115)</f>
        <v>1.7027057991353876</v>
      </c>
      <c r="M139" s="85">
        <f>CUBIC($C$84:$W$84,$C$108:$W$108,M115)</f>
        <v>1.7027052401298592</v>
      </c>
      <c r="N139" s="85">
        <f>CUBIC($C$84:$W$84,$C$108:$W$108,N115)</f>
        <v>1.7027057991353876</v>
      </c>
      <c r="O139" s="85">
        <f>CUBIC($C$84:$W$84,$C$108:$W$108,O115)</f>
        <v>1.7027075197168657</v>
      </c>
      <c r="P139" s="85">
        <f>CUBIC($C$84:$W$84,$C$108:$W$108,P115)</f>
        <v>1.7027105368475504</v>
      </c>
      <c r="Q139" s="85">
        <f>CUBIC($C$84:$W$84,$C$108:$W$108,Q115)</f>
        <v>1.6626478537622422</v>
      </c>
      <c r="R139" s="85">
        <f>CUBIC($C$84:$W$84,$C$108:$W$108,R115)</f>
        <v>1.5450167846183485</v>
      </c>
      <c r="S139" s="85">
        <f>CUBIC($C$84:$W$84,$C$108:$W$108,S115)</f>
        <v>1.3099997814342215</v>
      </c>
      <c r="T139" s="85">
        <f>CUBIC($C$84:$W$84,$C$108:$W$108,T115)</f>
        <v>0.95791329868891972</v>
      </c>
      <c r="U139" s="85">
        <f>CUBIC($C$84:$W$84,$C$108:$W$108,U115)</f>
        <v>0.49933715442486837</v>
      </c>
      <c r="V139" s="85">
        <f>CUBIC($C$84:$W$84,$C$108:$W$108,V115)</f>
        <v>0.11107250828649746</v>
      </c>
      <c r="W139" s="137">
        <f>CUBIC($C$84:$W$84,$C$108:$W$108,W115)</f>
        <v>0</v>
      </c>
      <c r="X139" s="4">
        <f t="shared" si="28"/>
        <v>1.6770833333333333</v>
      </c>
    </row>
    <row r="140" spans="1:24" ht="13.5" thickBot="1" x14ac:dyDescent="0.25">
      <c r="A140" s="82">
        <f>$A$139+1</f>
        <v>24</v>
      </c>
      <c r="B140" s="89">
        <f>$B$109</f>
        <v>1.75</v>
      </c>
      <c r="C140" s="89">
        <f>CUBIC($C$84:$W$84,$C$109:$W$109,C115)</f>
        <v>1.1654054054054053</v>
      </c>
      <c r="D140" s="89">
        <f>CUBIC($C$84:$W$84,$C$109:$W$109,D115)</f>
        <v>1.452972972972973</v>
      </c>
      <c r="E140" s="89">
        <f>CUBIC($C$84:$W$84,$C$109:$W$109,E115)</f>
        <v>1.6232432432432431</v>
      </c>
      <c r="F140" s="89">
        <f>CUBIC($C$84:$W$84,$C$109:$W$109,F115)</f>
        <v>1.68</v>
      </c>
      <c r="G140" s="89">
        <f>CUBIC($C$84:$W$84,$C$109:$W$109,G115)</f>
        <v>1.7027027027027026</v>
      </c>
      <c r="H140" s="89">
        <f>CUBIC($C$84:$W$84,$C$109:$W$109,H115)</f>
        <v>1.7027027027027026</v>
      </c>
      <c r="I140" s="89">
        <f>CUBIC($C$84:$W$84,$C$109:$W$109,I115)</f>
        <v>1.7027027027027026</v>
      </c>
      <c r="J140" s="89">
        <f>CUBIC($C$84:$W$84,$C$109:$W$109,J115)</f>
        <v>1.7027027027027026</v>
      </c>
      <c r="K140" s="89">
        <f>CUBIC($C$84:$W$84,$C$109:$W$109,K115)</f>
        <v>1.7027027027027026</v>
      </c>
      <c r="L140" s="89">
        <f>CUBIC($C$84:$W$84,$C$109:$W$109,L115)</f>
        <v>1.7027027027027026</v>
      </c>
      <c r="M140" s="89">
        <f>CUBIC($C$84:$W$84,$C$109:$W$109,M115)</f>
        <v>1.7027027027027026</v>
      </c>
      <c r="N140" s="89">
        <f>CUBIC($C$84:$W$84,$C$109:$W$109,N115)</f>
        <v>1.7027027027027026</v>
      </c>
      <c r="O140" s="89">
        <f>CUBIC($C$84:$W$84,$C$109:$W$109,O115)</f>
        <v>1.7027027027027026</v>
      </c>
      <c r="P140" s="89">
        <f>CUBIC($C$84:$W$84,$C$109:$W$109,P115)</f>
        <v>1.7027027027027024</v>
      </c>
      <c r="Q140" s="89">
        <f>CUBIC($C$84:$W$84,$C$109:$W$109,Q115)</f>
        <v>1.6648648648648647</v>
      </c>
      <c r="R140" s="89">
        <f>CUBIC($C$84:$W$84,$C$109:$W$109,R115)</f>
        <v>1.5437837837837836</v>
      </c>
      <c r="S140" s="89">
        <f>CUBIC($C$84:$W$84,$C$109:$W$109,S115)</f>
        <v>1.3091891891891889</v>
      </c>
      <c r="T140" s="89">
        <f>CUBIC($C$84:$W$84,$C$109:$W$109,T115)</f>
        <v>0.95729729729729707</v>
      </c>
      <c r="U140" s="89">
        <f>CUBIC($C$84:$W$84,$C$109:$W$109,U115)</f>
        <v>0.49945945945946041</v>
      </c>
      <c r="V140" s="89">
        <f>CUBIC($C$84:$W$84,$C$109:$W$109,V115)</f>
        <v>9.8378378378379414E-2</v>
      </c>
      <c r="W140" s="140">
        <f>CUBIC($C$84:$W$84,$C$109:$W$109,W115)</f>
        <v>0</v>
      </c>
      <c r="X140" s="4">
        <f t="shared" si="28"/>
        <v>1.75</v>
      </c>
    </row>
    <row r="141" spans="1:24" x14ac:dyDescent="0.2">
      <c r="A141" s="67"/>
      <c r="B141" s="19"/>
      <c r="C141" s="19"/>
      <c r="D141" s="19"/>
      <c r="E141" s="19"/>
      <c r="F141" s="19"/>
      <c r="G141" s="19"/>
      <c r="H141" s="19"/>
      <c r="I141" s="19"/>
      <c r="J141" s="19"/>
      <c r="K141" s="19"/>
      <c r="L141" s="19"/>
      <c r="M141" s="19"/>
      <c r="N141" s="19"/>
      <c r="O141" s="19"/>
      <c r="P141" s="19"/>
      <c r="Q141" s="19"/>
      <c r="R141" s="19"/>
      <c r="S141" s="19"/>
      <c r="T141" s="19"/>
      <c r="U141" s="19"/>
      <c r="V141" s="19"/>
    </row>
    <row r="142" spans="1:24" ht="13.5" thickBot="1" x14ac:dyDescent="0.25">
      <c r="A142" s="67" t="s">
        <v>4</v>
      </c>
      <c r="B142" s="19"/>
      <c r="C142" s="19"/>
      <c r="D142" s="19"/>
      <c r="E142" s="19"/>
      <c r="F142" s="19"/>
      <c r="G142" s="19"/>
      <c r="H142" s="19"/>
      <c r="I142" s="19"/>
      <c r="J142" s="19"/>
      <c r="K142" s="19"/>
      <c r="L142" s="19"/>
      <c r="M142" s="19"/>
      <c r="N142" s="19"/>
      <c r="O142" s="19"/>
      <c r="P142" s="19"/>
      <c r="Q142" s="19"/>
      <c r="R142" s="19"/>
      <c r="S142" s="19"/>
      <c r="T142" s="19"/>
      <c r="U142" s="19"/>
      <c r="V142" s="19"/>
    </row>
    <row r="143" spans="1:24" x14ac:dyDescent="0.2">
      <c r="A143" s="86"/>
      <c r="B143" s="87"/>
      <c r="C143" s="72">
        <v>21</v>
      </c>
      <c r="D143" s="72">
        <v>20</v>
      </c>
      <c r="E143" s="72">
        <v>19</v>
      </c>
      <c r="F143" s="72">
        <v>18</v>
      </c>
      <c r="G143" s="72">
        <v>17</v>
      </c>
      <c r="H143" s="72">
        <v>16</v>
      </c>
      <c r="I143" s="72">
        <v>15</v>
      </c>
      <c r="J143" s="72">
        <v>14</v>
      </c>
      <c r="K143" s="72">
        <v>13</v>
      </c>
      <c r="L143" s="72">
        <v>12</v>
      </c>
      <c r="M143" s="72">
        <v>11</v>
      </c>
      <c r="N143" s="72">
        <v>10</v>
      </c>
      <c r="O143" s="72">
        <v>9</v>
      </c>
      <c r="P143" s="72">
        <v>8</v>
      </c>
      <c r="Q143" s="72">
        <v>7</v>
      </c>
      <c r="R143" s="72">
        <v>6</v>
      </c>
      <c r="S143" s="72">
        <v>5</v>
      </c>
      <c r="T143" s="72">
        <v>4</v>
      </c>
      <c r="U143" s="72">
        <v>3</v>
      </c>
      <c r="V143" s="72">
        <v>2</v>
      </c>
      <c r="W143" s="73">
        <v>1</v>
      </c>
    </row>
    <row r="144" spans="1:24" x14ac:dyDescent="0.2">
      <c r="A144" s="88" t="s">
        <v>53</v>
      </c>
      <c r="B144" s="56" t="s">
        <v>54</v>
      </c>
      <c r="C144" s="68">
        <v>0</v>
      </c>
      <c r="D144" s="68">
        <f t="shared" ref="D144:V144" si="29">C144+$W$115/20</f>
        <v>0.86</v>
      </c>
      <c r="E144" s="68">
        <f t="shared" si="29"/>
        <v>1.72</v>
      </c>
      <c r="F144" s="68">
        <f t="shared" si="29"/>
        <v>2.58</v>
      </c>
      <c r="G144" s="68">
        <f t="shared" si="29"/>
        <v>3.44</v>
      </c>
      <c r="H144" s="68">
        <f t="shared" si="29"/>
        <v>4.3</v>
      </c>
      <c r="I144" s="68">
        <f t="shared" si="29"/>
        <v>5.16</v>
      </c>
      <c r="J144" s="68">
        <f t="shared" si="29"/>
        <v>6.0200000000000005</v>
      </c>
      <c r="K144" s="68">
        <f t="shared" si="29"/>
        <v>6.8800000000000008</v>
      </c>
      <c r="L144" s="68">
        <f t="shared" si="29"/>
        <v>7.7400000000000011</v>
      </c>
      <c r="M144" s="68">
        <f t="shared" si="29"/>
        <v>8.6000000000000014</v>
      </c>
      <c r="N144" s="68">
        <f t="shared" si="29"/>
        <v>9.4600000000000009</v>
      </c>
      <c r="O144" s="68">
        <f t="shared" si="29"/>
        <v>10.32</v>
      </c>
      <c r="P144" s="68">
        <f t="shared" si="29"/>
        <v>11.18</v>
      </c>
      <c r="Q144" s="68">
        <f t="shared" si="29"/>
        <v>12.04</v>
      </c>
      <c r="R144" s="68">
        <f t="shared" si="29"/>
        <v>12.899999999999999</v>
      </c>
      <c r="S144" s="68">
        <f t="shared" si="29"/>
        <v>13.759999999999998</v>
      </c>
      <c r="T144" s="68">
        <f t="shared" si="29"/>
        <v>14.619999999999997</v>
      </c>
      <c r="U144" s="68">
        <f t="shared" si="29"/>
        <v>15.479999999999997</v>
      </c>
      <c r="V144" s="68">
        <f t="shared" si="29"/>
        <v>16.339999999999996</v>
      </c>
      <c r="W144" s="58">
        <f>LWL</f>
        <v>17.2</v>
      </c>
    </row>
    <row r="145" spans="1:23" x14ac:dyDescent="0.2">
      <c r="A145" s="80">
        <f>$A$85</f>
        <v>0</v>
      </c>
      <c r="B145" s="85">
        <f>$B$85</f>
        <v>0</v>
      </c>
      <c r="C145" s="69">
        <v>0</v>
      </c>
      <c r="D145" s="69">
        <v>0</v>
      </c>
      <c r="E145" s="69">
        <v>0</v>
      </c>
      <c r="F145" s="69">
        <v>0</v>
      </c>
      <c r="G145" s="69">
        <v>0</v>
      </c>
      <c r="H145" s="69">
        <v>0</v>
      </c>
      <c r="I145" s="69">
        <v>0</v>
      </c>
      <c r="J145" s="69">
        <v>0</v>
      </c>
      <c r="K145" s="69">
        <v>0</v>
      </c>
      <c r="L145" s="69">
        <v>0</v>
      </c>
      <c r="M145" s="69">
        <v>0</v>
      </c>
      <c r="N145" s="69">
        <v>0</v>
      </c>
      <c r="O145" s="69">
        <v>0</v>
      </c>
      <c r="P145" s="69">
        <v>0</v>
      </c>
      <c r="Q145" s="69">
        <v>0</v>
      </c>
      <c r="R145" s="69">
        <v>0</v>
      </c>
      <c r="S145" s="69">
        <v>0</v>
      </c>
      <c r="T145" s="69">
        <v>0</v>
      </c>
      <c r="U145" s="69">
        <v>0</v>
      </c>
      <c r="V145" s="69">
        <v>0</v>
      </c>
      <c r="W145" s="69">
        <v>0</v>
      </c>
    </row>
    <row r="146" spans="1:23" x14ac:dyDescent="0.2">
      <c r="A146" s="80">
        <f>$A$86</f>
        <v>1</v>
      </c>
      <c r="B146" s="85">
        <f>$B$86</f>
        <v>7.2916666666666671E-2</v>
      </c>
      <c r="C146" s="69">
        <f>h/12*(5*C116+8*C117-C118)</f>
        <v>3.1408436641056098E-6</v>
      </c>
      <c r="D146" s="69">
        <f t="shared" ref="D146:V146" si="30">h/12*(5*D116+8*D117-D118)</f>
        <v>1.4745023755884252E-5</v>
      </c>
      <c r="E146" s="69">
        <f t="shared" si="30"/>
        <v>2.0477003431488577E-5</v>
      </c>
      <c r="F146" s="69">
        <f t="shared" si="30"/>
        <v>-3.1354742378423591E-4</v>
      </c>
      <c r="G146" s="69">
        <f t="shared" si="30"/>
        <v>1.6005640819397936E-3</v>
      </c>
      <c r="H146" s="69">
        <f t="shared" si="30"/>
        <v>4.4681806121410943E-3</v>
      </c>
      <c r="I146" s="69">
        <f t="shared" si="30"/>
        <v>4.6543651855039071E-3</v>
      </c>
      <c r="J146" s="69">
        <f t="shared" si="30"/>
        <v>4.5748980257158036E-3</v>
      </c>
      <c r="K146" s="69">
        <f t="shared" si="30"/>
        <v>4.4955209649958881E-3</v>
      </c>
      <c r="L146" s="69">
        <f t="shared" si="30"/>
        <v>4.4365254770049167E-3</v>
      </c>
      <c r="M146" s="69">
        <f t="shared" si="30"/>
        <v>4.4146965309306381E-3</v>
      </c>
      <c r="N146" s="69">
        <f t="shared" si="30"/>
        <v>4.4365254770049167E-3</v>
      </c>
      <c r="O146" s="69">
        <f t="shared" si="30"/>
        <v>4.4955209649958881E-3</v>
      </c>
      <c r="P146" s="69">
        <f t="shared" si="30"/>
        <v>4.5748980257158053E-3</v>
      </c>
      <c r="Q146" s="69">
        <f t="shared" si="30"/>
        <v>4.6008595181252446E-3</v>
      </c>
      <c r="R146" s="69">
        <f t="shared" si="30"/>
        <v>1.4572325769160372E-3</v>
      </c>
      <c r="S146" s="69">
        <f t="shared" si="30"/>
        <v>-4.1881178261732809E-4</v>
      </c>
      <c r="T146" s="69">
        <f t="shared" si="30"/>
        <v>7.8612680312920936E-6</v>
      </c>
      <c r="U146" s="69">
        <f t="shared" si="30"/>
        <v>4.3505596828776759E-5</v>
      </c>
      <c r="V146" s="69">
        <f t="shared" si="30"/>
        <v>-1.7300847083662692E-5</v>
      </c>
      <c r="W146" s="69">
        <f>h/12*(5*W116+8*W117-W118)</f>
        <v>0</v>
      </c>
    </row>
    <row r="147" spans="1:23" x14ac:dyDescent="0.2">
      <c r="A147" s="80">
        <f>$A$87</f>
        <v>2</v>
      </c>
      <c r="B147" s="85">
        <f>$B$87</f>
        <v>0.14583333333333334</v>
      </c>
      <c r="C147" s="69">
        <f>h/3*(C116+4*C117+C118)</f>
        <v>7.9407133139947991E-6</v>
      </c>
      <c r="D147" s="69">
        <f t="shared" ref="D147:V147" si="31">h/3*(D116+4*D117+D118)</f>
        <v>3.1616456066226861E-5</v>
      </c>
      <c r="E147" s="69">
        <f t="shared" si="31"/>
        <v>3.4050093971999501E-5</v>
      </c>
      <c r="F147" s="69">
        <f t="shared" si="31"/>
        <v>-3.3424633584755193E-4</v>
      </c>
      <c r="G147" s="69">
        <f t="shared" si="31"/>
        <v>5.7531633224780993E-3</v>
      </c>
      <c r="H147" s="69">
        <f t="shared" si="31"/>
        <v>9.8532906942160881E-3</v>
      </c>
      <c r="I147" s="69">
        <f t="shared" si="31"/>
        <v>1.0084989744675735E-2</v>
      </c>
      <c r="J147" s="69">
        <f t="shared" si="31"/>
        <v>1.0385588290291091E-2</v>
      </c>
      <c r="K147" s="69">
        <f t="shared" si="31"/>
        <v>1.0702904602073885E-2</v>
      </c>
      <c r="L147" s="69">
        <f t="shared" si="31"/>
        <v>1.0947026411909047E-2</v>
      </c>
      <c r="M147" s="69">
        <f t="shared" si="31"/>
        <v>1.103893146435427E-2</v>
      </c>
      <c r="N147" s="69">
        <f t="shared" si="31"/>
        <v>1.0947026411909047E-2</v>
      </c>
      <c r="O147" s="69">
        <f t="shared" si="31"/>
        <v>1.0702904602073885E-2</v>
      </c>
      <c r="P147" s="69">
        <f t="shared" si="31"/>
        <v>1.0385588290291093E-2</v>
      </c>
      <c r="Q147" s="69">
        <f t="shared" si="31"/>
        <v>1.011187999910455E-2</v>
      </c>
      <c r="R147" s="69">
        <f t="shared" si="31"/>
        <v>5.0817266272510852E-3</v>
      </c>
      <c r="S147" s="69">
        <f t="shared" si="31"/>
        <v>-1.5153604714527856E-4</v>
      </c>
      <c r="T147" s="69">
        <f t="shared" si="31"/>
        <v>1.4473814404371219E-5</v>
      </c>
      <c r="U147" s="69">
        <f t="shared" si="31"/>
        <v>7.2343087956404796E-5</v>
      </c>
      <c r="V147" s="69">
        <f t="shared" si="31"/>
        <v>-3.7096682974881198E-5</v>
      </c>
      <c r="W147" s="69">
        <f>h/3*(W116+4*W117+W118)</f>
        <v>0</v>
      </c>
    </row>
    <row r="148" spans="1:23" x14ac:dyDescent="0.2">
      <c r="A148" s="80">
        <f>$A$88</f>
        <v>3</v>
      </c>
      <c r="B148" s="85">
        <f>$B$88</f>
        <v>0.21875</v>
      </c>
      <c r="C148" s="69">
        <f t="shared" ref="C148:W148" si="32">C146+h/3*(C117+4*C118+C119)</f>
        <v>5.845011815891432E-6</v>
      </c>
      <c r="D148" s="69">
        <f t="shared" si="32"/>
        <v>6.3982162969761003E-6</v>
      </c>
      <c r="E148" s="69">
        <f t="shared" si="32"/>
        <v>-2.0525266303755788E-5</v>
      </c>
      <c r="F148" s="69">
        <f t="shared" si="32"/>
        <v>1.5572559096999586E-3</v>
      </c>
      <c r="G148" s="69">
        <f t="shared" si="32"/>
        <v>1.2473364195966136E-2</v>
      </c>
      <c r="H148" s="69">
        <f t="shared" si="32"/>
        <v>1.91315378954812E-2</v>
      </c>
      <c r="I148" s="69">
        <f t="shared" si="32"/>
        <v>2.1027190054274822E-2</v>
      </c>
      <c r="J148" s="69">
        <f t="shared" si="32"/>
        <v>2.3833888074946422E-2</v>
      </c>
      <c r="K148" s="69">
        <f t="shared" si="32"/>
        <v>2.6382672133899596E-2</v>
      </c>
      <c r="L148" s="69">
        <f t="shared" si="32"/>
        <v>2.8169326305172319E-2</v>
      </c>
      <c r="M148" s="69">
        <f t="shared" si="32"/>
        <v>2.8812462217128292E-2</v>
      </c>
      <c r="N148" s="69">
        <f t="shared" si="32"/>
        <v>2.8169326305172313E-2</v>
      </c>
      <c r="O148" s="69">
        <f t="shared" si="32"/>
        <v>2.6382672133899585E-2</v>
      </c>
      <c r="P148" s="69">
        <f t="shared" si="32"/>
        <v>2.3833888074946422E-2</v>
      </c>
      <c r="Q148" s="69">
        <f t="shared" si="32"/>
        <v>2.1107905001828395E-2</v>
      </c>
      <c r="R148" s="69">
        <f t="shared" si="32"/>
        <v>1.1959011911163825E-2</v>
      </c>
      <c r="S148" s="69">
        <f t="shared" si="32"/>
        <v>3.4209664768425608E-3</v>
      </c>
      <c r="T148" s="69">
        <f t="shared" si="32"/>
        <v>2.4307660652464916E-4</v>
      </c>
      <c r="U148" s="69">
        <f t="shared" si="32"/>
        <v>-4.3608136493316073E-5</v>
      </c>
      <c r="V148" s="69">
        <f t="shared" si="32"/>
        <v>-7.5072487908340539E-6</v>
      </c>
      <c r="W148" s="69">
        <f t="shared" si="32"/>
        <v>0</v>
      </c>
    </row>
    <row r="149" spans="1:23" x14ac:dyDescent="0.2">
      <c r="A149" s="80">
        <f>$A$89</f>
        <v>4</v>
      </c>
      <c r="B149" s="85">
        <f>$B$89</f>
        <v>0.29166666666666669</v>
      </c>
      <c r="C149" s="69">
        <f t="shared" ref="C149:W149" si="33">C147+h/3*(C118+4*C119+C120)</f>
        <v>-1.0208845956206713E-5</v>
      </c>
      <c r="D149" s="69">
        <f t="shared" si="33"/>
        <v>-6.4915333719076175E-5</v>
      </c>
      <c r="E149" s="69">
        <f t="shared" si="33"/>
        <v>-7.352024020700003E-5</v>
      </c>
      <c r="F149" s="69">
        <f t="shared" si="33"/>
        <v>7.6335295965258071E-3</v>
      </c>
      <c r="G149" s="69">
        <f t="shared" si="33"/>
        <v>2.646418279161324E-2</v>
      </c>
      <c r="H149" s="69">
        <f t="shared" si="33"/>
        <v>4.1691569350299905E-2</v>
      </c>
      <c r="I149" s="69">
        <f t="shared" si="33"/>
        <v>5.5213366603286219E-2</v>
      </c>
      <c r="J149" s="69">
        <f t="shared" si="33"/>
        <v>6.4444210812989761E-2</v>
      </c>
      <c r="K149" s="69">
        <f t="shared" si="33"/>
        <v>7.1837787960397373E-2</v>
      </c>
      <c r="L149" s="69">
        <f t="shared" si="33"/>
        <v>7.6590605187904379E-2</v>
      </c>
      <c r="M149" s="69">
        <f t="shared" si="33"/>
        <v>7.8227409351448299E-2</v>
      </c>
      <c r="N149" s="69">
        <f t="shared" si="33"/>
        <v>7.6590605187904365E-2</v>
      </c>
      <c r="O149" s="69">
        <f t="shared" si="33"/>
        <v>7.1837787960397331E-2</v>
      </c>
      <c r="P149" s="69">
        <f t="shared" si="33"/>
        <v>6.4444210812989733E-2</v>
      </c>
      <c r="Q149" s="69">
        <f t="shared" si="33"/>
        <v>5.3535626681522772E-2</v>
      </c>
      <c r="R149" s="69">
        <f t="shared" si="33"/>
        <v>3.154566448147994E-2</v>
      </c>
      <c r="S149" s="69">
        <f t="shared" si="33"/>
        <v>1.3875011730627653E-2</v>
      </c>
      <c r="T149" s="69">
        <f t="shared" si="33"/>
        <v>2.2612840856371993E-3</v>
      </c>
      <c r="U149" s="69">
        <f t="shared" si="33"/>
        <v>-1.577430085609107E-4</v>
      </c>
      <c r="V149" s="69">
        <f t="shared" si="33"/>
        <v>7.616740946995579E-5</v>
      </c>
      <c r="W149" s="69">
        <f t="shared" si="33"/>
        <v>0</v>
      </c>
    </row>
    <row r="150" spans="1:23" x14ac:dyDescent="0.2">
      <c r="A150" s="80">
        <f>$A$90</f>
        <v>5</v>
      </c>
      <c r="B150" s="85">
        <f>$B$90</f>
        <v>0.36458333333333331</v>
      </c>
      <c r="C150" s="69">
        <f t="shared" ref="C150:W150" si="34">C148+h/3*(C119+4*C120+C121)</f>
        <v>-1.3862539259987458E-5</v>
      </c>
      <c r="D150" s="69">
        <f t="shared" si="34"/>
        <v>8.9081169438483074E-6</v>
      </c>
      <c r="E150" s="69">
        <f t="shared" si="34"/>
        <v>4.5790085505186098E-4</v>
      </c>
      <c r="F150" s="69">
        <f t="shared" si="34"/>
        <v>1.9713562896729386E-2</v>
      </c>
      <c r="G150" s="69">
        <f t="shared" si="34"/>
        <v>5.4723997832969246E-2</v>
      </c>
      <c r="H150" s="69">
        <f t="shared" si="34"/>
        <v>8.4316304681447379E-2</v>
      </c>
      <c r="I150" s="69">
        <f t="shared" si="34"/>
        <v>0.11500924995284892</v>
      </c>
      <c r="J150" s="69">
        <f t="shared" si="34"/>
        <v>0.12850355184702777</v>
      </c>
      <c r="K150" s="69">
        <f t="shared" si="34"/>
        <v>0.13842676488431715</v>
      </c>
      <c r="L150" s="69">
        <f t="shared" si="34"/>
        <v>0.14449300334734161</v>
      </c>
      <c r="M150" s="69">
        <f t="shared" si="34"/>
        <v>0.14653688481235086</v>
      </c>
      <c r="N150" s="69">
        <f t="shared" si="34"/>
        <v>0.14449300334734158</v>
      </c>
      <c r="O150" s="69">
        <f t="shared" si="34"/>
        <v>0.1384267648843171</v>
      </c>
      <c r="P150" s="69">
        <f t="shared" si="34"/>
        <v>0.12850355184702772</v>
      </c>
      <c r="Q150" s="69">
        <f t="shared" si="34"/>
        <v>0.10968692570705452</v>
      </c>
      <c r="R150" s="69">
        <f t="shared" si="34"/>
        <v>7.0920291699979224E-2</v>
      </c>
      <c r="S150" s="69">
        <f t="shared" si="34"/>
        <v>3.4043070862583694E-2</v>
      </c>
      <c r="T150" s="69">
        <f t="shared" si="34"/>
        <v>9.1102874649060459E-3</v>
      </c>
      <c r="U150" s="69">
        <f t="shared" si="34"/>
        <v>6.9234103291123989E-4</v>
      </c>
      <c r="V150" s="69">
        <f t="shared" si="34"/>
        <v>-1.0452202153110904E-5</v>
      </c>
      <c r="W150" s="69">
        <f t="shared" si="34"/>
        <v>0</v>
      </c>
    </row>
    <row r="151" spans="1:23" x14ac:dyDescent="0.2">
      <c r="A151" s="80">
        <f>$A$91</f>
        <v>6</v>
      </c>
      <c r="B151" s="85">
        <f>$B$91</f>
        <v>0.4375</v>
      </c>
      <c r="C151" s="69">
        <f t="shared" ref="C151:W151" si="35">C149+h/3*(C120+4*C121+C122)</f>
        <v>2.9164346366146167E-5</v>
      </c>
      <c r="D151" s="69">
        <f t="shared" si="35"/>
        <v>2.7638876713232367E-4</v>
      </c>
      <c r="E151" s="69">
        <f t="shared" si="35"/>
        <v>3.1848313984685489E-3</v>
      </c>
      <c r="F151" s="69">
        <f t="shared" si="35"/>
        <v>4.128060985074497E-2</v>
      </c>
      <c r="G151" s="69">
        <f t="shared" si="35"/>
        <v>9.8647747524905016E-2</v>
      </c>
      <c r="H151" s="69">
        <f t="shared" si="35"/>
        <v>0.14575569954690926</v>
      </c>
      <c r="I151" s="69">
        <f t="shared" si="35"/>
        <v>0.18901608667561245</v>
      </c>
      <c r="J151" s="69">
        <f t="shared" si="35"/>
        <v>0.20549507293741529</v>
      </c>
      <c r="K151" s="69">
        <f t="shared" si="35"/>
        <v>0.21763590886603462</v>
      </c>
      <c r="L151" s="69">
        <f t="shared" si="35"/>
        <v>0.22506731755390541</v>
      </c>
      <c r="M151" s="69">
        <f t="shared" si="35"/>
        <v>0.22757029833080877</v>
      </c>
      <c r="N151" s="69">
        <f t="shared" si="35"/>
        <v>0.22506731755390541</v>
      </c>
      <c r="O151" s="69">
        <f t="shared" si="35"/>
        <v>0.21763590886603457</v>
      </c>
      <c r="P151" s="69">
        <f t="shared" si="35"/>
        <v>0.2054950729374152</v>
      </c>
      <c r="Q151" s="69">
        <f t="shared" si="35"/>
        <v>0.17973558455121996</v>
      </c>
      <c r="R151" s="69">
        <f t="shared" si="35"/>
        <v>0.12644273153106611</v>
      </c>
      <c r="S151" s="69">
        <f t="shared" si="35"/>
        <v>6.7374624370480321E-2</v>
      </c>
      <c r="T151" s="69">
        <f t="shared" si="35"/>
        <v>2.3438906257324151E-2</v>
      </c>
      <c r="U151" s="69">
        <f t="shared" si="35"/>
        <v>4.0070835820607805E-3</v>
      </c>
      <c r="V151" s="69">
        <f t="shared" si="35"/>
        <v>-3.2429651351969667E-4</v>
      </c>
      <c r="W151" s="69">
        <f t="shared" si="35"/>
        <v>0</v>
      </c>
    </row>
    <row r="152" spans="1:23" x14ac:dyDescent="0.2">
      <c r="A152" s="80">
        <f>$A$92</f>
        <v>7</v>
      </c>
      <c r="B152" s="85">
        <f>$B$92</f>
        <v>0.51041666666666663</v>
      </c>
      <c r="C152" s="69">
        <f t="shared" ref="C152:W152" si="36">C150+h/3*(C121+4*C122+C123)</f>
        <v>7.7191003739718035E-5</v>
      </c>
      <c r="D152" s="69">
        <f t="shared" si="36"/>
        <v>1.4784481060746264E-4</v>
      </c>
      <c r="E152" s="69">
        <f t="shared" si="36"/>
        <v>1.1240284158076758E-2</v>
      </c>
      <c r="F152" s="69">
        <f t="shared" si="36"/>
        <v>7.5502914598805898E-2</v>
      </c>
      <c r="G152" s="69">
        <f t="shared" si="36"/>
        <v>0.15775643414478019</v>
      </c>
      <c r="H152" s="69">
        <f t="shared" si="36"/>
        <v>0.22191216812973785</v>
      </c>
      <c r="I152" s="69">
        <f t="shared" si="36"/>
        <v>0.27233809305328849</v>
      </c>
      <c r="J152" s="69">
        <f t="shared" si="36"/>
        <v>0.29075618109344403</v>
      </c>
      <c r="K152" s="69">
        <f t="shared" si="36"/>
        <v>0.30408139049258748</v>
      </c>
      <c r="L152" s="69">
        <f t="shared" si="36"/>
        <v>0.31214395570434705</v>
      </c>
      <c r="M152" s="69">
        <f t="shared" si="36"/>
        <v>0.31484605009622246</v>
      </c>
      <c r="N152" s="69">
        <f t="shared" si="36"/>
        <v>0.31214395570434705</v>
      </c>
      <c r="O152" s="69">
        <f t="shared" si="36"/>
        <v>0.30408139049258742</v>
      </c>
      <c r="P152" s="69">
        <f t="shared" si="36"/>
        <v>0.29075618109344392</v>
      </c>
      <c r="Q152" s="69">
        <f t="shared" si="36"/>
        <v>0.25932810583070143</v>
      </c>
      <c r="R152" s="69">
        <f t="shared" si="36"/>
        <v>0.19429940618440891</v>
      </c>
      <c r="S152" s="69">
        <f t="shared" si="36"/>
        <v>0.11415301773381188</v>
      </c>
      <c r="T152" s="69">
        <f t="shared" si="36"/>
        <v>4.6990034659290456E-2</v>
      </c>
      <c r="U152" s="69">
        <f t="shared" si="36"/>
        <v>1.1878712292651326E-2</v>
      </c>
      <c r="V152" s="69">
        <f t="shared" si="36"/>
        <v>-1.2649020465015375E-4</v>
      </c>
      <c r="W152" s="69">
        <f t="shared" si="36"/>
        <v>0</v>
      </c>
    </row>
    <row r="153" spans="1:23" x14ac:dyDescent="0.2">
      <c r="A153" s="80">
        <f>$A$93</f>
        <v>8</v>
      </c>
      <c r="B153" s="85">
        <f>$B$93</f>
        <v>0.58333333333333337</v>
      </c>
      <c r="C153" s="69">
        <f t="shared" ref="C153:W153" si="37">C151+h/3*(C122+4*C123+C124)</f>
        <v>-1.8523887560849685E-5</v>
      </c>
      <c r="D153" s="69">
        <f t="shared" si="37"/>
        <v>-8.3855278804732727E-4</v>
      </c>
      <c r="E153" s="69">
        <f t="shared" si="37"/>
        <v>2.7883691001173039E-2</v>
      </c>
      <c r="F153" s="69">
        <f t="shared" si="37"/>
        <v>0.12355711510640559</v>
      </c>
      <c r="G153" s="69">
        <f t="shared" si="37"/>
        <v>0.22902880110665966</v>
      </c>
      <c r="H153" s="69">
        <f t="shared" si="37"/>
        <v>0.30702337986871475</v>
      </c>
      <c r="I153" s="69">
        <f t="shared" si="37"/>
        <v>0.36287622453183765</v>
      </c>
      <c r="J153" s="69">
        <f t="shared" si="37"/>
        <v>0.38353008005580713</v>
      </c>
      <c r="K153" s="69">
        <f t="shared" si="37"/>
        <v>0.39858111904063842</v>
      </c>
      <c r="L153" s="69">
        <f t="shared" si="37"/>
        <v>0.40772602283829446</v>
      </c>
      <c r="M153" s="69">
        <f t="shared" si="37"/>
        <v>0.41079425239139156</v>
      </c>
      <c r="N153" s="69">
        <f t="shared" si="37"/>
        <v>0.40772602283829446</v>
      </c>
      <c r="O153" s="69">
        <f t="shared" si="37"/>
        <v>0.39858111904063831</v>
      </c>
      <c r="P153" s="69">
        <f t="shared" si="37"/>
        <v>0.38353008005580702</v>
      </c>
      <c r="Q153" s="69">
        <f t="shared" si="37"/>
        <v>0.34647506188120886</v>
      </c>
      <c r="R153" s="69">
        <f t="shared" si="37"/>
        <v>0.27002058005309504</v>
      </c>
      <c r="S153" s="69">
        <f t="shared" si="37"/>
        <v>0.1709835534754667</v>
      </c>
      <c r="T153" s="69">
        <f t="shared" si="37"/>
        <v>7.9086085277247087E-2</v>
      </c>
      <c r="U153" s="69">
        <f t="shared" si="37"/>
        <v>2.5773045948163528E-2</v>
      </c>
      <c r="V153" s="69">
        <f t="shared" si="37"/>
        <v>1.9806871332048513E-3</v>
      </c>
      <c r="W153" s="69">
        <f t="shared" si="37"/>
        <v>0</v>
      </c>
    </row>
    <row r="154" spans="1:23" x14ac:dyDescent="0.2">
      <c r="A154" s="80">
        <f>$A$94</f>
        <v>9</v>
      </c>
      <c r="B154" s="85">
        <f>$B$94</f>
        <v>0.65625</v>
      </c>
      <c r="C154" s="69">
        <f t="shared" ref="C154:W154" si="38">C152+h/3*(C123+4*C124+C125)</f>
        <v>-2.4544866751655039E-4</v>
      </c>
      <c r="D154" s="69">
        <f t="shared" si="38"/>
        <v>-8.8731227269749958E-4</v>
      </c>
      <c r="E154" s="69">
        <f t="shared" si="38"/>
        <v>5.5712605055635772E-2</v>
      </c>
      <c r="F154" s="69">
        <f t="shared" si="38"/>
        <v>0.18405777832881548</v>
      </c>
      <c r="G154" s="69">
        <f t="shared" si="38"/>
        <v>0.31013958532269664</v>
      </c>
      <c r="H154" s="69">
        <f t="shared" si="38"/>
        <v>0.39840525365330409</v>
      </c>
      <c r="I154" s="69">
        <f t="shared" si="38"/>
        <v>0.45975214942885945</v>
      </c>
      <c r="J154" s="69">
        <f t="shared" si="38"/>
        <v>0.48169315818905467</v>
      </c>
      <c r="K154" s="69">
        <f t="shared" si="38"/>
        <v>0.49742535829941625</v>
      </c>
      <c r="L154" s="69">
        <f t="shared" si="38"/>
        <v>0.50688909551675754</v>
      </c>
      <c r="M154" s="69">
        <f t="shared" si="38"/>
        <v>0.51005116626188263</v>
      </c>
      <c r="N154" s="69">
        <f t="shared" si="38"/>
        <v>0.50688909551675754</v>
      </c>
      <c r="O154" s="69">
        <f t="shared" si="38"/>
        <v>0.49742535829941614</v>
      </c>
      <c r="P154" s="69">
        <f t="shared" si="38"/>
        <v>0.48169315818905456</v>
      </c>
      <c r="Q154" s="69">
        <f t="shared" si="38"/>
        <v>0.44004171795411651</v>
      </c>
      <c r="R154" s="69">
        <f t="shared" si="38"/>
        <v>0.3520931780139851</v>
      </c>
      <c r="S154" s="69">
        <f t="shared" si="38"/>
        <v>0.23380177644484942</v>
      </c>
      <c r="T154" s="69">
        <f t="shared" si="38"/>
        <v>0.11775994202624787</v>
      </c>
      <c r="U154" s="69">
        <f t="shared" si="38"/>
        <v>4.5928218662133417E-2</v>
      </c>
      <c r="V154" s="69">
        <f t="shared" si="38"/>
        <v>7.7338759043064148E-3</v>
      </c>
      <c r="W154" s="69">
        <f t="shared" si="38"/>
        <v>0</v>
      </c>
    </row>
    <row r="155" spans="1:23" x14ac:dyDescent="0.2">
      <c r="A155" s="80">
        <f>$A$95</f>
        <v>10</v>
      </c>
      <c r="B155" s="85">
        <f>$B$95</f>
        <v>0.72916666666666663</v>
      </c>
      <c r="C155" s="69">
        <f t="shared" ref="C155:W155" si="39">C153+h/3*(C124+4*C125+C126)</f>
        <v>-1.1644683922433251E-4</v>
      </c>
      <c r="D155" s="69">
        <f t="shared" si="39"/>
        <v>3.7578837099871048E-3</v>
      </c>
      <c r="E155" s="69">
        <f t="shared" si="39"/>
        <v>9.6280302773342749E-2</v>
      </c>
      <c r="F155" s="69">
        <f t="shared" si="39"/>
        <v>0.25543499893556754</v>
      </c>
      <c r="G155" s="69">
        <f t="shared" si="39"/>
        <v>0.39837718202755379</v>
      </c>
      <c r="H155" s="69">
        <f t="shared" si="39"/>
        <v>0.49498924014299406</v>
      </c>
      <c r="I155" s="69">
        <f t="shared" si="39"/>
        <v>0.56116587040699806</v>
      </c>
      <c r="J155" s="69">
        <f t="shared" si="39"/>
        <v>0.58473343067633143</v>
      </c>
      <c r="K155" s="69">
        <f t="shared" si="39"/>
        <v>0.60178818420390678</v>
      </c>
      <c r="L155" s="69">
        <f t="shared" si="39"/>
        <v>0.61210691080944257</v>
      </c>
      <c r="M155" s="69">
        <f t="shared" si="39"/>
        <v>0.61556199547697743</v>
      </c>
      <c r="N155" s="69">
        <f t="shared" si="39"/>
        <v>0.61210691080944257</v>
      </c>
      <c r="O155" s="69">
        <f t="shared" si="39"/>
        <v>0.60178818420390656</v>
      </c>
      <c r="P155" s="69">
        <f t="shared" si="39"/>
        <v>0.58473343067633132</v>
      </c>
      <c r="Q155" s="69">
        <f t="shared" si="39"/>
        <v>0.53817472436103309</v>
      </c>
      <c r="R155" s="69">
        <f t="shared" si="39"/>
        <v>0.43873880674352567</v>
      </c>
      <c r="S155" s="69">
        <f t="shared" si="39"/>
        <v>0.30193569901383188</v>
      </c>
      <c r="T155" s="69">
        <f t="shared" si="39"/>
        <v>0.16140962882031568</v>
      </c>
      <c r="U155" s="69">
        <f t="shared" si="39"/>
        <v>7.1870145949559233E-2</v>
      </c>
      <c r="V155" s="69">
        <f t="shared" si="39"/>
        <v>1.8608471374671923E-2</v>
      </c>
      <c r="W155" s="69">
        <f t="shared" si="39"/>
        <v>0</v>
      </c>
    </row>
    <row r="156" spans="1:23" x14ac:dyDescent="0.2">
      <c r="A156" s="80">
        <f>$A$96</f>
        <v>11</v>
      </c>
      <c r="B156" s="85">
        <f>$B$96</f>
        <v>0.80208333333333337</v>
      </c>
      <c r="C156" s="69">
        <f t="shared" ref="C156:W156" si="40">C154+h/3*(C125+4*C126+C127)</f>
        <v>6.8439060465450496E-4</v>
      </c>
      <c r="D156" s="69">
        <f t="shared" si="40"/>
        <v>1.6857605216592391E-2</v>
      </c>
      <c r="E156" s="69">
        <f t="shared" si="40"/>
        <v>0.14958078007531056</v>
      </c>
      <c r="F156" s="69">
        <f t="shared" si="40"/>
        <v>0.33553776655678369</v>
      </c>
      <c r="G156" s="69">
        <f t="shared" si="40"/>
        <v>0.49273394998251857</v>
      </c>
      <c r="H156" s="69">
        <f t="shared" si="40"/>
        <v>0.59698808653802715</v>
      </c>
      <c r="I156" s="69">
        <f t="shared" si="40"/>
        <v>0.66708802753954766</v>
      </c>
      <c r="J156" s="69">
        <f t="shared" si="40"/>
        <v>0.69162092954824428</v>
      </c>
      <c r="K156" s="69">
        <f t="shared" si="40"/>
        <v>0.70916747227961929</v>
      </c>
      <c r="L156" s="69">
        <f t="shared" si="40"/>
        <v>0.71970310607056687</v>
      </c>
      <c r="M156" s="69">
        <f t="shared" si="40"/>
        <v>0.72321950414008207</v>
      </c>
      <c r="N156" s="69">
        <f t="shared" si="40"/>
        <v>0.71970310607056687</v>
      </c>
      <c r="O156" s="69">
        <f t="shared" si="40"/>
        <v>0.70916747227961907</v>
      </c>
      <c r="P156" s="69">
        <f t="shared" si="40"/>
        <v>0.69162092954824417</v>
      </c>
      <c r="Q156" s="69">
        <f t="shared" si="40"/>
        <v>0.64077704981737771</v>
      </c>
      <c r="R156" s="69">
        <f t="shared" si="40"/>
        <v>0.53037855733360162</v>
      </c>
      <c r="S156" s="69">
        <f t="shared" si="40"/>
        <v>0.37496672949509741</v>
      </c>
      <c r="T156" s="69">
        <f t="shared" si="40"/>
        <v>0.20935613633422262</v>
      </c>
      <c r="U156" s="69">
        <f t="shared" si="40"/>
        <v>0.10291516657375895</v>
      </c>
      <c r="V156" s="69">
        <f t="shared" si="40"/>
        <v>3.4063163217086745E-2</v>
      </c>
      <c r="W156" s="69">
        <f t="shared" si="40"/>
        <v>0</v>
      </c>
    </row>
    <row r="157" spans="1:23" x14ac:dyDescent="0.2">
      <c r="A157" s="80">
        <f>$A$97</f>
        <v>12</v>
      </c>
      <c r="B157" s="85">
        <f>$B$97</f>
        <v>0.875</v>
      </c>
      <c r="C157" s="69">
        <f t="shared" ref="C157:W157" si="41">C155+h/3*(C126+4*C127+C128)</f>
        <v>8.8642941551121939E-4</v>
      </c>
      <c r="D157" s="69">
        <f t="shared" si="41"/>
        <v>4.103277858543003E-2</v>
      </c>
      <c r="E157" s="69">
        <f t="shared" si="41"/>
        <v>0.21459905909450622</v>
      </c>
      <c r="F157" s="69">
        <f t="shared" si="41"/>
        <v>0.42324046172867047</v>
      </c>
      <c r="G157" s="69">
        <f t="shared" si="41"/>
        <v>0.59241289035520717</v>
      </c>
      <c r="H157" s="69">
        <f t="shared" si="41"/>
        <v>0.7037355881902817</v>
      </c>
      <c r="I157" s="69">
        <f t="shared" si="41"/>
        <v>0.77676899819889378</v>
      </c>
      <c r="J157" s="69">
        <f t="shared" si="41"/>
        <v>0.8027278675799816</v>
      </c>
      <c r="K157" s="69">
        <f t="shared" si="41"/>
        <v>0.82143533238305233</v>
      </c>
      <c r="L157" s="69">
        <f t="shared" si="41"/>
        <v>0.83272063478606895</v>
      </c>
      <c r="M157" s="69">
        <f t="shared" si="41"/>
        <v>0.8364934531243472</v>
      </c>
      <c r="N157" s="69">
        <f t="shared" si="41"/>
        <v>0.83272063478606895</v>
      </c>
      <c r="O157" s="69">
        <f t="shared" si="41"/>
        <v>0.82143533238305211</v>
      </c>
      <c r="P157" s="69">
        <f t="shared" si="41"/>
        <v>0.80272786757998149</v>
      </c>
      <c r="Q157" s="69">
        <f t="shared" si="41"/>
        <v>0.74721009719739362</v>
      </c>
      <c r="R157" s="69">
        <f t="shared" si="41"/>
        <v>0.62615927659904502</v>
      </c>
      <c r="S157" s="69">
        <f t="shared" si="41"/>
        <v>0.45277615747686339</v>
      </c>
      <c r="T157" s="69">
        <f t="shared" si="41"/>
        <v>0.26140250994843756</v>
      </c>
      <c r="U157" s="69">
        <f t="shared" si="41"/>
        <v>0.13778540902449857</v>
      </c>
      <c r="V157" s="69">
        <f t="shared" si="41"/>
        <v>5.1150418251977747E-2</v>
      </c>
      <c r="W157" s="69">
        <f t="shared" si="41"/>
        <v>0</v>
      </c>
    </row>
    <row r="158" spans="1:23" x14ac:dyDescent="0.2">
      <c r="A158" s="80">
        <f>$A$98</f>
        <v>13</v>
      </c>
      <c r="B158" s="85">
        <f>$B$98</f>
        <v>0.94791666666666663</v>
      </c>
      <c r="C158" s="69">
        <f t="shared" ref="C158:W158" si="42">C156+h/3*(C127+4*C128+C129)</f>
        <v>-1.1459740771341638E-3</v>
      </c>
      <c r="D158" s="69">
        <f t="shared" si="42"/>
        <v>7.8289672907524588E-2</v>
      </c>
      <c r="E158" s="69">
        <f t="shared" si="42"/>
        <v>0.28975904068872205</v>
      </c>
      <c r="F158" s="69">
        <f t="shared" si="42"/>
        <v>0.51750455961009467</v>
      </c>
      <c r="G158" s="69">
        <f t="shared" si="42"/>
        <v>0.69763106630773364</v>
      </c>
      <c r="H158" s="69">
        <f t="shared" si="42"/>
        <v>0.81480604569240467</v>
      </c>
      <c r="I158" s="69">
        <f t="shared" si="42"/>
        <v>0.89031772553287281</v>
      </c>
      <c r="J158" s="69">
        <f t="shared" si="42"/>
        <v>0.91692875363733439</v>
      </c>
      <c r="K158" s="69">
        <f t="shared" si="42"/>
        <v>0.9358759903812377</v>
      </c>
      <c r="L158" s="69">
        <f t="shared" si="42"/>
        <v>0.94721708704630825</v>
      </c>
      <c r="M158" s="69">
        <f t="shared" si="42"/>
        <v>0.95099603103074859</v>
      </c>
      <c r="N158" s="69">
        <f t="shared" si="42"/>
        <v>0.94721708704630825</v>
      </c>
      <c r="O158" s="69">
        <f t="shared" si="42"/>
        <v>0.93587599038123748</v>
      </c>
      <c r="P158" s="69">
        <f t="shared" si="42"/>
        <v>0.91692875363733428</v>
      </c>
      <c r="Q158" s="69">
        <f t="shared" si="42"/>
        <v>0.85727644901490008</v>
      </c>
      <c r="R158" s="69">
        <f t="shared" si="42"/>
        <v>0.72627999732990711</v>
      </c>
      <c r="S158" s="69">
        <f t="shared" si="42"/>
        <v>0.53440056490665211</v>
      </c>
      <c r="T158" s="69">
        <f t="shared" si="42"/>
        <v>0.31772974797221187</v>
      </c>
      <c r="U158" s="69">
        <f t="shared" si="42"/>
        <v>0.1742671346091485</v>
      </c>
      <c r="V158" s="69">
        <f t="shared" si="42"/>
        <v>6.722277480422309E-2</v>
      </c>
      <c r="W158" s="69">
        <f t="shared" si="42"/>
        <v>0</v>
      </c>
    </row>
    <row r="159" spans="1:23" x14ac:dyDescent="0.2">
      <c r="A159" s="80">
        <f>$A$99</f>
        <v>14</v>
      </c>
      <c r="B159" s="85">
        <f>$B$99</f>
        <v>1.0208333333333333</v>
      </c>
      <c r="C159" s="69">
        <f t="shared" ref="C159:W159" si="43">C157+h/3*(C128+4*C129+C130)</f>
        <v>-1.746935636281683E-3</v>
      </c>
      <c r="D159" s="69">
        <f t="shared" si="43"/>
        <v>0.12963601926067389</v>
      </c>
      <c r="E159" s="69">
        <f t="shared" si="43"/>
        <v>0.37331269937871892</v>
      </c>
      <c r="F159" s="69">
        <f t="shared" si="43"/>
        <v>0.61766715250231674</v>
      </c>
      <c r="G159" s="69">
        <f t="shared" si="43"/>
        <v>0.80682100946010016</v>
      </c>
      <c r="H159" s="69">
        <f t="shared" si="43"/>
        <v>0.9286686392237935</v>
      </c>
      <c r="I159" s="69">
        <f t="shared" si="43"/>
        <v>1.0066107868394196</v>
      </c>
      <c r="J159" s="69">
        <f t="shared" si="43"/>
        <v>1.0342105545351448</v>
      </c>
      <c r="K159" s="69">
        <f t="shared" si="43"/>
        <v>1.0539947535699474</v>
      </c>
      <c r="L159" s="69">
        <f t="shared" si="43"/>
        <v>1.0658884980700001</v>
      </c>
      <c r="M159" s="69">
        <f t="shared" si="43"/>
        <v>1.0698579383287392</v>
      </c>
      <c r="N159" s="69">
        <f t="shared" si="43"/>
        <v>1.0658884980700001</v>
      </c>
      <c r="O159" s="69">
        <f t="shared" si="43"/>
        <v>1.0539947535699472</v>
      </c>
      <c r="P159" s="69">
        <f t="shared" si="43"/>
        <v>1.0342105545351448</v>
      </c>
      <c r="Q159" s="69">
        <f t="shared" si="43"/>
        <v>0.96981374088584316</v>
      </c>
      <c r="R159" s="69">
        <f t="shared" si="43"/>
        <v>0.82896984269706353</v>
      </c>
      <c r="S159" s="69">
        <f t="shared" si="43"/>
        <v>0.61955513472225565</v>
      </c>
      <c r="T159" s="69">
        <f t="shared" si="43"/>
        <v>0.37777933507411632</v>
      </c>
      <c r="U159" s="69">
        <f t="shared" si="43"/>
        <v>0.2100973348464546</v>
      </c>
      <c r="V159" s="69">
        <f t="shared" si="43"/>
        <v>8.2251266114947846E-2</v>
      </c>
      <c r="W159" s="69">
        <f t="shared" si="43"/>
        <v>0</v>
      </c>
    </row>
    <row r="160" spans="1:23" x14ac:dyDescent="0.2">
      <c r="A160" s="80">
        <f>$A$100</f>
        <v>15</v>
      </c>
      <c r="B160" s="85">
        <f>$B$100</f>
        <v>1.09375</v>
      </c>
      <c r="C160" s="69">
        <f t="shared" ref="C160:W160" si="44">C158+h/3*(C129+4*C130+C131)</f>
        <v>9.879743686258477E-3</v>
      </c>
      <c r="D160" s="69">
        <f t="shared" si="44"/>
        <v>0.19440689711616488</v>
      </c>
      <c r="E160" s="69">
        <f t="shared" si="44"/>
        <v>0.46393285958466401</v>
      </c>
      <c r="F160" s="69">
        <f t="shared" si="44"/>
        <v>0.72235451277554052</v>
      </c>
      <c r="G160" s="69">
        <f t="shared" si="44"/>
        <v>0.91942112169292511</v>
      </c>
      <c r="H160" s="69">
        <f t="shared" si="44"/>
        <v>1.0451179244276139</v>
      </c>
      <c r="I160" s="69">
        <f t="shared" si="44"/>
        <v>1.1254098552156278</v>
      </c>
      <c r="J160" s="69">
        <f t="shared" si="44"/>
        <v>1.1531804758984487</v>
      </c>
      <c r="K160" s="69">
        <f t="shared" si="44"/>
        <v>1.1728737889788836</v>
      </c>
      <c r="L160" s="69">
        <f t="shared" si="44"/>
        <v>1.1846327907280734</v>
      </c>
      <c r="M160" s="69">
        <f t="shared" si="44"/>
        <v>1.1885463746512892</v>
      </c>
      <c r="N160" s="69">
        <f t="shared" si="44"/>
        <v>1.1846327907280731</v>
      </c>
      <c r="O160" s="69">
        <f t="shared" si="44"/>
        <v>1.1728737889788834</v>
      </c>
      <c r="P160" s="69">
        <f t="shared" si="44"/>
        <v>1.1531804758984485</v>
      </c>
      <c r="Q160" s="69">
        <f t="shared" si="44"/>
        <v>1.0847451985701015</v>
      </c>
      <c r="R160" s="69">
        <f t="shared" si="44"/>
        <v>0.9344959561235715</v>
      </c>
      <c r="S160" s="69">
        <f t="shared" si="44"/>
        <v>0.70724124336125216</v>
      </c>
      <c r="T160" s="69">
        <f t="shared" si="44"/>
        <v>0.44041291409986127</v>
      </c>
      <c r="U160" s="69">
        <f t="shared" si="44"/>
        <v>0.24503327142411252</v>
      </c>
      <c r="V160" s="69">
        <f t="shared" si="44"/>
        <v>9.6713522829217025E-2</v>
      </c>
      <c r="W160" s="69">
        <f t="shared" si="44"/>
        <v>0</v>
      </c>
    </row>
    <row r="161" spans="1:23" x14ac:dyDescent="0.2">
      <c r="A161" s="80">
        <f>$A$101</f>
        <v>16</v>
      </c>
      <c r="B161" s="85">
        <f>$B$101</f>
        <v>1.1666666666666667</v>
      </c>
      <c r="C161" s="69">
        <f t="shared" ref="C161:W161" si="45">C159+h/3*(C130+4*C131+C132)</f>
        <v>4.0899196487794214E-2</v>
      </c>
      <c r="D161" s="69">
        <f t="shared" si="45"/>
        <v>0.26900394562379382</v>
      </c>
      <c r="E161" s="69">
        <f t="shared" si="45"/>
        <v>0.5604842805614928</v>
      </c>
      <c r="F161" s="69">
        <f t="shared" si="45"/>
        <v>0.83095462288186228</v>
      </c>
      <c r="G161" s="69">
        <f t="shared" si="45"/>
        <v>1.0344660137392339</v>
      </c>
      <c r="H161" s="69">
        <f t="shared" si="45"/>
        <v>1.1635263729173146</v>
      </c>
      <c r="I161" s="69">
        <f t="shared" si="45"/>
        <v>1.2455374884647152</v>
      </c>
      <c r="J161" s="69">
        <f t="shared" si="45"/>
        <v>1.2739286354339807</v>
      </c>
      <c r="K161" s="69">
        <f t="shared" si="45"/>
        <v>1.2942288658832555</v>
      </c>
      <c r="L161" s="69">
        <f t="shared" si="45"/>
        <v>1.3064149893411245</v>
      </c>
      <c r="M161" s="69">
        <f t="shared" si="45"/>
        <v>1.3104792406270147</v>
      </c>
      <c r="N161" s="69">
        <f t="shared" si="45"/>
        <v>1.3064149893411245</v>
      </c>
      <c r="O161" s="69">
        <f t="shared" si="45"/>
        <v>1.2942288658832553</v>
      </c>
      <c r="P161" s="69">
        <f t="shared" si="45"/>
        <v>1.2739286354339807</v>
      </c>
      <c r="Q161" s="69">
        <f t="shared" si="45"/>
        <v>1.2012261859139299</v>
      </c>
      <c r="R161" s="69">
        <f t="shared" si="45"/>
        <v>1.0418320289125016</v>
      </c>
      <c r="S161" s="69">
        <f t="shared" si="45"/>
        <v>0.79704590333481362</v>
      </c>
      <c r="T161" s="69">
        <f t="shared" si="45"/>
        <v>0.50484318493130853</v>
      </c>
      <c r="U161" s="69">
        <f t="shared" si="45"/>
        <v>0.27975624199792093</v>
      </c>
      <c r="V161" s="69">
        <f t="shared" si="45"/>
        <v>0.11036665571851989</v>
      </c>
      <c r="W161" s="69">
        <f t="shared" si="45"/>
        <v>0</v>
      </c>
    </row>
    <row r="162" spans="1:23" x14ac:dyDescent="0.2">
      <c r="A162" s="80">
        <f>$A$102</f>
        <v>17</v>
      </c>
      <c r="B162" s="85">
        <f>$B$102</f>
        <v>1.2395833333333333</v>
      </c>
      <c r="C162" s="69">
        <f t="shared" ref="C162:W162" si="46">C160+h/3*(C131+4*C132+C133)</f>
        <v>8.7929215789450857E-2</v>
      </c>
      <c r="D162" s="69">
        <f t="shared" si="46"/>
        <v>0.35079188254836402</v>
      </c>
      <c r="E162" s="69">
        <f t="shared" si="46"/>
        <v>0.66183457753639285</v>
      </c>
      <c r="F162" s="69">
        <f t="shared" si="46"/>
        <v>0.94256605411150018</v>
      </c>
      <c r="G162" s="69">
        <f t="shared" si="46"/>
        <v>1.1520421617581458</v>
      </c>
      <c r="H162" s="69">
        <f t="shared" si="46"/>
        <v>1.2839981642087892</v>
      </c>
      <c r="I162" s="69">
        <f t="shared" si="46"/>
        <v>1.3672255151314092</v>
      </c>
      <c r="J162" s="69">
        <f t="shared" si="46"/>
        <v>1.3955864578965564</v>
      </c>
      <c r="K162" s="69">
        <f t="shared" si="46"/>
        <v>1.4156757199649481</v>
      </c>
      <c r="L162" s="69">
        <f t="shared" si="46"/>
        <v>1.4276624336331409</v>
      </c>
      <c r="M162" s="69">
        <f t="shared" si="46"/>
        <v>1.4316503140944956</v>
      </c>
      <c r="N162" s="69">
        <f t="shared" si="46"/>
        <v>1.4276624336331407</v>
      </c>
      <c r="O162" s="69">
        <f t="shared" si="46"/>
        <v>1.4156757199649479</v>
      </c>
      <c r="P162" s="69">
        <f t="shared" si="46"/>
        <v>1.3955864578965562</v>
      </c>
      <c r="Q162" s="69">
        <f t="shared" si="46"/>
        <v>1.3192930448515972</v>
      </c>
      <c r="R162" s="69">
        <f t="shared" si="46"/>
        <v>1.1513482888542912</v>
      </c>
      <c r="S162" s="69">
        <f t="shared" si="46"/>
        <v>0.88814621271588934</v>
      </c>
      <c r="T162" s="69">
        <f t="shared" si="46"/>
        <v>0.57069073388003988</v>
      </c>
      <c r="U162" s="69">
        <f t="shared" si="46"/>
        <v>0.31485067971408859</v>
      </c>
      <c r="V162" s="69">
        <f t="shared" si="46"/>
        <v>0.12303862017942789</v>
      </c>
      <c r="W162" s="69">
        <f t="shared" si="46"/>
        <v>0</v>
      </c>
    </row>
    <row r="163" spans="1:23" x14ac:dyDescent="0.2">
      <c r="A163" s="80">
        <f>$A$103</f>
        <v>18</v>
      </c>
      <c r="B163" s="85">
        <f>$B$103</f>
        <v>1.3125</v>
      </c>
      <c r="C163" s="69">
        <f t="shared" ref="C163:W163" si="47">C161+h/3*(C132+4*C133+C134)</f>
        <v>0.14657909305608718</v>
      </c>
      <c r="D163" s="69">
        <f t="shared" si="47"/>
        <v>0.43880301188307691</v>
      </c>
      <c r="E163" s="69">
        <f t="shared" si="47"/>
        <v>0.7669909463125103</v>
      </c>
      <c r="F163" s="69">
        <f t="shared" si="47"/>
        <v>1.0569411464810547</v>
      </c>
      <c r="G163" s="69">
        <f t="shared" si="47"/>
        <v>1.271210587815599</v>
      </c>
      <c r="H163" s="69">
        <f t="shared" si="47"/>
        <v>1.4057136612764267</v>
      </c>
      <c r="I163" s="69">
        <f t="shared" si="47"/>
        <v>1.4897945158075945</v>
      </c>
      <c r="J163" s="69">
        <f t="shared" si="47"/>
        <v>1.5186416133838843</v>
      </c>
      <c r="K163" s="69">
        <f t="shared" si="47"/>
        <v>1.5392433920905031</v>
      </c>
      <c r="L163" s="69">
        <f t="shared" si="47"/>
        <v>1.5516010281486705</v>
      </c>
      <c r="M163" s="69">
        <f t="shared" si="47"/>
        <v>1.5557209055902859</v>
      </c>
      <c r="N163" s="69">
        <f t="shared" si="47"/>
        <v>1.5516010281486705</v>
      </c>
      <c r="O163" s="69">
        <f t="shared" si="47"/>
        <v>1.5392433920905029</v>
      </c>
      <c r="P163" s="69">
        <f t="shared" si="47"/>
        <v>1.5186416133838843</v>
      </c>
      <c r="Q163" s="69">
        <f t="shared" si="47"/>
        <v>1.4381482636109066</v>
      </c>
      <c r="R163" s="69">
        <f t="shared" si="47"/>
        <v>1.2616599809712352</v>
      </c>
      <c r="S163" s="69">
        <f t="shared" si="47"/>
        <v>0.9807629376813044</v>
      </c>
      <c r="T163" s="69">
        <f t="shared" si="47"/>
        <v>0.63777177579912259</v>
      </c>
      <c r="U163" s="69">
        <f t="shared" si="47"/>
        <v>0.35058422653235533</v>
      </c>
      <c r="V163" s="69">
        <f t="shared" si="47"/>
        <v>0.13511402367509473</v>
      </c>
      <c r="W163" s="69">
        <f t="shared" si="47"/>
        <v>0</v>
      </c>
    </row>
    <row r="164" spans="1:23" x14ac:dyDescent="0.2">
      <c r="A164" s="80">
        <f>$A$104</f>
        <v>19</v>
      </c>
      <c r="B164" s="85">
        <f>$B$104</f>
        <v>1.3854166666666667</v>
      </c>
      <c r="C164" s="69">
        <f t="shared" ref="C164:W164" si="48">C162+h/3*(C133+4*C134+C135)</f>
        <v>0.21197843956176751</v>
      </c>
      <c r="D164" s="69">
        <f t="shared" si="48"/>
        <v>0.53180776656342554</v>
      </c>
      <c r="E164" s="69">
        <f t="shared" si="48"/>
        <v>0.87524725411795845</v>
      </c>
      <c r="F164" s="69">
        <f t="shared" si="48"/>
        <v>1.1733840387298966</v>
      </c>
      <c r="G164" s="69">
        <f t="shared" si="48"/>
        <v>1.3920421140910997</v>
      </c>
      <c r="H164" s="69">
        <f t="shared" si="48"/>
        <v>1.5286414212768635</v>
      </c>
      <c r="I164" s="69">
        <f t="shared" si="48"/>
        <v>1.6134721637326972</v>
      </c>
      <c r="J164" s="69">
        <f t="shared" si="48"/>
        <v>1.6421307768720566</v>
      </c>
      <c r="K164" s="69">
        <f t="shared" si="48"/>
        <v>1.6624100650579743</v>
      </c>
      <c r="L164" s="69">
        <f t="shared" si="48"/>
        <v>1.6745022517638615</v>
      </c>
      <c r="M164" s="69">
        <f t="shared" si="48"/>
        <v>1.678523914559273</v>
      </c>
      <c r="N164" s="69">
        <f t="shared" si="48"/>
        <v>1.6745022517638612</v>
      </c>
      <c r="O164" s="69">
        <f t="shared" si="48"/>
        <v>1.6624100650579741</v>
      </c>
      <c r="P164" s="69">
        <f t="shared" si="48"/>
        <v>1.6421307768720563</v>
      </c>
      <c r="Q164" s="69">
        <f t="shared" si="48"/>
        <v>1.5579546665250552</v>
      </c>
      <c r="R164" s="69">
        <f t="shared" si="48"/>
        <v>1.3731428953653415</v>
      </c>
      <c r="S164" s="69">
        <f t="shared" si="48"/>
        <v>1.0744697400485073</v>
      </c>
      <c r="T164" s="69">
        <f t="shared" si="48"/>
        <v>0.70597619436001557</v>
      </c>
      <c r="U164" s="69">
        <f t="shared" si="48"/>
        <v>0.38676568968506198</v>
      </c>
      <c r="V164" s="69">
        <f t="shared" si="48"/>
        <v>0.14651538049055149</v>
      </c>
      <c r="W164" s="69">
        <f t="shared" si="48"/>
        <v>0</v>
      </c>
    </row>
    <row r="165" spans="1:23" x14ac:dyDescent="0.2">
      <c r="A165" s="80">
        <f>$A$105</f>
        <v>20</v>
      </c>
      <c r="B165" s="85">
        <f>$B$105</f>
        <v>1.4583333333333333</v>
      </c>
      <c r="C165" s="69">
        <f t="shared" ref="C165:W165" si="49">C163+h/3*(C134+4*C135+C136)</f>
        <v>0.28283124218302469</v>
      </c>
      <c r="D165" s="69">
        <f t="shared" si="49"/>
        <v>0.62818149797738621</v>
      </c>
      <c r="E165" s="69">
        <f t="shared" si="49"/>
        <v>0.98613187200184527</v>
      </c>
      <c r="F165" s="69">
        <f t="shared" si="49"/>
        <v>1.2917345345477624</v>
      </c>
      <c r="G165" s="69">
        <f t="shared" si="49"/>
        <v>1.5138316129545812</v>
      </c>
      <c r="H165" s="69">
        <f t="shared" si="49"/>
        <v>1.6519795472585039</v>
      </c>
      <c r="I165" s="69">
        <f t="shared" si="49"/>
        <v>1.7373384567735135</v>
      </c>
      <c r="J165" s="69">
        <f t="shared" si="49"/>
        <v>1.7663245073541167</v>
      </c>
      <c r="K165" s="69">
        <f t="shared" si="49"/>
        <v>1.7870113917598611</v>
      </c>
      <c r="L165" s="69">
        <f t="shared" si="49"/>
        <v>1.7994150345594786</v>
      </c>
      <c r="M165" s="69">
        <f t="shared" si="49"/>
        <v>1.8035494594042965</v>
      </c>
      <c r="N165" s="69">
        <f t="shared" si="49"/>
        <v>1.7994150345594786</v>
      </c>
      <c r="O165" s="69">
        <f t="shared" si="49"/>
        <v>1.7870113917598609</v>
      </c>
      <c r="P165" s="69">
        <f t="shared" si="49"/>
        <v>1.7663245073541167</v>
      </c>
      <c r="Q165" s="69">
        <f t="shared" si="49"/>
        <v>1.6780825447972785</v>
      </c>
      <c r="R165" s="69">
        <f t="shared" si="49"/>
        <v>1.4848112354428529</v>
      </c>
      <c r="S165" s="69">
        <f t="shared" si="49"/>
        <v>1.1692568318358421</v>
      </c>
      <c r="T165" s="69">
        <f t="shared" si="49"/>
        <v>0.77502796314163747</v>
      </c>
      <c r="U165" s="69">
        <f t="shared" si="49"/>
        <v>0.42315878252403955</v>
      </c>
      <c r="V165" s="69">
        <f t="shared" si="49"/>
        <v>0.15702483858178026</v>
      </c>
      <c r="W165" s="69">
        <f t="shared" si="49"/>
        <v>0</v>
      </c>
    </row>
    <row r="166" spans="1:23" x14ac:dyDescent="0.2">
      <c r="A166" s="80">
        <f>$A$106</f>
        <v>21</v>
      </c>
      <c r="B166" s="85">
        <f>$B$106</f>
        <v>1.53125</v>
      </c>
      <c r="C166" s="69">
        <f t="shared" ref="C166:W166" si="50">C164+h/3*(C135+4*C136+C137)</f>
        <v>0.35780300848607016</v>
      </c>
      <c r="D166" s="69">
        <f t="shared" si="50"/>
        <v>0.72739574019120001</v>
      </c>
      <c r="E166" s="69">
        <f t="shared" si="50"/>
        <v>1.0993953407022874</v>
      </c>
      <c r="F166" s="69">
        <f t="shared" si="50"/>
        <v>1.4113385597435173</v>
      </c>
      <c r="G166" s="69">
        <f t="shared" si="50"/>
        <v>1.6368600946323268</v>
      </c>
      <c r="H166" s="69">
        <f t="shared" si="50"/>
        <v>1.7758249737427545</v>
      </c>
      <c r="I166" s="69">
        <f t="shared" si="50"/>
        <v>1.8616058010648344</v>
      </c>
      <c r="J166" s="69">
        <f t="shared" si="50"/>
        <v>1.8903061627672919</v>
      </c>
      <c r="K166" s="69">
        <f t="shared" si="50"/>
        <v>1.9106097210323087</v>
      </c>
      <c r="L166" s="69">
        <f t="shared" si="50"/>
        <v>1.9227145722889361</v>
      </c>
      <c r="M166" s="69">
        <f t="shared" si="50"/>
        <v>1.9267401687161174</v>
      </c>
      <c r="N166" s="69">
        <f t="shared" si="50"/>
        <v>1.9227145722889358</v>
      </c>
      <c r="O166" s="69">
        <f t="shared" si="50"/>
        <v>1.9106097210323085</v>
      </c>
      <c r="P166" s="69">
        <f t="shared" si="50"/>
        <v>1.8903061627672917</v>
      </c>
      <c r="Q166" s="69">
        <f t="shared" si="50"/>
        <v>1.7988270453707873</v>
      </c>
      <c r="R166" s="69">
        <f t="shared" si="50"/>
        <v>1.5973383628867068</v>
      </c>
      <c r="S166" s="69">
        <f t="shared" si="50"/>
        <v>1.2644000199875329</v>
      </c>
      <c r="T166" s="69">
        <f t="shared" si="50"/>
        <v>0.84458537837439696</v>
      </c>
      <c r="U166" s="69">
        <f t="shared" si="50"/>
        <v>0.45960044100331254</v>
      </c>
      <c r="V166" s="69">
        <f t="shared" si="50"/>
        <v>0.16670592901243572</v>
      </c>
      <c r="W166" s="69">
        <f t="shared" si="50"/>
        <v>0</v>
      </c>
    </row>
    <row r="167" spans="1:23" x14ac:dyDescent="0.2">
      <c r="A167" s="80">
        <f>$A$107</f>
        <v>22</v>
      </c>
      <c r="B167" s="85">
        <f>$B$107</f>
        <v>1.6041666666666667</v>
      </c>
      <c r="C167" s="69">
        <f t="shared" ref="C167:W167" si="51">C165+h/3*(C136+4*C137+C138)</f>
        <v>0.43700165628329646</v>
      </c>
      <c r="D167" s="69">
        <f t="shared" si="51"/>
        <v>0.82929342441535647</v>
      </c>
      <c r="E167" s="69">
        <f t="shared" si="51"/>
        <v>1.2147020574677254</v>
      </c>
      <c r="F167" s="69">
        <f t="shared" si="51"/>
        <v>1.5321297793278106</v>
      </c>
      <c r="G167" s="69">
        <f t="shared" si="51"/>
        <v>1.760359039451058</v>
      </c>
      <c r="H167" s="69">
        <f t="shared" si="51"/>
        <v>1.8996289569213149</v>
      </c>
      <c r="I167" s="69">
        <f t="shared" si="51"/>
        <v>1.9856312285310218</v>
      </c>
      <c r="J167" s="69">
        <f t="shared" si="51"/>
        <v>2.0146229010396386</v>
      </c>
      <c r="K167" s="69">
        <f t="shared" si="51"/>
        <v>2.0353127479394346</v>
      </c>
      <c r="L167" s="69">
        <f t="shared" si="51"/>
        <v>2.0477178427163887</v>
      </c>
      <c r="M167" s="69">
        <f t="shared" si="51"/>
        <v>2.0518527045519348</v>
      </c>
      <c r="N167" s="69">
        <f t="shared" si="51"/>
        <v>2.0477178427163887</v>
      </c>
      <c r="O167" s="69">
        <f t="shared" si="51"/>
        <v>2.0353127479394346</v>
      </c>
      <c r="P167" s="69">
        <f t="shared" si="51"/>
        <v>2.0146229010396386</v>
      </c>
      <c r="Q167" s="69">
        <f t="shared" si="51"/>
        <v>1.9196429490121352</v>
      </c>
      <c r="R167" s="69">
        <f t="shared" si="51"/>
        <v>1.709733813766656</v>
      </c>
      <c r="S167" s="69">
        <f t="shared" si="51"/>
        <v>1.3599451121164314</v>
      </c>
      <c r="T167" s="69">
        <f t="shared" si="51"/>
        <v>0.91436497605367273</v>
      </c>
      <c r="U167" s="69">
        <f t="shared" si="51"/>
        <v>0.49603038480100559</v>
      </c>
      <c r="V167" s="69">
        <f t="shared" si="51"/>
        <v>0.17586434726993935</v>
      </c>
      <c r="W167" s="69">
        <f t="shared" si="51"/>
        <v>0</v>
      </c>
    </row>
    <row r="168" spans="1:23" x14ac:dyDescent="0.2">
      <c r="A168" s="80">
        <f>$A$138+1</f>
        <v>23</v>
      </c>
      <c r="B168" s="85">
        <f>$B$108</f>
        <v>1.6770833333333333</v>
      </c>
      <c r="C168" s="69">
        <f t="shared" ref="C168:W168" si="52">C166+h/3*(C137+4*C138+C139)</f>
        <v>0.51899158447519866</v>
      </c>
      <c r="D168" s="69">
        <f t="shared" si="52"/>
        <v>0.9332990977300244</v>
      </c>
      <c r="E168" s="69">
        <f t="shared" si="52"/>
        <v>1.3315254284690765</v>
      </c>
      <c r="F168" s="69">
        <f t="shared" si="52"/>
        <v>1.653601519935973</v>
      </c>
      <c r="G168" s="69">
        <f t="shared" si="52"/>
        <v>1.884465444599462</v>
      </c>
      <c r="H168" s="69">
        <f t="shared" si="52"/>
        <v>2.0237449279258359</v>
      </c>
      <c r="I168" s="69">
        <f t="shared" si="52"/>
        <v>2.1099180965441846</v>
      </c>
      <c r="J168" s="69">
        <f t="shared" si="52"/>
        <v>2.1386180363189835</v>
      </c>
      <c r="K168" s="69">
        <f t="shared" si="52"/>
        <v>2.1589212259863695</v>
      </c>
      <c r="L168" s="69">
        <f t="shared" si="52"/>
        <v>2.1710258428997089</v>
      </c>
      <c r="M168" s="69">
        <f t="shared" si="52"/>
        <v>2.1750513599124535</v>
      </c>
      <c r="N168" s="69">
        <f t="shared" si="52"/>
        <v>2.1710258428997085</v>
      </c>
      <c r="O168" s="69">
        <f t="shared" si="52"/>
        <v>2.1589212259863695</v>
      </c>
      <c r="P168" s="69">
        <f t="shared" si="52"/>
        <v>2.1386180363189831</v>
      </c>
      <c r="Q168" s="69">
        <f t="shared" si="52"/>
        <v>2.040895637641758</v>
      </c>
      <c r="R168" s="69">
        <f t="shared" si="52"/>
        <v>1.8226050976855155</v>
      </c>
      <c r="S168" s="69">
        <f t="shared" si="52"/>
        <v>1.4553884136167385</v>
      </c>
      <c r="T168" s="69">
        <f t="shared" si="52"/>
        <v>0.98421598956094725</v>
      </c>
      <c r="U168" s="69">
        <f t="shared" si="52"/>
        <v>0.53243792595610695</v>
      </c>
      <c r="V168" s="69">
        <f t="shared" si="52"/>
        <v>0.18435349660487826</v>
      </c>
      <c r="W168" s="69">
        <f t="shared" si="52"/>
        <v>0</v>
      </c>
    </row>
    <row r="169" spans="1:23" ht="13.5" thickBot="1" x14ac:dyDescent="0.25">
      <c r="A169" s="82">
        <f>$A$139+1</f>
        <v>24</v>
      </c>
      <c r="B169" s="89">
        <f>$B$109</f>
        <v>1.75</v>
      </c>
      <c r="C169" s="69">
        <f t="shared" ref="C169:W169" si="53">C167+h/3*(C138+4*C139+C140)</f>
        <v>0.603285908941259</v>
      </c>
      <c r="D169" s="69">
        <f t="shared" si="53"/>
        <v>1.0386599789471602</v>
      </c>
      <c r="E169" s="69">
        <f t="shared" si="53"/>
        <v>1.4494172909342971</v>
      </c>
      <c r="F169" s="69">
        <f t="shared" si="53"/>
        <v>1.7758622402775139</v>
      </c>
      <c r="G169" s="69">
        <f t="shared" si="53"/>
        <v>2.0084710334227065</v>
      </c>
      <c r="H169" s="69">
        <f t="shared" si="53"/>
        <v>2.1477559930557781</v>
      </c>
      <c r="I169" s="69">
        <f t="shared" si="53"/>
        <v>2.2339435866979107</v>
      </c>
      <c r="J169" s="69">
        <f t="shared" si="53"/>
        <v>2.2629347022068487</v>
      </c>
      <c r="K169" s="69">
        <f t="shared" si="53"/>
        <v>2.2836241723832416</v>
      </c>
      <c r="L169" s="69">
        <f t="shared" si="53"/>
        <v>2.2960290496745195</v>
      </c>
      <c r="M169" s="69">
        <f t="shared" si="53"/>
        <v>2.3001638404420315</v>
      </c>
      <c r="N169" s="69">
        <f t="shared" si="53"/>
        <v>2.2960290496745195</v>
      </c>
      <c r="O169" s="69">
        <f t="shared" si="53"/>
        <v>2.2836241723832416</v>
      </c>
      <c r="P169" s="69">
        <f t="shared" si="53"/>
        <v>2.2629347022068487</v>
      </c>
      <c r="Q169" s="69">
        <f t="shared" si="53"/>
        <v>2.1621027314208896</v>
      </c>
      <c r="R169" s="69">
        <f t="shared" si="53"/>
        <v>1.9350202319866179</v>
      </c>
      <c r="S169" s="69">
        <f t="shared" si="53"/>
        <v>1.550965355299341</v>
      </c>
      <c r="T169" s="69">
        <f t="shared" si="53"/>
        <v>1.0540414065160886</v>
      </c>
      <c r="U169" s="69">
        <f t="shared" si="53"/>
        <v>0.56885514765312106</v>
      </c>
      <c r="V169" s="69">
        <f t="shared" si="53"/>
        <v>0.19200763650983591</v>
      </c>
      <c r="W169" s="69">
        <f t="shared" si="53"/>
        <v>0</v>
      </c>
    </row>
    <row r="170" spans="1:23" ht="13.5" thickBot="1" x14ac:dyDescent="0.25">
      <c r="A170" s="91" t="s">
        <v>5</v>
      </c>
      <c r="B170" s="19"/>
      <c r="C170" s="19"/>
      <c r="D170" s="19"/>
      <c r="E170" s="19"/>
      <c r="F170" s="19"/>
      <c r="G170" s="19"/>
      <c r="H170" s="19"/>
      <c r="I170" s="19"/>
      <c r="J170" s="19"/>
      <c r="K170" s="19"/>
      <c r="L170" s="19"/>
      <c r="M170" s="19"/>
      <c r="N170" s="19"/>
      <c r="O170" s="19"/>
      <c r="P170" s="19"/>
      <c r="Q170" s="19"/>
      <c r="R170" s="19"/>
      <c r="S170" s="19"/>
      <c r="T170" s="19"/>
      <c r="U170" s="19"/>
      <c r="V170" s="19"/>
    </row>
    <row r="171" spans="1:23" x14ac:dyDescent="0.2">
      <c r="A171" s="86"/>
      <c r="B171" s="87"/>
      <c r="C171" s="72">
        <v>21</v>
      </c>
      <c r="D171" s="72">
        <v>20</v>
      </c>
      <c r="E171" s="72">
        <v>19</v>
      </c>
      <c r="F171" s="72">
        <v>18</v>
      </c>
      <c r="G171" s="72">
        <v>17</v>
      </c>
      <c r="H171" s="72">
        <v>16</v>
      </c>
      <c r="I171" s="72">
        <v>15</v>
      </c>
      <c r="J171" s="72">
        <v>14</v>
      </c>
      <c r="K171" s="72">
        <v>13</v>
      </c>
      <c r="L171" s="72">
        <v>12</v>
      </c>
      <c r="M171" s="72">
        <v>11</v>
      </c>
      <c r="N171" s="72">
        <v>10</v>
      </c>
      <c r="O171" s="72">
        <v>9</v>
      </c>
      <c r="P171" s="72">
        <v>8</v>
      </c>
      <c r="Q171" s="72">
        <v>7</v>
      </c>
      <c r="R171" s="72">
        <v>6</v>
      </c>
      <c r="S171" s="72">
        <v>5</v>
      </c>
      <c r="T171" s="72">
        <v>4</v>
      </c>
      <c r="U171" s="72">
        <v>3</v>
      </c>
      <c r="V171" s="72">
        <v>2</v>
      </c>
      <c r="W171" s="73">
        <v>1</v>
      </c>
    </row>
    <row r="172" spans="1:23" x14ac:dyDescent="0.2">
      <c r="A172" s="88" t="s">
        <v>53</v>
      </c>
      <c r="B172" s="56" t="s">
        <v>54</v>
      </c>
      <c r="C172" s="68">
        <v>0</v>
      </c>
      <c r="D172" s="68">
        <f t="shared" ref="D172:V172" si="54">C172+$W$115/20</f>
        <v>0.86</v>
      </c>
      <c r="E172" s="68">
        <f t="shared" si="54"/>
        <v>1.72</v>
      </c>
      <c r="F172" s="68">
        <f t="shared" si="54"/>
        <v>2.58</v>
      </c>
      <c r="G172" s="68">
        <f t="shared" si="54"/>
        <v>3.44</v>
      </c>
      <c r="H172" s="68">
        <f t="shared" si="54"/>
        <v>4.3</v>
      </c>
      <c r="I172" s="68">
        <f t="shared" si="54"/>
        <v>5.16</v>
      </c>
      <c r="J172" s="68">
        <f t="shared" si="54"/>
        <v>6.0200000000000005</v>
      </c>
      <c r="K172" s="68">
        <f t="shared" si="54"/>
        <v>6.8800000000000008</v>
      </c>
      <c r="L172" s="68">
        <f t="shared" si="54"/>
        <v>7.7400000000000011</v>
      </c>
      <c r="M172" s="68">
        <f t="shared" si="54"/>
        <v>8.6000000000000014</v>
      </c>
      <c r="N172" s="68">
        <f t="shared" si="54"/>
        <v>9.4600000000000009</v>
      </c>
      <c r="O172" s="68">
        <f t="shared" si="54"/>
        <v>10.32</v>
      </c>
      <c r="P172" s="68">
        <f t="shared" si="54"/>
        <v>11.18</v>
      </c>
      <c r="Q172" s="68">
        <f t="shared" si="54"/>
        <v>12.04</v>
      </c>
      <c r="R172" s="68">
        <f t="shared" si="54"/>
        <v>12.899999999999999</v>
      </c>
      <c r="S172" s="68">
        <f t="shared" si="54"/>
        <v>13.759999999999998</v>
      </c>
      <c r="T172" s="68">
        <f t="shared" si="54"/>
        <v>14.619999999999997</v>
      </c>
      <c r="U172" s="68">
        <f t="shared" si="54"/>
        <v>15.479999999999997</v>
      </c>
      <c r="V172" s="68">
        <f t="shared" si="54"/>
        <v>16.339999999999996</v>
      </c>
      <c r="W172" s="58">
        <f>LWL</f>
        <v>17.2</v>
      </c>
    </row>
    <row r="173" spans="1:23" x14ac:dyDescent="0.2">
      <c r="A173" s="80">
        <f>$A$85</f>
        <v>0</v>
      </c>
      <c r="B173" s="85">
        <f>$B$85</f>
        <v>0</v>
      </c>
      <c r="C173" s="69">
        <v>0</v>
      </c>
      <c r="D173" s="69">
        <v>0</v>
      </c>
      <c r="E173" s="69">
        <v>0</v>
      </c>
      <c r="F173" s="69">
        <v>0</v>
      </c>
      <c r="G173" s="69">
        <v>0</v>
      </c>
      <c r="H173" s="69">
        <v>0</v>
      </c>
      <c r="I173" s="69">
        <v>0</v>
      </c>
      <c r="J173" s="69">
        <v>0</v>
      </c>
      <c r="K173" s="69">
        <v>0</v>
      </c>
      <c r="L173" s="69">
        <v>0</v>
      </c>
      <c r="M173" s="69">
        <v>0</v>
      </c>
      <c r="N173" s="69">
        <v>0</v>
      </c>
      <c r="O173" s="69">
        <v>0</v>
      </c>
      <c r="P173" s="69">
        <v>0</v>
      </c>
      <c r="Q173" s="69">
        <v>0</v>
      </c>
      <c r="R173" s="69">
        <v>0</v>
      </c>
      <c r="S173" s="69">
        <v>0</v>
      </c>
      <c r="T173" s="69">
        <v>0</v>
      </c>
      <c r="U173" s="69">
        <v>0</v>
      </c>
      <c r="V173" s="69">
        <v>0</v>
      </c>
      <c r="W173" s="69">
        <v>0</v>
      </c>
    </row>
    <row r="174" spans="1:23" x14ac:dyDescent="0.2">
      <c r="A174" s="80">
        <f>$A$86</f>
        <v>1</v>
      </c>
      <c r="B174" s="85">
        <f>$B$86</f>
        <v>7.2916666666666671E-2</v>
      </c>
      <c r="C174" s="69">
        <f>h^2/24*(3*C116+10*C117-C118)</f>
        <v>1.4565762833391129E-7</v>
      </c>
      <c r="D174" s="69">
        <f t="shared" ref="D174:W174" si="55">h^2/24*(3*D116+10*D117-D118)</f>
        <v>6.7520396020332081E-7</v>
      </c>
      <c r="E174" s="69">
        <f t="shared" si="55"/>
        <v>9.2270905607112705E-7</v>
      </c>
      <c r="F174" s="69">
        <f t="shared" si="55"/>
        <v>-1.3844405254479842E-5</v>
      </c>
      <c r="G174" s="69">
        <f t="shared" si="55"/>
        <v>7.6819163046342511E-5</v>
      </c>
      <c r="H174" s="69">
        <f t="shared" si="55"/>
        <v>1.6478537965142396E-4</v>
      </c>
      <c r="I174" s="69">
        <f t="shared" si="55"/>
        <v>1.73056662145419E-4</v>
      </c>
      <c r="J174" s="69">
        <f t="shared" si="55"/>
        <v>1.7013318699369141E-4</v>
      </c>
      <c r="K174" s="69">
        <f t="shared" si="55"/>
        <v>1.6723894009294831E-4</v>
      </c>
      <c r="L174" s="69">
        <f t="shared" si="55"/>
        <v>1.6510042816209234E-4</v>
      </c>
      <c r="M174" s="69">
        <f t="shared" si="55"/>
        <v>1.6431155271429682E-4</v>
      </c>
      <c r="N174" s="69">
        <f t="shared" si="55"/>
        <v>1.6510042816209237E-4</v>
      </c>
      <c r="O174" s="69">
        <f t="shared" si="55"/>
        <v>1.6723894009294831E-4</v>
      </c>
      <c r="P174" s="69">
        <f t="shared" si="55"/>
        <v>1.7013318699369141E-4</v>
      </c>
      <c r="Q174" s="69">
        <f t="shared" si="55"/>
        <v>1.7082166235696063E-4</v>
      </c>
      <c r="R174" s="69">
        <f t="shared" si="55"/>
        <v>6.970261967584657E-5</v>
      </c>
      <c r="S174" s="69">
        <f t="shared" si="55"/>
        <v>-1.8044240825306703E-5</v>
      </c>
      <c r="T174" s="69">
        <f t="shared" si="55"/>
        <v>3.5636398328208526E-7</v>
      </c>
      <c r="U174" s="69">
        <f t="shared" si="55"/>
        <v>1.960394660185565E-6</v>
      </c>
      <c r="V174" s="69">
        <f t="shared" si="55"/>
        <v>-7.9224019297353712E-7</v>
      </c>
      <c r="W174" s="69">
        <f t="shared" si="55"/>
        <v>0</v>
      </c>
    </row>
    <row r="175" spans="1:23" x14ac:dyDescent="0.2">
      <c r="A175" s="80">
        <f>$A$87</f>
        <v>2</v>
      </c>
      <c r="B175" s="85">
        <f>$B$87</f>
        <v>0.14583333333333334</v>
      </c>
      <c r="C175" s="69">
        <f>h/3*($B116*C116+4*$B117*C117+$B118*C118)</f>
        <v>6.5965744234326709E-7</v>
      </c>
      <c r="D175" s="69">
        <f t="shared" ref="D175:W175" si="56">h/3*($B116*D116+4*$B117*D117+$B118*D118)</f>
        <v>2.4087336706707674E-6</v>
      </c>
      <c r="E175" s="69">
        <f t="shared" si="56"/>
        <v>2.1472124754802173E-6</v>
      </c>
      <c r="F175" s="69">
        <f t="shared" si="56"/>
        <v>-1.0136437113561493E-5</v>
      </c>
      <c r="G175" s="69">
        <f t="shared" si="56"/>
        <v>5.4355875691812256E-4</v>
      </c>
      <c r="H175" s="69">
        <f t="shared" si="56"/>
        <v>7.6304207346393222E-4</v>
      </c>
      <c r="I175" s="69">
        <f t="shared" si="56"/>
        <v>7.7309866621368519E-4</v>
      </c>
      <c r="J175" s="69">
        <f t="shared" si="56"/>
        <v>8.1735571333383923E-4</v>
      </c>
      <c r="K175" s="69">
        <f t="shared" si="56"/>
        <v>8.6363567379410099E-4</v>
      </c>
      <c r="L175" s="69">
        <f t="shared" si="56"/>
        <v>8.9903892729402445E-4</v>
      </c>
      <c r="M175" s="69">
        <f t="shared" si="56"/>
        <v>9.1233020273035295E-4</v>
      </c>
      <c r="N175" s="69">
        <f t="shared" si="56"/>
        <v>8.9903892729402413E-4</v>
      </c>
      <c r="O175" s="69">
        <f t="shared" si="56"/>
        <v>8.6363567379410099E-4</v>
      </c>
      <c r="P175" s="69">
        <f t="shared" si="56"/>
        <v>8.1735571333383934E-4</v>
      </c>
      <c r="Q175" s="69">
        <f t="shared" si="56"/>
        <v>7.8156851896233476E-4</v>
      </c>
      <c r="R175" s="69">
        <f t="shared" si="56"/>
        <v>4.7589555486159352E-4</v>
      </c>
      <c r="S175" s="69">
        <f t="shared" si="56"/>
        <v>2.2301973136112635E-5</v>
      </c>
      <c r="T175" s="69">
        <f t="shared" si="56"/>
        <v>9.9468055304449322E-7</v>
      </c>
      <c r="U175" s="69">
        <f t="shared" si="56"/>
        <v>4.5619839141264523E-6</v>
      </c>
      <c r="V175" s="69">
        <f t="shared" si="56"/>
        <v>-2.8262506450634957E-6</v>
      </c>
      <c r="W175" s="69">
        <f t="shared" si="56"/>
        <v>0</v>
      </c>
    </row>
    <row r="176" spans="1:23" x14ac:dyDescent="0.2">
      <c r="A176" s="80">
        <f>$A$88</f>
        <v>3</v>
      </c>
      <c r="B176" s="85">
        <f>$B$88</f>
        <v>0.21875</v>
      </c>
      <c r="C176" s="69">
        <f t="shared" ref="C176:W176" si="57">C174+h/3*($B117*C117+4*$B118*C118+$B119*C119)</f>
        <v>1.6542440077198785E-7</v>
      </c>
      <c r="D176" s="69">
        <f t="shared" si="57"/>
        <v>-2.665128254293396E-6</v>
      </c>
      <c r="E176" s="69">
        <f t="shared" si="57"/>
        <v>-8.1133230563194514E-6</v>
      </c>
      <c r="F176" s="69">
        <f t="shared" si="57"/>
        <v>3.5775496787600103E-4</v>
      </c>
      <c r="G176" s="69">
        <f t="shared" si="57"/>
        <v>1.8112930155682607E-3</v>
      </c>
      <c r="H176" s="69">
        <f t="shared" si="57"/>
        <v>2.5352704832336944E-3</v>
      </c>
      <c r="I176" s="69">
        <f t="shared" si="57"/>
        <v>2.932973892704591E-3</v>
      </c>
      <c r="J176" s="69">
        <f t="shared" si="57"/>
        <v>3.4722553177112449E-3</v>
      </c>
      <c r="K176" s="69">
        <f t="shared" si="57"/>
        <v>3.9517043973305585E-3</v>
      </c>
      <c r="L176" s="69">
        <f t="shared" si="57"/>
        <v>4.2827920070153463E-3</v>
      </c>
      <c r="M176" s="69">
        <f t="shared" si="57"/>
        <v>4.4010489604569096E-3</v>
      </c>
      <c r="N176" s="69">
        <f t="shared" si="57"/>
        <v>4.2827920070153446E-3</v>
      </c>
      <c r="O176" s="69">
        <f t="shared" si="57"/>
        <v>3.9517043973305559E-3</v>
      </c>
      <c r="P176" s="69">
        <f t="shared" si="57"/>
        <v>3.4722553177112432E-3</v>
      </c>
      <c r="Q176" s="69">
        <f t="shared" si="57"/>
        <v>2.9363374109685893E-3</v>
      </c>
      <c r="R176" s="69">
        <f t="shared" si="57"/>
        <v>1.8129601067381482E-3</v>
      </c>
      <c r="S176" s="69">
        <f t="shared" si="57"/>
        <v>7.1070183714212016E-4</v>
      </c>
      <c r="T176" s="69">
        <f t="shared" si="57"/>
        <v>5.1494484244004418E-5</v>
      </c>
      <c r="U176" s="69">
        <f t="shared" si="57"/>
        <v>-1.7237627713001269E-5</v>
      </c>
      <c r="V176" s="69">
        <f t="shared" si="57"/>
        <v>3.1270872905496943E-6</v>
      </c>
      <c r="W176" s="69">
        <f t="shared" si="57"/>
        <v>0</v>
      </c>
    </row>
    <row r="177" spans="1:23" x14ac:dyDescent="0.2">
      <c r="A177" s="80">
        <f>$A$89</f>
        <v>4</v>
      </c>
      <c r="B177" s="85">
        <f>$B$89</f>
        <v>0.29166666666666669</v>
      </c>
      <c r="C177" s="69">
        <f t="shared" ref="C177:W177" si="58">C175+h/3*($B118*C118+4*$B119*C119+$B120*C120)</f>
        <v>-3.7952571216860167E-6</v>
      </c>
      <c r="D177" s="69">
        <f t="shared" si="58"/>
        <v>-1.966274751375627E-5</v>
      </c>
      <c r="E177" s="69">
        <f t="shared" si="58"/>
        <v>-1.9148543031538417E-5</v>
      </c>
      <c r="F177" s="69">
        <f t="shared" si="58"/>
        <v>1.9288390989527532E-3</v>
      </c>
      <c r="G177" s="69">
        <f t="shared" si="58"/>
        <v>5.4452853349254435E-3</v>
      </c>
      <c r="H177" s="69">
        <f t="shared" si="58"/>
        <v>8.3578492756437618E-3</v>
      </c>
      <c r="I177" s="69">
        <f t="shared" si="58"/>
        <v>1.1673588834974404E-2</v>
      </c>
      <c r="J177" s="69">
        <f t="shared" si="58"/>
        <v>1.3793020574968099E-2</v>
      </c>
      <c r="K177" s="69">
        <f t="shared" si="58"/>
        <v>1.5460650665754406E-2</v>
      </c>
      <c r="L177" s="69">
        <f t="shared" si="58"/>
        <v>1.6519411310683279E-2</v>
      </c>
      <c r="M177" s="69">
        <f t="shared" si="58"/>
        <v>1.6881719736380606E-2</v>
      </c>
      <c r="N177" s="69">
        <f t="shared" si="58"/>
        <v>1.6519411310683275E-2</v>
      </c>
      <c r="O177" s="69">
        <f t="shared" si="58"/>
        <v>1.5460650665754395E-2</v>
      </c>
      <c r="P177" s="69">
        <f t="shared" si="58"/>
        <v>1.3793020574968088E-2</v>
      </c>
      <c r="Q177" s="69">
        <f t="shared" si="58"/>
        <v>1.1232306320085638E-2</v>
      </c>
      <c r="R177" s="69">
        <f t="shared" si="58"/>
        <v>6.8716565375454208E-3</v>
      </c>
      <c r="S177" s="69">
        <f t="shared" si="58"/>
        <v>3.4159627746656669E-3</v>
      </c>
      <c r="T177" s="69">
        <f t="shared" si="58"/>
        <v>5.8797612885447726E-4</v>
      </c>
      <c r="U177" s="69">
        <f t="shared" si="58"/>
        <v>-4.1132699762690513E-5</v>
      </c>
      <c r="V177" s="69">
        <f t="shared" si="58"/>
        <v>2.3070982699801234E-5</v>
      </c>
      <c r="W177" s="69">
        <f t="shared" si="58"/>
        <v>0</v>
      </c>
    </row>
    <row r="178" spans="1:23" x14ac:dyDescent="0.2">
      <c r="A178" s="80">
        <f>$A$90</f>
        <v>5</v>
      </c>
      <c r="B178" s="85">
        <f>$B$90</f>
        <v>0.36458333333333331</v>
      </c>
      <c r="C178" s="69">
        <f t="shared" ref="C178:W178" si="59">C176+h/3*($B119*C119+4*$B120*C120+$B121*C121)</f>
        <v>-4.9034142123217368E-6</v>
      </c>
      <c r="D178" s="69">
        <f t="shared" si="59"/>
        <v>4.8022592027314246E-6</v>
      </c>
      <c r="E178" s="69">
        <f t="shared" si="59"/>
        <v>1.6341812992022814E-4</v>
      </c>
      <c r="F178" s="69">
        <f t="shared" si="59"/>
        <v>5.9579570567279859E-3</v>
      </c>
      <c r="G178" s="69">
        <f t="shared" si="59"/>
        <v>1.4788740074982107E-2</v>
      </c>
      <c r="H178" s="69">
        <f t="shared" si="59"/>
        <v>2.2478533087632511E-2</v>
      </c>
      <c r="I178" s="69">
        <f t="shared" si="59"/>
        <v>3.1516570223089742E-2</v>
      </c>
      <c r="J178" s="69">
        <f t="shared" si="59"/>
        <v>3.5133884722479067E-2</v>
      </c>
      <c r="K178" s="69">
        <f t="shared" si="59"/>
        <v>3.7717548832107074E-2</v>
      </c>
      <c r="L178" s="69">
        <f t="shared" si="59"/>
        <v>3.9261932972279097E-2</v>
      </c>
      <c r="M178" s="69">
        <f t="shared" si="59"/>
        <v>3.9776037721780719E-2</v>
      </c>
      <c r="N178" s="69">
        <f t="shared" si="59"/>
        <v>3.926193297227909E-2</v>
      </c>
      <c r="O178" s="69">
        <f t="shared" si="59"/>
        <v>3.7717548832107074E-2</v>
      </c>
      <c r="P178" s="69">
        <f t="shared" si="59"/>
        <v>3.5133884722479039E-2</v>
      </c>
      <c r="Q178" s="69">
        <f t="shared" si="59"/>
        <v>2.9861722170280068E-2</v>
      </c>
      <c r="R178" s="69">
        <f t="shared" si="59"/>
        <v>1.9904658977518638E-2</v>
      </c>
      <c r="S178" s="69">
        <f t="shared" si="59"/>
        <v>1.0124834580661532E-2</v>
      </c>
      <c r="T178" s="69">
        <f t="shared" si="59"/>
        <v>2.8683779686563002E-3</v>
      </c>
      <c r="U178" s="69">
        <f t="shared" si="59"/>
        <v>2.4537655320547736E-4</v>
      </c>
      <c r="V178" s="69">
        <f t="shared" si="59"/>
        <v>-5.6346570543447711E-6</v>
      </c>
      <c r="W178" s="69">
        <f t="shared" si="59"/>
        <v>0</v>
      </c>
    </row>
    <row r="179" spans="1:23" x14ac:dyDescent="0.2">
      <c r="A179" s="80">
        <f>$A$91</f>
        <v>6</v>
      </c>
      <c r="B179" s="85">
        <f>$B$91</f>
        <v>0.4375</v>
      </c>
      <c r="C179" s="69">
        <f t="shared" ref="C179:W179" si="60">C177+h/3*($B120*C120+4*$B121*C121+$B122*C122)</f>
        <v>1.2521829886984461E-5</v>
      </c>
      <c r="D179" s="69">
        <f t="shared" si="60"/>
        <v>1.1071039270938646E-4</v>
      </c>
      <c r="E179" s="69">
        <f t="shared" si="60"/>
        <v>1.2840267103369583E-3</v>
      </c>
      <c r="F179" s="69">
        <f t="shared" si="60"/>
        <v>1.4653978293704835E-2</v>
      </c>
      <c r="G179" s="69">
        <f t="shared" si="60"/>
        <v>3.2526843005830385E-2</v>
      </c>
      <c r="H179" s="69">
        <f t="shared" si="60"/>
        <v>4.7210025504524702E-2</v>
      </c>
      <c r="I179" s="69">
        <f t="shared" si="60"/>
        <v>6.1204361549866304E-2</v>
      </c>
      <c r="J179" s="69">
        <f t="shared" si="60"/>
        <v>6.5878747125687226E-2</v>
      </c>
      <c r="K179" s="69">
        <f t="shared" si="60"/>
        <v>6.9220547862813633E-2</v>
      </c>
      <c r="L179" s="69">
        <f t="shared" si="60"/>
        <v>7.1225015180394632E-2</v>
      </c>
      <c r="M179" s="69">
        <f t="shared" si="60"/>
        <v>7.1893368472199556E-2</v>
      </c>
      <c r="N179" s="69">
        <f t="shared" si="60"/>
        <v>7.1225015180394632E-2</v>
      </c>
      <c r="O179" s="69">
        <f t="shared" si="60"/>
        <v>6.9220547862813619E-2</v>
      </c>
      <c r="P179" s="69">
        <f t="shared" si="60"/>
        <v>6.5878747125687184E-2</v>
      </c>
      <c r="Q179" s="69">
        <f t="shared" si="60"/>
        <v>5.7967331596992057E-2</v>
      </c>
      <c r="R179" s="69">
        <f t="shared" si="60"/>
        <v>4.2274050929959929E-2</v>
      </c>
      <c r="S179" s="69">
        <f t="shared" si="60"/>
        <v>2.354317819661722E-2</v>
      </c>
      <c r="T179" s="69">
        <f t="shared" si="60"/>
        <v>8.6714096090166511E-3</v>
      </c>
      <c r="U179" s="69">
        <f t="shared" si="60"/>
        <v>1.6012700355337412E-3</v>
      </c>
      <c r="V179" s="69">
        <f t="shared" si="60"/>
        <v>-1.2990033834790949E-4</v>
      </c>
      <c r="W179" s="69">
        <f t="shared" si="60"/>
        <v>0</v>
      </c>
    </row>
    <row r="180" spans="1:23" x14ac:dyDescent="0.2">
      <c r="A180" s="80">
        <f>$A$92</f>
        <v>7</v>
      </c>
      <c r="B180" s="85">
        <f>$B$92</f>
        <v>0.51041666666666663</v>
      </c>
      <c r="C180" s="69">
        <f t="shared" ref="C180:W180" si="61">C178+h/3*($B121*C121+4*$B122*C122+$B123*C123)</f>
        <v>3.4480534277772545E-5</v>
      </c>
      <c r="D180" s="69">
        <f t="shared" si="61"/>
        <v>4.5042102752066912E-5</v>
      </c>
      <c r="E180" s="69">
        <f t="shared" si="61"/>
        <v>5.1391123281703697E-3</v>
      </c>
      <c r="F180" s="69">
        <f t="shared" si="61"/>
        <v>3.0973363977618205E-2</v>
      </c>
      <c r="G180" s="69">
        <f t="shared" si="61"/>
        <v>6.0584559710246934E-2</v>
      </c>
      <c r="H180" s="69">
        <f t="shared" si="61"/>
        <v>8.3377145140593578E-2</v>
      </c>
      <c r="I180" s="69">
        <f t="shared" si="61"/>
        <v>0.10080068907394191</v>
      </c>
      <c r="J180" s="69">
        <f t="shared" si="61"/>
        <v>0.10654145817428974</v>
      </c>
      <c r="K180" s="69">
        <f t="shared" si="61"/>
        <v>0.11059690237318975</v>
      </c>
      <c r="L180" s="69">
        <f t="shared" si="61"/>
        <v>0.1130065600137842</v>
      </c>
      <c r="M180" s="69">
        <f t="shared" si="61"/>
        <v>0.11380618766842956</v>
      </c>
      <c r="N180" s="69">
        <f t="shared" si="61"/>
        <v>0.11300656001378419</v>
      </c>
      <c r="O180" s="69">
        <f t="shared" si="61"/>
        <v>0.11059690237318973</v>
      </c>
      <c r="P180" s="69">
        <f t="shared" si="61"/>
        <v>0.10654145817428971</v>
      </c>
      <c r="Q180" s="69">
        <f t="shared" si="61"/>
        <v>9.5793854664030925E-2</v>
      </c>
      <c r="R180" s="69">
        <f t="shared" si="61"/>
        <v>7.4467474956290969E-2</v>
      </c>
      <c r="S180" s="69">
        <f t="shared" si="61"/>
        <v>4.5810145965691315E-2</v>
      </c>
      <c r="T180" s="69">
        <f t="shared" si="61"/>
        <v>1.9875949569710085E-2</v>
      </c>
      <c r="U180" s="69">
        <f t="shared" si="61"/>
        <v>5.3575560870574839E-3</v>
      </c>
      <c r="V180" s="69">
        <f t="shared" si="61"/>
        <v>-2.8869455201047572E-5</v>
      </c>
      <c r="W180" s="69">
        <f t="shared" si="61"/>
        <v>0</v>
      </c>
    </row>
    <row r="181" spans="1:23" x14ac:dyDescent="0.2">
      <c r="A181" s="80">
        <f>$A$93</f>
        <v>8</v>
      </c>
      <c r="B181" s="85">
        <f>$B$93</f>
        <v>0.58333333333333337</v>
      </c>
      <c r="C181" s="69">
        <f t="shared" ref="C181:W181" si="62">C179+h/3*($B122*C122+4*$B123*C123+$B124*C124)</f>
        <v>-1.8321639529306488E-5</v>
      </c>
      <c r="D181" s="69">
        <f t="shared" si="62"/>
        <v>-4.8831845223957799E-4</v>
      </c>
      <c r="E181" s="69">
        <f t="shared" si="62"/>
        <v>1.4305266107119453E-2</v>
      </c>
      <c r="F181" s="69">
        <f t="shared" si="62"/>
        <v>5.7306936700641742E-2</v>
      </c>
      <c r="G181" s="69">
        <f t="shared" si="62"/>
        <v>9.9677924642768895E-2</v>
      </c>
      <c r="H181" s="69">
        <f t="shared" si="62"/>
        <v>0.12998101359337205</v>
      </c>
      <c r="I181" s="69">
        <f t="shared" si="62"/>
        <v>0.1503067959612282</v>
      </c>
      <c r="J181" s="69">
        <f t="shared" si="62"/>
        <v>0.15709841688763981</v>
      </c>
      <c r="K181" s="69">
        <f t="shared" si="62"/>
        <v>0.16191465584855982</v>
      </c>
      <c r="L181" s="69">
        <f t="shared" si="62"/>
        <v>0.16478668895873305</v>
      </c>
      <c r="M181" s="69">
        <f t="shared" si="62"/>
        <v>0.16574114168421397</v>
      </c>
      <c r="N181" s="69">
        <f t="shared" si="62"/>
        <v>0.16478668895873305</v>
      </c>
      <c r="O181" s="69">
        <f t="shared" si="62"/>
        <v>0.1619146558485598</v>
      </c>
      <c r="P181" s="69">
        <f t="shared" si="62"/>
        <v>0.15709841688763979</v>
      </c>
      <c r="Q181" s="69">
        <f t="shared" si="62"/>
        <v>0.14344885771595273</v>
      </c>
      <c r="R181" s="69">
        <f t="shared" si="62"/>
        <v>0.11596589916418759</v>
      </c>
      <c r="S181" s="69">
        <f t="shared" si="62"/>
        <v>7.6909719923728276E-2</v>
      </c>
      <c r="T181" s="69">
        <f t="shared" si="62"/>
        <v>3.7484908209842453E-2</v>
      </c>
      <c r="U181" s="69">
        <f t="shared" si="62"/>
        <v>1.299785133853236E-2</v>
      </c>
      <c r="V181" s="69">
        <f t="shared" si="62"/>
        <v>1.140715487300792E-3</v>
      </c>
      <c r="W181" s="69">
        <f t="shared" si="62"/>
        <v>0</v>
      </c>
    </row>
    <row r="182" spans="1:23" x14ac:dyDescent="0.2">
      <c r="A182" s="80">
        <f>$A$94</f>
        <v>9</v>
      </c>
      <c r="B182" s="85">
        <f>$B$94</f>
        <v>0.65625</v>
      </c>
      <c r="C182" s="69">
        <f t="shared" ref="C182:W182" si="63">C180+h/3*($B123*C123+4*$B124*C124+$B125*C125)</f>
        <v>-1.5742869419139131E-4</v>
      </c>
      <c r="D182" s="69">
        <f t="shared" si="63"/>
        <v>-5.0408920251388705E-4</v>
      </c>
      <c r="E182" s="69">
        <f t="shared" si="63"/>
        <v>3.1621336733229512E-2</v>
      </c>
      <c r="F182" s="69">
        <f t="shared" si="63"/>
        <v>9.4906318790154987E-2</v>
      </c>
      <c r="G182" s="69">
        <f t="shared" si="63"/>
        <v>0.14994441662249924</v>
      </c>
      <c r="H182" s="69">
        <f t="shared" si="63"/>
        <v>0.18663817397962543</v>
      </c>
      <c r="I182" s="69">
        <f t="shared" si="63"/>
        <v>0.21042122924427231</v>
      </c>
      <c r="J182" s="69">
        <f t="shared" si="63"/>
        <v>0.21820034083980244</v>
      </c>
      <c r="K182" s="69">
        <f t="shared" si="63"/>
        <v>0.22364781545518492</v>
      </c>
      <c r="L182" s="69">
        <f t="shared" si="63"/>
        <v>0.22686766886327228</v>
      </c>
      <c r="M182" s="69">
        <f t="shared" si="63"/>
        <v>0.22793325840753884</v>
      </c>
      <c r="N182" s="69">
        <f t="shared" si="63"/>
        <v>0.22686766886327225</v>
      </c>
      <c r="O182" s="69">
        <f t="shared" si="63"/>
        <v>0.22364781545518486</v>
      </c>
      <c r="P182" s="69">
        <f t="shared" si="63"/>
        <v>0.21820034083980239</v>
      </c>
      <c r="Q182" s="69">
        <f t="shared" si="63"/>
        <v>0.2015120387859021</v>
      </c>
      <c r="R182" s="69">
        <f t="shared" si="63"/>
        <v>0.16680950502535802</v>
      </c>
      <c r="S182" s="69">
        <f t="shared" si="63"/>
        <v>0.11591981396248484</v>
      </c>
      <c r="T182" s="69">
        <f t="shared" si="63"/>
        <v>6.1480450271880885E-2</v>
      </c>
      <c r="U182" s="69">
        <f t="shared" si="63"/>
        <v>2.5521244248756979E-2</v>
      </c>
      <c r="V182" s="69">
        <f t="shared" si="63"/>
        <v>4.7339700563391708E-3</v>
      </c>
      <c r="W182" s="69">
        <f t="shared" si="63"/>
        <v>0</v>
      </c>
    </row>
    <row r="183" spans="1:23" x14ac:dyDescent="0.2">
      <c r="A183" s="80">
        <f>$A$95</f>
        <v>10</v>
      </c>
      <c r="B183" s="85">
        <f>$B$95</f>
        <v>0.72916666666666663</v>
      </c>
      <c r="C183" s="69">
        <f t="shared" ref="C183:R183" si="64">C181+h/3*($B124*C124+4*$B125*C125+$B126*C126)</f>
        <v>-6.49329104320033E-5</v>
      </c>
      <c r="D183" s="69">
        <f t="shared" si="64"/>
        <v>2.7556504354872995E-3</v>
      </c>
      <c r="E183" s="69">
        <f t="shared" si="64"/>
        <v>5.9802158344461731E-2</v>
      </c>
      <c r="F183" s="69">
        <f t="shared" si="64"/>
        <v>0.14437376908836214</v>
      </c>
      <c r="G183" s="69">
        <f t="shared" si="64"/>
        <v>0.21117300680212914</v>
      </c>
      <c r="H183" s="69">
        <f t="shared" si="64"/>
        <v>0.2535961596275037</v>
      </c>
      <c r="I183" s="69">
        <f t="shared" si="64"/>
        <v>0.28067167617428007</v>
      </c>
      <c r="J183" s="69">
        <f t="shared" si="64"/>
        <v>0.28936392179515674</v>
      </c>
      <c r="K183" s="69">
        <f t="shared" si="64"/>
        <v>0.29548816821703899</v>
      </c>
      <c r="L183" s="69">
        <f t="shared" si="64"/>
        <v>0.29912682038561578</v>
      </c>
      <c r="M183" s="69">
        <f t="shared" si="64"/>
        <v>0.3003339824703809</v>
      </c>
      <c r="N183" s="69">
        <f t="shared" si="64"/>
        <v>0.29912682038561578</v>
      </c>
      <c r="O183" s="69">
        <f t="shared" si="64"/>
        <v>0.29548816821703894</v>
      </c>
      <c r="P183" s="69">
        <f t="shared" si="64"/>
        <v>0.28936392179515669</v>
      </c>
      <c r="Q183" s="69">
        <f t="shared" si="64"/>
        <v>0.2694892152875511</v>
      </c>
      <c r="R183" s="69">
        <f t="shared" si="64"/>
        <v>0.22693041394619612</v>
      </c>
      <c r="S183" s="69">
        <f>S181+h/3*($B124*S124+4*$B125*S125+$B126*S126)</f>
        <v>0.16309978914035361</v>
      </c>
      <c r="T183" s="69">
        <f>T181+h/3*($B124*T124+4*$B125*T125+$B126*T126)</f>
        <v>9.1756415311271253E-2</v>
      </c>
      <c r="U183" s="69">
        <f>U181+h/3*($B124*U124+4*$B125*U125+$B126*U126)</f>
        <v>4.353044287038163E-2</v>
      </c>
      <c r="V183" s="69">
        <f>V181+h/3*($B124*V124+4*$B125*V125+$B126*V126)</f>
        <v>1.2292452224568276E-2</v>
      </c>
      <c r="W183" s="69">
        <f>W181+h/3*($B124*W124+4*$B125*W125+$B126*W126)</f>
        <v>0</v>
      </c>
    </row>
    <row r="184" spans="1:23" x14ac:dyDescent="0.2">
      <c r="A184" s="80">
        <f>$A$96</f>
        <v>11</v>
      </c>
      <c r="B184" s="85">
        <f>$B$96</f>
        <v>0.80208333333333337</v>
      </c>
      <c r="C184" s="69">
        <f t="shared" ref="C184:W184" si="65">C182+h/3*($B125*C125+4*$B126*C126+$B127*C127)</f>
        <v>5.4500578712206424E-4</v>
      </c>
      <c r="D184" s="69">
        <f t="shared" si="65"/>
        <v>1.2839353500782634E-2</v>
      </c>
      <c r="E184" s="69">
        <f t="shared" si="65"/>
        <v>0.10068216178590667</v>
      </c>
      <c r="F184" s="69">
        <f t="shared" si="65"/>
        <v>0.20579326506499523</v>
      </c>
      <c r="G184" s="69">
        <f t="shared" si="65"/>
        <v>0.28337852772478</v>
      </c>
      <c r="H184" s="69">
        <f t="shared" si="65"/>
        <v>0.33169193716965867</v>
      </c>
      <c r="I184" s="69">
        <f t="shared" si="65"/>
        <v>0.36181139882034291</v>
      </c>
      <c r="J184" s="69">
        <f t="shared" si="65"/>
        <v>0.37147521592666644</v>
      </c>
      <c r="K184" s="69">
        <f t="shared" si="65"/>
        <v>0.37824220310920925</v>
      </c>
      <c r="L184" s="69">
        <f t="shared" si="65"/>
        <v>0.38224160130813634</v>
      </c>
      <c r="M184" s="69">
        <f t="shared" si="65"/>
        <v>0.38356486583945315</v>
      </c>
      <c r="N184" s="69">
        <f t="shared" si="65"/>
        <v>0.38224160130813634</v>
      </c>
      <c r="O184" s="69">
        <f t="shared" si="65"/>
        <v>0.37824220310920914</v>
      </c>
      <c r="P184" s="69">
        <f t="shared" si="65"/>
        <v>0.37147521592666638</v>
      </c>
      <c r="Q184" s="69">
        <f t="shared" si="65"/>
        <v>0.34808974200715981</v>
      </c>
      <c r="R184" s="69">
        <f t="shared" si="65"/>
        <v>0.29703506325792584</v>
      </c>
      <c r="S184" s="69">
        <f t="shared" si="65"/>
        <v>0.21909602782187698</v>
      </c>
      <c r="T184" s="69">
        <f t="shared" si="65"/>
        <v>0.1284791440342892</v>
      </c>
      <c r="U184" s="69">
        <f t="shared" si="65"/>
        <v>6.7319794143530259E-2</v>
      </c>
      <c r="V184" s="69">
        <f t="shared" si="65"/>
        <v>2.4142461629819222E-2</v>
      </c>
      <c r="W184" s="69">
        <f t="shared" si="65"/>
        <v>0</v>
      </c>
    </row>
    <row r="185" spans="1:23" x14ac:dyDescent="0.2">
      <c r="A185" s="80">
        <f>$A$97</f>
        <v>12</v>
      </c>
      <c r="B185" s="85">
        <f>$B$97</f>
        <v>0.875</v>
      </c>
      <c r="C185" s="69">
        <f t="shared" ref="C185:W185" si="66">C183+h/3*($B126*C126+4*$B127*C127+$B128*C128)</f>
        <v>7.043666468056918E-4</v>
      </c>
      <c r="D185" s="69">
        <f t="shared" si="66"/>
        <v>3.3190707718202504E-2</v>
      </c>
      <c r="E185" s="69">
        <f t="shared" si="66"/>
        <v>0.15527107835191267</v>
      </c>
      <c r="F185" s="69">
        <f t="shared" si="66"/>
        <v>0.27933432944383085</v>
      </c>
      <c r="G185" s="69">
        <f t="shared" si="66"/>
        <v>0.36707617748201149</v>
      </c>
      <c r="H185" s="69">
        <f t="shared" si="66"/>
        <v>0.42126569644838763</v>
      </c>
      <c r="I185" s="69">
        <f t="shared" si="66"/>
        <v>0.45379745905820562</v>
      </c>
      <c r="J185" s="69">
        <f t="shared" si="66"/>
        <v>0.4644020031571533</v>
      </c>
      <c r="K185" s="69">
        <f t="shared" si="66"/>
        <v>0.47184698034338024</v>
      </c>
      <c r="L185" s="69">
        <f t="shared" si="66"/>
        <v>0.47625768309060523</v>
      </c>
      <c r="M185" s="69">
        <f t="shared" si="66"/>
        <v>0.47771857300934539</v>
      </c>
      <c r="N185" s="69">
        <f t="shared" si="66"/>
        <v>0.47625768309060523</v>
      </c>
      <c r="O185" s="69">
        <f t="shared" si="66"/>
        <v>0.47184698034338013</v>
      </c>
      <c r="P185" s="69">
        <f t="shared" si="66"/>
        <v>0.46440200315715319</v>
      </c>
      <c r="Q185" s="69">
        <f t="shared" si="66"/>
        <v>0.43734685044381327</v>
      </c>
      <c r="R185" s="69">
        <f t="shared" si="66"/>
        <v>0.3774745659424617</v>
      </c>
      <c r="S185" s="69">
        <f t="shared" si="66"/>
        <v>0.28431013026858193</v>
      </c>
      <c r="T185" s="69">
        <f t="shared" si="66"/>
        <v>0.17216153794569888</v>
      </c>
      <c r="U185" s="69">
        <f t="shared" si="66"/>
        <v>9.6581413359733109E-2</v>
      </c>
      <c r="V185" s="69">
        <f t="shared" si="66"/>
        <v>3.847424818082161E-2</v>
      </c>
      <c r="W185" s="69">
        <f t="shared" si="66"/>
        <v>0</v>
      </c>
    </row>
    <row r="186" spans="1:23" x14ac:dyDescent="0.2">
      <c r="A186" s="80">
        <f>$A$98</f>
        <v>13</v>
      </c>
      <c r="B186" s="85">
        <f>$B$98</f>
        <v>0.94791666666666663</v>
      </c>
      <c r="C186" s="69">
        <f t="shared" ref="C186:W186" si="67">C184+h/3*($B127*C127+4*$B128*C128+$B129*C129)</f>
        <v>-1.1418917714488641E-3</v>
      </c>
      <c r="D186" s="69">
        <f t="shared" si="67"/>
        <v>6.7223552326380637E-2</v>
      </c>
      <c r="E186" s="69">
        <f t="shared" si="67"/>
        <v>0.22382996596361635</v>
      </c>
      <c r="F186" s="69">
        <f t="shared" si="67"/>
        <v>0.36533803535254072</v>
      </c>
      <c r="G186" s="69">
        <f t="shared" si="67"/>
        <v>0.46291590811214256</v>
      </c>
      <c r="H186" s="69">
        <f t="shared" si="67"/>
        <v>0.52248115121015748</v>
      </c>
      <c r="I186" s="69">
        <f t="shared" si="67"/>
        <v>0.55731212060721425</v>
      </c>
      <c r="J186" s="69">
        <f t="shared" si="67"/>
        <v>0.56878497532994565</v>
      </c>
      <c r="K186" s="69">
        <f t="shared" si="67"/>
        <v>0.57677037910791262</v>
      </c>
      <c r="L186" s="69">
        <f t="shared" si="67"/>
        <v>0.58147007136084983</v>
      </c>
      <c r="M186" s="69">
        <f t="shared" si="67"/>
        <v>0.58302154405133833</v>
      </c>
      <c r="N186" s="69">
        <f t="shared" si="67"/>
        <v>0.58147007136084983</v>
      </c>
      <c r="O186" s="69">
        <f t="shared" si="67"/>
        <v>0.5767703791079124</v>
      </c>
      <c r="P186" s="69">
        <f t="shared" si="67"/>
        <v>0.56878497532994554</v>
      </c>
      <c r="Q186" s="69">
        <f t="shared" si="67"/>
        <v>0.53769260303542676</v>
      </c>
      <c r="R186" s="69">
        <f t="shared" si="67"/>
        <v>0.46863825800174996</v>
      </c>
      <c r="S186" s="69">
        <f t="shared" si="67"/>
        <v>0.35879441060822581</v>
      </c>
      <c r="T186" s="69">
        <f t="shared" si="67"/>
        <v>0.22350960856668051</v>
      </c>
      <c r="U186" s="69">
        <f t="shared" si="67"/>
        <v>0.12982890225733207</v>
      </c>
      <c r="V186" s="69">
        <f t="shared" si="67"/>
        <v>5.3123342412000459E-2</v>
      </c>
      <c r="W186" s="69">
        <f t="shared" si="67"/>
        <v>0</v>
      </c>
    </row>
    <row r="187" spans="1:23" x14ac:dyDescent="0.2">
      <c r="A187" s="80">
        <f>$A$99</f>
        <v>14</v>
      </c>
      <c r="B187" s="85">
        <f>$B$99</f>
        <v>1.0208333333333333</v>
      </c>
      <c r="C187" s="69">
        <f t="shared" ref="C187:W187" si="68">C185+h/3*($B128*C128+4*$B129*C129+$B130*C130)</f>
        <v>-1.6805819503692119E-3</v>
      </c>
      <c r="D187" s="69">
        <f t="shared" si="68"/>
        <v>0.11785984442067984</v>
      </c>
      <c r="E187" s="69">
        <f t="shared" si="68"/>
        <v>0.30612912138821186</v>
      </c>
      <c r="F187" s="69">
        <f t="shared" si="68"/>
        <v>0.46391386040950344</v>
      </c>
      <c r="G187" s="69">
        <f t="shared" si="68"/>
        <v>0.57052271796609011</v>
      </c>
      <c r="H187" s="69">
        <f t="shared" si="68"/>
        <v>0.63463219555368677</v>
      </c>
      <c r="I187" s="69">
        <f t="shared" si="68"/>
        <v>0.67181350525556027</v>
      </c>
      <c r="J187" s="69">
        <f t="shared" si="68"/>
        <v>0.68396178833616283</v>
      </c>
      <c r="K187" s="69">
        <f t="shared" si="68"/>
        <v>0.69241906558680599</v>
      </c>
      <c r="L187" s="69">
        <f t="shared" si="68"/>
        <v>0.69740157442515971</v>
      </c>
      <c r="M187" s="69">
        <f t="shared" si="68"/>
        <v>0.6990472135875303</v>
      </c>
      <c r="N187" s="69">
        <f t="shared" si="68"/>
        <v>0.69740157442515971</v>
      </c>
      <c r="O187" s="69">
        <f t="shared" si="68"/>
        <v>0.69241906558680588</v>
      </c>
      <c r="P187" s="69">
        <f t="shared" si="68"/>
        <v>0.68396178833616261</v>
      </c>
      <c r="Q187" s="69">
        <f t="shared" si="68"/>
        <v>0.64848851399095031</v>
      </c>
      <c r="R187" s="69">
        <f t="shared" si="68"/>
        <v>0.56986922045267896</v>
      </c>
      <c r="S187" s="69">
        <f t="shared" si="68"/>
        <v>0.44256605550269812</v>
      </c>
      <c r="T187" s="69">
        <f t="shared" si="68"/>
        <v>0.28265501605305443</v>
      </c>
      <c r="U187" s="69">
        <f t="shared" si="68"/>
        <v>0.16510753547442797</v>
      </c>
      <c r="V187" s="69">
        <f t="shared" si="68"/>
        <v>6.7904854775637985E-2</v>
      </c>
      <c r="W187" s="69">
        <f t="shared" si="68"/>
        <v>0</v>
      </c>
    </row>
    <row r="188" spans="1:23" x14ac:dyDescent="0.2">
      <c r="A188" s="80">
        <f>$A$100</f>
        <v>15</v>
      </c>
      <c r="B188" s="85">
        <f>$B$100</f>
        <v>1.09375</v>
      </c>
      <c r="C188" s="69">
        <f t="shared" ref="C188:W188" si="69">C186+h/3*($B129*C129+4*$B130*C130+$B131*C131)</f>
        <v>1.0691231486299631E-2</v>
      </c>
      <c r="D188" s="69">
        <f t="shared" si="69"/>
        <v>0.18639361252314168</v>
      </c>
      <c r="E188" s="69">
        <f t="shared" si="69"/>
        <v>0.40197647000279346</v>
      </c>
      <c r="F188" s="69">
        <f t="shared" si="69"/>
        <v>0.57468351192192957</v>
      </c>
      <c r="G188" s="69">
        <f t="shared" si="69"/>
        <v>0.68948391919125429</v>
      </c>
      <c r="H188" s="69">
        <f t="shared" si="69"/>
        <v>0.75770886468890275</v>
      </c>
      <c r="I188" s="69">
        <f t="shared" si="69"/>
        <v>0.79741149973224412</v>
      </c>
      <c r="J188" s="69">
        <f t="shared" si="69"/>
        <v>0.81005723504350702</v>
      </c>
      <c r="K188" s="69">
        <f t="shared" si="69"/>
        <v>0.81879713357933159</v>
      </c>
      <c r="L188" s="69">
        <f t="shared" si="69"/>
        <v>0.82391944906438019</v>
      </c>
      <c r="M188" s="69">
        <f t="shared" si="69"/>
        <v>0.82560708753855516</v>
      </c>
      <c r="N188" s="69">
        <f t="shared" si="69"/>
        <v>0.82391944906438019</v>
      </c>
      <c r="O188" s="69">
        <f t="shared" si="69"/>
        <v>0.81879713357933137</v>
      </c>
      <c r="P188" s="69">
        <f t="shared" si="69"/>
        <v>0.81005723504350691</v>
      </c>
      <c r="Q188" s="69">
        <f t="shared" si="69"/>
        <v>0.77000640806966403</v>
      </c>
      <c r="R188" s="69">
        <f t="shared" si="69"/>
        <v>0.68131199326631742</v>
      </c>
      <c r="S188" s="69">
        <f t="shared" si="69"/>
        <v>0.53536632982026111</v>
      </c>
      <c r="T188" s="69">
        <f t="shared" si="69"/>
        <v>0.34887674082648612</v>
      </c>
      <c r="U188" s="69">
        <f t="shared" si="69"/>
        <v>0.20202871092941965</v>
      </c>
      <c r="V188" s="69">
        <f t="shared" si="69"/>
        <v>8.3196360843834721E-2</v>
      </c>
      <c r="W188" s="69">
        <f t="shared" si="69"/>
        <v>0</v>
      </c>
    </row>
    <row r="189" spans="1:23" x14ac:dyDescent="0.2">
      <c r="A189" s="80">
        <f>$A$101</f>
        <v>16</v>
      </c>
      <c r="B189" s="85">
        <f>$B$101</f>
        <v>1.1666666666666667</v>
      </c>
      <c r="C189" s="69">
        <f t="shared" ref="C189:W189" si="70">C187+h/3*($B130*C130+4*$B131*C131+$B132*C132)</f>
        <v>4.5843180874101414E-2</v>
      </c>
      <c r="D189" s="69">
        <f t="shared" si="70"/>
        <v>0.27077954879758437</v>
      </c>
      <c r="E189" s="69">
        <f t="shared" si="70"/>
        <v>0.51113610264888976</v>
      </c>
      <c r="F189" s="69">
        <f t="shared" si="70"/>
        <v>0.69738180179492271</v>
      </c>
      <c r="G189" s="69">
        <f t="shared" si="70"/>
        <v>0.81963980186420071</v>
      </c>
      <c r="H189" s="69">
        <f t="shared" si="70"/>
        <v>0.89161212299894144</v>
      </c>
      <c r="I189" s="69">
        <f t="shared" si="70"/>
        <v>0.93321885571930685</v>
      </c>
      <c r="J189" s="69">
        <f t="shared" si="70"/>
        <v>0.94622594233686774</v>
      </c>
      <c r="K189" s="69">
        <f t="shared" si="70"/>
        <v>0.95524359796881753</v>
      </c>
      <c r="L189" s="69">
        <f t="shared" si="70"/>
        <v>0.96054374916677565</v>
      </c>
      <c r="M189" s="69">
        <f t="shared" si="70"/>
        <v>0.9622924127461836</v>
      </c>
      <c r="N189" s="69">
        <f t="shared" si="70"/>
        <v>0.96054374916677565</v>
      </c>
      <c r="O189" s="69">
        <f t="shared" si="70"/>
        <v>0.95524359796881742</v>
      </c>
      <c r="P189" s="69">
        <f t="shared" si="70"/>
        <v>0.9462259423368673</v>
      </c>
      <c r="Q189" s="69">
        <f t="shared" si="70"/>
        <v>0.90168173175076527</v>
      </c>
      <c r="R189" s="69">
        <f t="shared" si="70"/>
        <v>0.80279325254543199</v>
      </c>
      <c r="S189" s="69">
        <f t="shared" si="70"/>
        <v>0.63679272558109323</v>
      </c>
      <c r="T189" s="69">
        <f t="shared" si="70"/>
        <v>0.42172015074607128</v>
      </c>
      <c r="U189" s="69">
        <f t="shared" si="70"/>
        <v>0.24128556410340801</v>
      </c>
      <c r="V189" s="69">
        <f t="shared" si="70"/>
        <v>9.861725863980933E-2</v>
      </c>
      <c r="W189" s="69">
        <f t="shared" si="70"/>
        <v>0</v>
      </c>
    </row>
    <row r="190" spans="1:23" x14ac:dyDescent="0.2">
      <c r="A190" s="80">
        <f>$A$102</f>
        <v>17</v>
      </c>
      <c r="B190" s="85">
        <f>$B$102</f>
        <v>1.2395833333333333</v>
      </c>
      <c r="C190" s="69">
        <f t="shared" ref="C190:W190" si="71">C188+h/3*($B131*C131+4*$B132*C132+$B133*C133)</f>
        <v>0.10254017139796551</v>
      </c>
      <c r="D190" s="69">
        <f t="shared" si="71"/>
        <v>0.36920108629718257</v>
      </c>
      <c r="E190" s="69">
        <f t="shared" si="71"/>
        <v>0.63309564563498277</v>
      </c>
      <c r="F190" s="69">
        <f t="shared" si="71"/>
        <v>0.83175019394048744</v>
      </c>
      <c r="G190" s="69">
        <f t="shared" si="71"/>
        <v>0.96098612048896925</v>
      </c>
      <c r="H190" s="69">
        <f t="shared" si="71"/>
        <v>1.0364924586181268</v>
      </c>
      <c r="I190" s="69">
        <f t="shared" si="71"/>
        <v>1.0795934480619453</v>
      </c>
      <c r="J190" s="69">
        <f t="shared" si="71"/>
        <v>1.092924323504703</v>
      </c>
      <c r="K190" s="69">
        <f t="shared" si="71"/>
        <v>1.1021238811560836</v>
      </c>
      <c r="L190" s="69">
        <f t="shared" si="71"/>
        <v>1.107510569004968</v>
      </c>
      <c r="M190" s="69">
        <f t="shared" si="71"/>
        <v>1.1092844664634591</v>
      </c>
      <c r="N190" s="69">
        <f t="shared" si="71"/>
        <v>1.1075105690049682</v>
      </c>
      <c r="O190" s="69">
        <f t="shared" si="71"/>
        <v>1.1021238811560834</v>
      </c>
      <c r="P190" s="69">
        <f t="shared" si="71"/>
        <v>1.0929243235047028</v>
      </c>
      <c r="Q190" s="69">
        <f t="shared" si="71"/>
        <v>1.0437121989630189</v>
      </c>
      <c r="R190" s="69">
        <f t="shared" si="71"/>
        <v>0.93439210937722827</v>
      </c>
      <c r="S190" s="69">
        <f t="shared" si="71"/>
        <v>0.74649518768886203</v>
      </c>
      <c r="T190" s="69">
        <f t="shared" si="71"/>
        <v>0.50093704491417657</v>
      </c>
      <c r="U190" s="69">
        <f t="shared" si="71"/>
        <v>0.2834994027443779</v>
      </c>
      <c r="V190" s="69">
        <f t="shared" si="71"/>
        <v>0.11386547996000042</v>
      </c>
      <c r="W190" s="69">
        <f t="shared" si="71"/>
        <v>0</v>
      </c>
    </row>
    <row r="191" spans="1:23" x14ac:dyDescent="0.2">
      <c r="A191" s="80">
        <f>$A$103</f>
        <v>18</v>
      </c>
      <c r="B191" s="85">
        <f>$B$103</f>
        <v>1.3125</v>
      </c>
      <c r="C191" s="69">
        <f t="shared" ref="C191:W191" si="72">C189+h/3*($B132*C132+4*$B133*C133+$B134*C134)</f>
        <v>0.17739398567374376</v>
      </c>
      <c r="D191" s="69">
        <f t="shared" si="72"/>
        <v>0.48155924730243949</v>
      </c>
      <c r="E191" s="69">
        <f t="shared" si="72"/>
        <v>0.76730475722314817</v>
      </c>
      <c r="F191" s="69">
        <f t="shared" si="72"/>
        <v>0.97763926347281038</v>
      </c>
      <c r="G191" s="69">
        <f t="shared" si="72"/>
        <v>1.1131936284231052</v>
      </c>
      <c r="H191" s="69">
        <f t="shared" si="72"/>
        <v>1.1918936912657472</v>
      </c>
      <c r="I191" s="69">
        <f t="shared" si="72"/>
        <v>1.2360504811737543</v>
      </c>
      <c r="J191" s="69">
        <f t="shared" si="72"/>
        <v>1.2496193416260253</v>
      </c>
      <c r="K191" s="69">
        <f t="shared" si="72"/>
        <v>1.2590083085149466</v>
      </c>
      <c r="L191" s="69">
        <f t="shared" si="72"/>
        <v>1.2645195639939666</v>
      </c>
      <c r="M191" s="69">
        <f t="shared" si="72"/>
        <v>1.2663366799833269</v>
      </c>
      <c r="N191" s="69">
        <f t="shared" si="72"/>
        <v>1.2645195639939666</v>
      </c>
      <c r="O191" s="69">
        <f t="shared" si="72"/>
        <v>1.2590083085149466</v>
      </c>
      <c r="P191" s="69">
        <f t="shared" si="72"/>
        <v>1.2496193416260248</v>
      </c>
      <c r="Q191" s="69">
        <f t="shared" si="72"/>
        <v>1.1954157310079641</v>
      </c>
      <c r="R191" s="69">
        <f t="shared" si="72"/>
        <v>1.0753473109244078</v>
      </c>
      <c r="S191" s="69">
        <f t="shared" si="72"/>
        <v>0.8645909148883566</v>
      </c>
      <c r="T191" s="69">
        <f t="shared" si="72"/>
        <v>0.58655674758634913</v>
      </c>
      <c r="U191" s="69">
        <f t="shared" si="72"/>
        <v>0.32911120431971702</v>
      </c>
      <c r="V191" s="69">
        <f t="shared" si="72"/>
        <v>0.12926087994194346</v>
      </c>
      <c r="W191" s="69">
        <f t="shared" si="72"/>
        <v>0</v>
      </c>
    </row>
    <row r="192" spans="1:23" x14ac:dyDescent="0.2">
      <c r="A192" s="80">
        <f>$A$104</f>
        <v>19</v>
      </c>
      <c r="B192" s="85">
        <f>$B$104</f>
        <v>1.3854166666666667</v>
      </c>
      <c r="C192" s="69">
        <f t="shared" ref="C192:W192" si="73">C190+h/3*($B133*C133+4*$B134*C134+$B135*C135)</f>
        <v>0.26571063831961328</v>
      </c>
      <c r="D192" s="69">
        <f t="shared" si="73"/>
        <v>0.60702368916833438</v>
      </c>
      <c r="E192" s="69">
        <f t="shared" si="73"/>
        <v>0.91335121907830197</v>
      </c>
      <c r="F192" s="69">
        <f t="shared" si="73"/>
        <v>1.1348056342493171</v>
      </c>
      <c r="G192" s="69">
        <f t="shared" si="73"/>
        <v>1.2760563226168955</v>
      </c>
      <c r="H192" s="69">
        <f t="shared" si="73"/>
        <v>1.3576360043926656</v>
      </c>
      <c r="I192" s="69">
        <f t="shared" si="73"/>
        <v>1.4028328476054848</v>
      </c>
      <c r="J192" s="69">
        <f t="shared" si="73"/>
        <v>1.4165503049462198</v>
      </c>
      <c r="K192" s="69">
        <f t="shared" si="73"/>
        <v>1.4259964697860557</v>
      </c>
      <c r="L192" s="69">
        <f t="shared" si="73"/>
        <v>1.4315199688057185</v>
      </c>
      <c r="M192" s="69">
        <f t="shared" si="73"/>
        <v>1.4333376751094522</v>
      </c>
      <c r="N192" s="69">
        <f t="shared" si="73"/>
        <v>1.4315199688057187</v>
      </c>
      <c r="O192" s="69">
        <f t="shared" si="73"/>
        <v>1.4259964697860554</v>
      </c>
      <c r="P192" s="69">
        <f t="shared" si="73"/>
        <v>1.4165503049462196</v>
      </c>
      <c r="Q192" s="69">
        <f t="shared" si="73"/>
        <v>1.3569915415188678</v>
      </c>
      <c r="R192" s="69">
        <f t="shared" si="73"/>
        <v>1.2255362054030434</v>
      </c>
      <c r="S192" s="69">
        <f t="shared" si="73"/>
        <v>0.99110439828292285</v>
      </c>
      <c r="T192" s="69">
        <f t="shared" si="73"/>
        <v>0.67855271360948899</v>
      </c>
      <c r="U192" s="69">
        <f t="shared" si="73"/>
        <v>0.37790995042853481</v>
      </c>
      <c r="V192" s="69">
        <f t="shared" si="73"/>
        <v>0.14464574532781072</v>
      </c>
      <c r="W192" s="69">
        <f t="shared" si="73"/>
        <v>0</v>
      </c>
    </row>
    <row r="193" spans="1:23" x14ac:dyDescent="0.2">
      <c r="A193" s="80">
        <f>$A$105</f>
        <v>20</v>
      </c>
      <c r="B193" s="85">
        <f>$B$105</f>
        <v>1.4583333333333333</v>
      </c>
      <c r="C193" s="69">
        <f t="shared" ref="C193:W193" si="74">C191+h/3*($B134*C134+4*$B135*C135+$B136*C136)</f>
        <v>0.36641400146529834</v>
      </c>
      <c r="D193" s="69">
        <f t="shared" si="74"/>
        <v>0.74409839791541432</v>
      </c>
      <c r="E193" s="69">
        <f t="shared" si="74"/>
        <v>1.0710353209352994</v>
      </c>
      <c r="F193" s="69">
        <f t="shared" si="74"/>
        <v>1.3030124282691913</v>
      </c>
      <c r="G193" s="69">
        <f t="shared" si="74"/>
        <v>1.4493830745172787</v>
      </c>
      <c r="H193" s="69">
        <f t="shared" si="74"/>
        <v>1.5331046263176695</v>
      </c>
      <c r="I193" s="69">
        <f t="shared" si="74"/>
        <v>1.5790242751772352</v>
      </c>
      <c r="J193" s="69">
        <f t="shared" si="74"/>
        <v>1.5927823858403196</v>
      </c>
      <c r="K193" s="69">
        <f t="shared" si="74"/>
        <v>1.6022871686135862</v>
      </c>
      <c r="L193" s="69">
        <f t="shared" si="74"/>
        <v>1.6078609997746216</v>
      </c>
      <c r="M193" s="69">
        <f t="shared" si="74"/>
        <v>1.6096978973715412</v>
      </c>
      <c r="N193" s="69">
        <f t="shared" si="74"/>
        <v>1.6078609997746216</v>
      </c>
      <c r="O193" s="69">
        <f t="shared" si="74"/>
        <v>1.6022871686135862</v>
      </c>
      <c r="P193" s="69">
        <f t="shared" si="74"/>
        <v>1.5927823858403192</v>
      </c>
      <c r="Q193" s="69">
        <f t="shared" si="74"/>
        <v>1.5278511260229568</v>
      </c>
      <c r="R193" s="69">
        <f t="shared" si="74"/>
        <v>1.3845334094648174</v>
      </c>
      <c r="S193" s="69">
        <f t="shared" si="74"/>
        <v>1.1257778707473673</v>
      </c>
      <c r="T193" s="69">
        <f t="shared" si="74"/>
        <v>0.77675477270497817</v>
      </c>
      <c r="U193" s="69">
        <f t="shared" si="74"/>
        <v>0.42966771849243707</v>
      </c>
      <c r="V193" s="69">
        <f t="shared" si="74"/>
        <v>0.15957438982355407</v>
      </c>
      <c r="W193" s="69">
        <f t="shared" si="74"/>
        <v>0</v>
      </c>
    </row>
    <row r="194" spans="1:23" x14ac:dyDescent="0.2">
      <c r="A194" s="80">
        <f>$A$106</f>
        <v>21</v>
      </c>
      <c r="B194" s="85">
        <f>$B$106</f>
        <v>1.53125</v>
      </c>
      <c r="C194" s="69">
        <f t="shared" ref="C194:W194" si="75">C192+h/3*($B135*C135+4*$B136*C136+$B137*C137)</f>
        <v>0.47858732277663169</v>
      </c>
      <c r="D194" s="69">
        <f t="shared" si="75"/>
        <v>0.89239528512911304</v>
      </c>
      <c r="E194" s="69">
        <f t="shared" si="75"/>
        <v>1.2403489085762622</v>
      </c>
      <c r="F194" s="69">
        <f t="shared" si="75"/>
        <v>1.4818902140266297</v>
      </c>
      <c r="G194" s="69">
        <f t="shared" si="75"/>
        <v>1.6331306573739464</v>
      </c>
      <c r="H194" s="69">
        <f t="shared" si="75"/>
        <v>1.7181276886818111</v>
      </c>
      <c r="I194" s="69">
        <f t="shared" si="75"/>
        <v>1.7647021518943387</v>
      </c>
      <c r="J194" s="69">
        <f t="shared" si="75"/>
        <v>1.7784789724480232</v>
      </c>
      <c r="K194" s="69">
        <f t="shared" si="75"/>
        <v>1.7879596107448141</v>
      </c>
      <c r="L194" s="69">
        <f t="shared" si="75"/>
        <v>1.7935010851041355</v>
      </c>
      <c r="M194" s="69">
        <f t="shared" si="75"/>
        <v>1.795324372383708</v>
      </c>
      <c r="N194" s="69">
        <f t="shared" si="75"/>
        <v>1.7935010851041358</v>
      </c>
      <c r="O194" s="69">
        <f t="shared" si="75"/>
        <v>1.7879596107448137</v>
      </c>
      <c r="P194" s="69">
        <f t="shared" si="75"/>
        <v>1.778478972448023</v>
      </c>
      <c r="Q194" s="69">
        <f t="shared" si="75"/>
        <v>1.7082832257844442</v>
      </c>
      <c r="R194" s="69">
        <f t="shared" si="75"/>
        <v>1.5525097910422176</v>
      </c>
      <c r="S194" s="69">
        <f t="shared" si="75"/>
        <v>1.2681119746052398</v>
      </c>
      <c r="T194" s="69">
        <f t="shared" si="75"/>
        <v>0.88071589770475489</v>
      </c>
      <c r="U194" s="69">
        <f t="shared" si="75"/>
        <v>0.48413020457333794</v>
      </c>
      <c r="V194" s="69">
        <f t="shared" si="75"/>
        <v>0.17405205126790585</v>
      </c>
      <c r="W194" s="69">
        <f t="shared" si="75"/>
        <v>0</v>
      </c>
    </row>
    <row r="195" spans="1:23" x14ac:dyDescent="0.2">
      <c r="A195" s="80">
        <f>$A$107</f>
        <v>22</v>
      </c>
      <c r="B195" s="85">
        <f>$B$107</f>
        <v>1.6041666666666667</v>
      </c>
      <c r="C195" s="69">
        <f t="shared" ref="C195:W195" si="76">C193+h/3*($B136*C136+4*$B137*C137+$B138*C138)</f>
        <v>0.60267655158572708</v>
      </c>
      <c r="D195" s="69">
        <f t="shared" si="76"/>
        <v>1.0521790212810338</v>
      </c>
      <c r="E195" s="69">
        <f t="shared" si="76"/>
        <v>1.421131641791995</v>
      </c>
      <c r="F195" s="69">
        <f t="shared" si="76"/>
        <v>1.671169343948562</v>
      </c>
      <c r="G195" s="69">
        <f t="shared" si="76"/>
        <v>1.8269123513850729</v>
      </c>
      <c r="H195" s="69">
        <f t="shared" si="76"/>
        <v>1.9123259135124324</v>
      </c>
      <c r="I195" s="69">
        <f t="shared" si="76"/>
        <v>1.9592238923345784</v>
      </c>
      <c r="J195" s="69">
        <f t="shared" si="76"/>
        <v>1.9729902275474724</v>
      </c>
      <c r="K195" s="69">
        <f t="shared" si="76"/>
        <v>1.9824993296342954</v>
      </c>
      <c r="L195" s="69">
        <f t="shared" si="76"/>
        <v>1.9880752733624623</v>
      </c>
      <c r="M195" s="69">
        <f t="shared" si="76"/>
        <v>1.9899128061064544</v>
      </c>
      <c r="N195" s="69">
        <f t="shared" si="76"/>
        <v>1.9880752733624623</v>
      </c>
      <c r="O195" s="69">
        <f t="shared" si="76"/>
        <v>1.9824993296342954</v>
      </c>
      <c r="P195" s="69">
        <f t="shared" si="76"/>
        <v>1.9729902275474718</v>
      </c>
      <c r="Q195" s="69">
        <f t="shared" si="76"/>
        <v>1.8977547630308753</v>
      </c>
      <c r="R195" s="69">
        <f t="shared" si="76"/>
        <v>1.728959186464107</v>
      </c>
      <c r="S195" s="69">
        <f t="shared" si="76"/>
        <v>1.4177812616046814</v>
      </c>
      <c r="T195" s="69">
        <f t="shared" si="76"/>
        <v>0.99012612205595085</v>
      </c>
      <c r="U195" s="69">
        <f t="shared" si="76"/>
        <v>0.54125187048868462</v>
      </c>
      <c r="V195" s="69">
        <f t="shared" si="76"/>
        <v>0.18839351231150092</v>
      </c>
      <c r="W195" s="69">
        <f t="shared" si="76"/>
        <v>0</v>
      </c>
    </row>
    <row r="196" spans="1:23" x14ac:dyDescent="0.2">
      <c r="A196" s="80">
        <f>$A$138+1</f>
        <v>23</v>
      </c>
      <c r="B196" s="85">
        <f>$B$108</f>
        <v>1.6770833333333333</v>
      </c>
      <c r="C196" s="69">
        <f t="shared" ref="C196:W196" si="77">C194+h/3*($B137*C137+4*$B138*C138+$B139*C139)</f>
        <v>0.73730868671437466</v>
      </c>
      <c r="D196" s="69">
        <f t="shared" si="77"/>
        <v>1.22279967280764</v>
      </c>
      <c r="E196" s="69">
        <f t="shared" si="77"/>
        <v>1.6127983179442937</v>
      </c>
      <c r="F196" s="69">
        <f t="shared" si="77"/>
        <v>1.8705601779533465</v>
      </c>
      <c r="G196" s="69">
        <f t="shared" si="77"/>
        <v>2.0303494186521802</v>
      </c>
      <c r="H196" s="69">
        <f t="shared" si="77"/>
        <v>2.1158381262716617</v>
      </c>
      <c r="I196" s="69">
        <f t="shared" si="77"/>
        <v>2.163036494921577</v>
      </c>
      <c r="J196" s="69">
        <f t="shared" si="77"/>
        <v>2.1768126199194371</v>
      </c>
      <c r="K196" s="69">
        <f t="shared" si="77"/>
        <v>2.1862926587842555</v>
      </c>
      <c r="L196" s="69">
        <f t="shared" si="77"/>
        <v>2.191833753563027</v>
      </c>
      <c r="M196" s="69">
        <f t="shared" si="77"/>
        <v>2.1936569123810679</v>
      </c>
      <c r="N196" s="69">
        <f t="shared" si="77"/>
        <v>2.1918337535630275</v>
      </c>
      <c r="O196" s="69">
        <f t="shared" si="77"/>
        <v>2.186292658784255</v>
      </c>
      <c r="P196" s="69">
        <f t="shared" si="77"/>
        <v>2.1768126199194366</v>
      </c>
      <c r="Q196" s="69">
        <f t="shared" si="77"/>
        <v>2.0966122791168225</v>
      </c>
      <c r="R196" s="69">
        <f t="shared" si="77"/>
        <v>1.913879113419906</v>
      </c>
      <c r="S196" s="69">
        <f t="shared" si="77"/>
        <v>1.5744925787201152</v>
      </c>
      <c r="T196" s="69">
        <f t="shared" si="77"/>
        <v>1.1047101648225155</v>
      </c>
      <c r="U196" s="69">
        <f t="shared" si="77"/>
        <v>0.60097291683503673</v>
      </c>
      <c r="V196" s="69">
        <f t="shared" si="77"/>
        <v>0.20233001000551704</v>
      </c>
      <c r="W196" s="69">
        <f t="shared" si="77"/>
        <v>0</v>
      </c>
    </row>
    <row r="197" spans="1:23" ht="13.5" thickBot="1" x14ac:dyDescent="0.25">
      <c r="A197" s="82">
        <f>$A$139+1</f>
        <v>24</v>
      </c>
      <c r="B197" s="89">
        <f>$B$109</f>
        <v>1.75</v>
      </c>
      <c r="C197" s="69">
        <f t="shared" ref="C197:W197" si="78">C195+h/3*($B138*C138+4*$B139*C139+$B140*C140)</f>
        <v>0.88165120435889865</v>
      </c>
      <c r="D197" s="69">
        <f t="shared" si="78"/>
        <v>1.4033737545614593</v>
      </c>
      <c r="E197" s="69">
        <f t="shared" si="78"/>
        <v>1.8148222590043122</v>
      </c>
      <c r="F197" s="69">
        <f t="shared" si="78"/>
        <v>2.0799614390968002</v>
      </c>
      <c r="G197" s="69">
        <f t="shared" si="78"/>
        <v>2.243024178117873</v>
      </c>
      <c r="H197" s="69">
        <f t="shared" si="78"/>
        <v>2.3284602842932833</v>
      </c>
      <c r="I197" s="69">
        <f t="shared" si="78"/>
        <v>2.3756643846658685</v>
      </c>
      <c r="J197" s="69">
        <f t="shared" si="78"/>
        <v>2.3894297940786893</v>
      </c>
      <c r="K197" s="69">
        <f t="shared" si="78"/>
        <v>2.3989382704495843</v>
      </c>
      <c r="L197" s="69">
        <f t="shared" si="78"/>
        <v>2.4045138530970696</v>
      </c>
      <c r="M197" s="69">
        <f t="shared" si="78"/>
        <v>2.4063512678732328</v>
      </c>
      <c r="N197" s="69">
        <f t="shared" si="78"/>
        <v>2.4045138530970696</v>
      </c>
      <c r="O197" s="69">
        <f t="shared" si="78"/>
        <v>2.3989382704495843</v>
      </c>
      <c r="P197" s="69">
        <f t="shared" si="78"/>
        <v>2.3894297940786888</v>
      </c>
      <c r="Q197" s="69">
        <f t="shared" si="78"/>
        <v>2.3043885884608244</v>
      </c>
      <c r="R197" s="69">
        <f t="shared" si="78"/>
        <v>2.1067809935202324</v>
      </c>
      <c r="S197" s="69">
        <f t="shared" si="78"/>
        <v>1.7381368143878864</v>
      </c>
      <c r="T197" s="69">
        <f t="shared" si="78"/>
        <v>1.2243743564869125</v>
      </c>
      <c r="U197" s="69">
        <f t="shared" si="78"/>
        <v>0.66338515287118338</v>
      </c>
      <c r="V197" s="69">
        <f t="shared" si="78"/>
        <v>0.21542615326466669</v>
      </c>
      <c r="W197" s="69">
        <f t="shared" si="78"/>
        <v>0</v>
      </c>
    </row>
    <row r="198" spans="1:23" x14ac:dyDescent="0.2">
      <c r="A198" s="67"/>
      <c r="B198" s="19"/>
      <c r="C198" s="19"/>
      <c r="D198" s="19"/>
      <c r="E198" s="19"/>
      <c r="F198" s="19"/>
      <c r="G198" s="19"/>
      <c r="H198" s="19"/>
      <c r="I198" s="19"/>
      <c r="J198" s="19"/>
      <c r="K198" s="19"/>
      <c r="L198" s="19"/>
      <c r="M198" s="19"/>
      <c r="N198" s="19"/>
      <c r="O198" s="19"/>
      <c r="P198" s="19"/>
      <c r="Q198" s="19"/>
      <c r="R198" s="19"/>
      <c r="S198" s="19"/>
      <c r="T198" s="19"/>
      <c r="U198" s="19"/>
      <c r="V198" s="19"/>
    </row>
    <row r="199" spans="1:23" ht="13.5" thickBot="1" x14ac:dyDescent="0.25">
      <c r="A199" s="91" t="s">
        <v>6</v>
      </c>
      <c r="B199" s="19"/>
      <c r="C199" s="19"/>
      <c r="D199" s="19"/>
      <c r="E199" s="19"/>
      <c r="F199" s="19"/>
      <c r="G199" s="19"/>
      <c r="H199" s="19"/>
      <c r="I199" s="19"/>
      <c r="J199" s="19"/>
      <c r="K199" s="19"/>
      <c r="L199" s="19"/>
      <c r="M199" s="19"/>
      <c r="N199" s="19"/>
      <c r="O199" s="19"/>
      <c r="P199" s="19"/>
      <c r="Q199" s="19"/>
      <c r="R199" s="19"/>
      <c r="S199" s="19"/>
      <c r="T199" s="19"/>
      <c r="U199" s="19"/>
      <c r="V199" s="19"/>
    </row>
    <row r="200" spans="1:23" x14ac:dyDescent="0.2">
      <c r="A200" s="86"/>
      <c r="B200" s="87"/>
      <c r="C200" s="72">
        <v>21</v>
      </c>
      <c r="D200" s="72">
        <v>20</v>
      </c>
      <c r="E200" s="72">
        <v>19</v>
      </c>
      <c r="F200" s="72">
        <v>18</v>
      </c>
      <c r="G200" s="72">
        <v>17</v>
      </c>
      <c r="H200" s="72">
        <v>16</v>
      </c>
      <c r="I200" s="72">
        <v>15</v>
      </c>
      <c r="J200" s="72">
        <v>14</v>
      </c>
      <c r="K200" s="72">
        <v>13</v>
      </c>
      <c r="L200" s="72">
        <v>12</v>
      </c>
      <c r="M200" s="72">
        <v>11</v>
      </c>
      <c r="N200" s="72">
        <v>10</v>
      </c>
      <c r="O200" s="72">
        <v>9</v>
      </c>
      <c r="P200" s="72">
        <v>8</v>
      </c>
      <c r="Q200" s="72">
        <v>7</v>
      </c>
      <c r="R200" s="72">
        <v>6</v>
      </c>
      <c r="S200" s="72">
        <v>5</v>
      </c>
      <c r="T200" s="72">
        <v>4</v>
      </c>
      <c r="U200" s="72">
        <v>3</v>
      </c>
      <c r="V200" s="72">
        <v>2</v>
      </c>
      <c r="W200" s="73">
        <v>1</v>
      </c>
    </row>
    <row r="201" spans="1:23" x14ac:dyDescent="0.2">
      <c r="A201" s="88" t="s">
        <v>53</v>
      </c>
      <c r="B201" s="56" t="s">
        <v>54</v>
      </c>
      <c r="C201" s="68">
        <v>0</v>
      </c>
      <c r="D201" s="68">
        <f t="shared" ref="D201:V201" si="79">C201+$W$115/20</f>
        <v>0.86</v>
      </c>
      <c r="E201" s="68">
        <f t="shared" si="79"/>
        <v>1.72</v>
      </c>
      <c r="F201" s="68">
        <f t="shared" si="79"/>
        <v>2.58</v>
      </c>
      <c r="G201" s="68">
        <f t="shared" si="79"/>
        <v>3.44</v>
      </c>
      <c r="H201" s="68">
        <f t="shared" si="79"/>
        <v>4.3</v>
      </c>
      <c r="I201" s="68">
        <f t="shared" si="79"/>
        <v>5.16</v>
      </c>
      <c r="J201" s="68">
        <f t="shared" si="79"/>
        <v>6.0200000000000005</v>
      </c>
      <c r="K201" s="68">
        <f t="shared" si="79"/>
        <v>6.8800000000000008</v>
      </c>
      <c r="L201" s="68">
        <f t="shared" si="79"/>
        <v>7.7400000000000011</v>
      </c>
      <c r="M201" s="68">
        <f t="shared" si="79"/>
        <v>8.6000000000000014</v>
      </c>
      <c r="N201" s="68">
        <f t="shared" si="79"/>
        <v>9.4600000000000009</v>
      </c>
      <c r="O201" s="68">
        <f t="shared" si="79"/>
        <v>10.32</v>
      </c>
      <c r="P201" s="68">
        <f t="shared" si="79"/>
        <v>11.18</v>
      </c>
      <c r="Q201" s="68">
        <f t="shared" si="79"/>
        <v>12.04</v>
      </c>
      <c r="R201" s="68">
        <f t="shared" si="79"/>
        <v>12.899999999999999</v>
      </c>
      <c r="S201" s="68">
        <f t="shared" si="79"/>
        <v>13.759999999999998</v>
      </c>
      <c r="T201" s="68">
        <f t="shared" si="79"/>
        <v>14.619999999999997</v>
      </c>
      <c r="U201" s="68">
        <f t="shared" si="79"/>
        <v>15.479999999999997</v>
      </c>
      <c r="V201" s="68">
        <f t="shared" si="79"/>
        <v>16.339999999999996</v>
      </c>
      <c r="W201" s="58">
        <f>LWL</f>
        <v>17.2</v>
      </c>
    </row>
    <row r="202" spans="1:23" x14ac:dyDescent="0.2">
      <c r="A202" s="80">
        <f>$A$85</f>
        <v>0</v>
      </c>
      <c r="B202" s="85">
        <f>$B$85</f>
        <v>0</v>
      </c>
      <c r="C202" s="69">
        <v>0</v>
      </c>
      <c r="D202" s="69">
        <v>0</v>
      </c>
      <c r="E202" s="69">
        <v>0</v>
      </c>
      <c r="F202" s="69">
        <v>0</v>
      </c>
      <c r="G202" s="69">
        <v>0</v>
      </c>
      <c r="H202" s="69">
        <v>0</v>
      </c>
      <c r="I202" s="69">
        <v>0</v>
      </c>
      <c r="J202" s="69">
        <v>0</v>
      </c>
      <c r="K202" s="69">
        <v>0</v>
      </c>
      <c r="L202" s="69">
        <v>0</v>
      </c>
      <c r="M202" s="69">
        <v>0</v>
      </c>
      <c r="N202" s="69">
        <v>0</v>
      </c>
      <c r="O202" s="69">
        <v>0</v>
      </c>
      <c r="P202" s="69">
        <v>0</v>
      </c>
      <c r="Q202" s="69">
        <v>0</v>
      </c>
      <c r="R202" s="69">
        <v>0</v>
      </c>
      <c r="S202" s="69">
        <v>0</v>
      </c>
      <c r="T202" s="69">
        <v>0</v>
      </c>
      <c r="U202" s="69">
        <v>0</v>
      </c>
      <c r="V202" s="69">
        <v>0</v>
      </c>
      <c r="W202" s="69">
        <v>0</v>
      </c>
    </row>
    <row r="203" spans="1:23" x14ac:dyDescent="0.2">
      <c r="A203" s="80">
        <f>$A$86</f>
        <v>1</v>
      </c>
      <c r="B203" s="85">
        <f>$B$86</f>
        <v>7.2916666666666671E-2</v>
      </c>
      <c r="C203" s="69">
        <f>C116/2*(C116*h)+(C116+(C117-C116)/3)*((h*(C117-C116))/2)</f>
        <v>6.0059660499801288E-11</v>
      </c>
      <c r="D203" s="69">
        <f t="shared" ref="D203:W203" si="80">D116/2*(D116*h)+(D116+(D117-D116)/3)*((h*(D117-D116))/2)</f>
        <v>1.1725335813371705E-9</v>
      </c>
      <c r="E203" s="69">
        <f t="shared" si="80"/>
        <v>1.920897534412893E-9</v>
      </c>
      <c r="F203" s="69">
        <f t="shared" si="80"/>
        <v>3.6044700350425397E-7</v>
      </c>
      <c r="G203" s="69">
        <f t="shared" si="80"/>
        <v>2.1107746696196349E-5</v>
      </c>
      <c r="H203" s="69">
        <f t="shared" si="80"/>
        <v>1.4322520860855887E-4</v>
      </c>
      <c r="I203" s="69">
        <f t="shared" si="80"/>
        <v>1.5109647420103519E-4</v>
      </c>
      <c r="J203" s="69">
        <f t="shared" si="80"/>
        <v>1.5095488995058305E-4</v>
      </c>
      <c r="K203" s="69">
        <f t="shared" si="80"/>
        <v>1.5095331693352077E-4</v>
      </c>
      <c r="L203" s="69">
        <f t="shared" si="80"/>
        <v>1.5102003832145319E-4</v>
      </c>
      <c r="M203" s="69">
        <f t="shared" si="80"/>
        <v>1.5105766431875586E-4</v>
      </c>
      <c r="N203" s="69">
        <f t="shared" si="80"/>
        <v>1.5102003832145319E-4</v>
      </c>
      <c r="O203" s="69">
        <f t="shared" si="80"/>
        <v>1.5095331693352074E-4</v>
      </c>
      <c r="P203" s="69">
        <f t="shared" si="80"/>
        <v>1.5095488995058311E-4</v>
      </c>
      <c r="Q203" s="69">
        <f t="shared" si="80"/>
        <v>1.4956686002730142E-4</v>
      </c>
      <c r="R203" s="69">
        <f t="shared" si="80"/>
        <v>1.700606210734484E-5</v>
      </c>
      <c r="S203" s="69">
        <f t="shared" si="80"/>
        <v>4.7673382543080902E-7</v>
      </c>
      <c r="T203" s="69">
        <f t="shared" si="80"/>
        <v>3.0122059144467612E-10</v>
      </c>
      <c r="U203" s="69">
        <f t="shared" si="80"/>
        <v>8.6708496293939875E-9</v>
      </c>
      <c r="V203" s="69">
        <f t="shared" si="80"/>
        <v>1.6142435943445115E-9</v>
      </c>
      <c r="W203" s="69">
        <f t="shared" si="80"/>
        <v>0</v>
      </c>
    </row>
    <row r="204" spans="1:23" x14ac:dyDescent="0.2">
      <c r="A204" s="80">
        <f>$A$87</f>
        <v>2</v>
      </c>
      <c r="B204" s="85">
        <f>$B$87</f>
        <v>0.14583333333333334</v>
      </c>
      <c r="C204" s="69">
        <f>h/6*(C116^2+4*C117^2+C118^2)</f>
        <v>2.654031423101096E-10</v>
      </c>
      <c r="D204" s="69">
        <f t="shared" ref="D204:W204" si="81">h/6*(D116^2+4*D117^2+D118^2)</f>
        <v>4.7314747901758731E-9</v>
      </c>
      <c r="E204" s="69">
        <f t="shared" si="81"/>
        <v>8.1193754012511524E-9</v>
      </c>
      <c r="F204" s="69">
        <f t="shared" si="81"/>
        <v>2.2258817357738871E-6</v>
      </c>
      <c r="G204" s="69">
        <f t="shared" si="81"/>
        <v>1.4397734976282368E-4</v>
      </c>
      <c r="H204" s="69">
        <f t="shared" si="81"/>
        <v>3.3783741321345787E-4</v>
      </c>
      <c r="I204" s="69">
        <f t="shared" si="81"/>
        <v>3.5161498383760084E-4</v>
      </c>
      <c r="J204" s="69">
        <f t="shared" si="81"/>
        <v>3.7822333651697055E-4</v>
      </c>
      <c r="K204" s="69">
        <f t="shared" si="81"/>
        <v>4.1026344763946322E-4</v>
      </c>
      <c r="L204" s="69">
        <f t="shared" si="81"/>
        <v>4.3759715025885366E-4</v>
      </c>
      <c r="M204" s="69">
        <f t="shared" si="81"/>
        <v>4.4848184429087227E-4</v>
      </c>
      <c r="N204" s="69">
        <f t="shared" si="81"/>
        <v>4.3759715025885345E-4</v>
      </c>
      <c r="O204" s="69">
        <f t="shared" si="81"/>
        <v>4.1026344763946322E-4</v>
      </c>
      <c r="P204" s="69">
        <f t="shared" si="81"/>
        <v>3.7822333651697066E-4</v>
      </c>
      <c r="Q204" s="69">
        <f t="shared" si="81"/>
        <v>3.5485361492462855E-4</v>
      </c>
      <c r="R204" s="69">
        <f t="shared" si="81"/>
        <v>1.1096845226175733E-4</v>
      </c>
      <c r="S204" s="69">
        <f t="shared" si="81"/>
        <v>6.2106251986653364E-6</v>
      </c>
      <c r="T204" s="69">
        <f t="shared" si="81"/>
        <v>1.2191388757644427E-9</v>
      </c>
      <c r="U204" s="69">
        <f t="shared" si="81"/>
        <v>3.6650514630582398E-8</v>
      </c>
      <c r="V204" s="69">
        <f t="shared" si="81"/>
        <v>6.5138883810336366E-9</v>
      </c>
      <c r="W204" s="69">
        <f t="shared" si="81"/>
        <v>0</v>
      </c>
    </row>
    <row r="205" spans="1:23" x14ac:dyDescent="0.2">
      <c r="A205" s="80">
        <f>$A$88</f>
        <v>3</v>
      </c>
      <c r="B205" s="85">
        <f>$B$88</f>
        <v>0.21875</v>
      </c>
      <c r="C205" s="69">
        <f t="shared" ref="C205:W205" si="82">C203+h/6*(C117^2+4*C118^2+C119^2)</f>
        <v>4.6259708792996935E-10</v>
      </c>
      <c r="D205" s="69">
        <f t="shared" si="82"/>
        <v>1.2078879809557576E-8</v>
      </c>
      <c r="E205" s="69">
        <f t="shared" si="82"/>
        <v>2.6987156950551499E-8</v>
      </c>
      <c r="F205" s="69">
        <f t="shared" si="82"/>
        <v>3.4588504548542393E-5</v>
      </c>
      <c r="G205" s="69">
        <f t="shared" si="82"/>
        <v>4.7232188262877047E-4</v>
      </c>
      <c r="H205" s="69">
        <f t="shared" si="82"/>
        <v>1.0168071849885614E-3</v>
      </c>
      <c r="I205" s="69">
        <f t="shared" si="82"/>
        <v>1.4733259450766239E-3</v>
      </c>
      <c r="J205" s="69">
        <f t="shared" si="82"/>
        <v>2.1002731208422465E-3</v>
      </c>
      <c r="K205" s="69">
        <f t="shared" si="82"/>
        <v>2.7372571365880845E-3</v>
      </c>
      <c r="L205" s="69">
        <f t="shared" si="82"/>
        <v>3.2157561206395645E-3</v>
      </c>
      <c r="M205" s="69">
        <f t="shared" si="82"/>
        <v>3.3937695830563467E-3</v>
      </c>
      <c r="N205" s="69">
        <f t="shared" si="82"/>
        <v>3.2157561206395632E-3</v>
      </c>
      <c r="O205" s="69">
        <f t="shared" si="82"/>
        <v>2.7372571365880806E-3</v>
      </c>
      <c r="P205" s="69">
        <f t="shared" si="82"/>
        <v>2.1002731208422444E-3</v>
      </c>
      <c r="Q205" s="69">
        <f t="shared" si="82"/>
        <v>1.4438481853819708E-3</v>
      </c>
      <c r="R205" s="69">
        <f t="shared" si="82"/>
        <v>5.0490673592174841E-4</v>
      </c>
      <c r="S205" s="69">
        <f t="shared" si="82"/>
        <v>1.1436355542820884E-4</v>
      </c>
      <c r="T205" s="69">
        <f t="shared" si="82"/>
        <v>1.1339983628859112E-6</v>
      </c>
      <c r="U205" s="69">
        <f t="shared" si="82"/>
        <v>1.2181887667142276E-7</v>
      </c>
      <c r="V205" s="69">
        <f t="shared" si="82"/>
        <v>1.6629164972144725E-8</v>
      </c>
      <c r="W205" s="69">
        <f t="shared" si="82"/>
        <v>0</v>
      </c>
    </row>
    <row r="206" spans="1:23" x14ac:dyDescent="0.2">
      <c r="A206" s="80">
        <f>$A$89</f>
        <v>4</v>
      </c>
      <c r="B206" s="85">
        <f>$B$89</f>
        <v>0.29166666666666669</v>
      </c>
      <c r="C206" s="69">
        <f t="shared" ref="C206:W206" si="83">C204+h/6*(C118^2+4*C119^2+C120^2)</f>
        <v>1.889507643203502E-9</v>
      </c>
      <c r="D206" s="69">
        <f t="shared" si="83"/>
        <v>4.5853802547683706E-8</v>
      </c>
      <c r="E206" s="69">
        <f t="shared" si="83"/>
        <v>1.0812635175624727E-7</v>
      </c>
      <c r="F206" s="69">
        <f t="shared" si="83"/>
        <v>2.9698573774640709E-4</v>
      </c>
      <c r="G206" s="69">
        <f t="shared" si="83"/>
        <v>1.9201870788248109E-3</v>
      </c>
      <c r="H206" s="69">
        <f t="shared" si="83"/>
        <v>4.655924288981015E-3</v>
      </c>
      <c r="I206" s="69">
        <f t="shared" si="83"/>
        <v>9.5239810359452025E-3</v>
      </c>
      <c r="J206" s="69">
        <f t="shared" si="83"/>
        <v>1.3042626125553845E-2</v>
      </c>
      <c r="K206" s="69">
        <f t="shared" si="83"/>
        <v>1.6162620190103769E-2</v>
      </c>
      <c r="L206" s="69">
        <f t="shared" si="83"/>
        <v>1.8306279736747064E-2</v>
      </c>
      <c r="M206" s="69">
        <f t="shared" si="83"/>
        <v>1.9069209161055846E-2</v>
      </c>
      <c r="N206" s="69">
        <f t="shared" si="83"/>
        <v>1.8306279736747054E-2</v>
      </c>
      <c r="O206" s="69">
        <f t="shared" si="83"/>
        <v>1.6162620190103748E-2</v>
      </c>
      <c r="P206" s="69">
        <f t="shared" si="83"/>
        <v>1.3042626125553824E-2</v>
      </c>
      <c r="Q206" s="69">
        <f t="shared" si="83"/>
        <v>8.6877902669920629E-3</v>
      </c>
      <c r="R206" s="69">
        <f t="shared" si="83"/>
        <v>3.312507760834161E-3</v>
      </c>
      <c r="S206" s="69">
        <f t="shared" si="83"/>
        <v>8.9313080641487759E-4</v>
      </c>
      <c r="T206" s="69">
        <f t="shared" si="83"/>
        <v>3.9770847287964406E-5</v>
      </c>
      <c r="U206" s="69">
        <f t="shared" si="83"/>
        <v>4.8461651039651227E-7</v>
      </c>
      <c r="V206" s="69">
        <f t="shared" si="83"/>
        <v>6.3127579642131537E-8</v>
      </c>
      <c r="W206" s="69">
        <f t="shared" si="83"/>
        <v>0</v>
      </c>
    </row>
    <row r="207" spans="1:23" x14ac:dyDescent="0.2">
      <c r="A207" s="80">
        <f>$A$90</f>
        <v>5</v>
      </c>
      <c r="B207" s="85">
        <f>$B$90</f>
        <v>0.36458333333333331</v>
      </c>
      <c r="C207" s="69">
        <f t="shared" ref="C207:W207" si="84">C205+h/6*(C119^2+4*C120^2+C121^2)</f>
        <v>3.9437887074873131E-9</v>
      </c>
      <c r="D207" s="69">
        <f t="shared" si="84"/>
        <v>1.3600296129977409E-7</v>
      </c>
      <c r="E207" s="69">
        <f t="shared" si="84"/>
        <v>3.5030371165995415E-6</v>
      </c>
      <c r="F207" s="69">
        <f t="shared" si="84"/>
        <v>1.3493385976105035E-3</v>
      </c>
      <c r="G207" s="69">
        <f t="shared" si="84"/>
        <v>7.4364373992705868E-3</v>
      </c>
      <c r="H207" s="69">
        <f t="shared" si="84"/>
        <v>1.7266687197746464E-2</v>
      </c>
      <c r="I207" s="69">
        <f t="shared" si="84"/>
        <v>3.4460827422207414E-2</v>
      </c>
      <c r="J207" s="69">
        <f t="shared" si="84"/>
        <v>4.2242962975296068E-2</v>
      </c>
      <c r="K207" s="69">
        <f t="shared" si="84"/>
        <v>4.8190635309129828E-2</v>
      </c>
      <c r="L207" s="69">
        <f t="shared" si="84"/>
        <v>5.1888947362827148E-2</v>
      </c>
      <c r="M207" s="69">
        <f t="shared" si="84"/>
        <v>5.3142918241601569E-2</v>
      </c>
      <c r="N207" s="69">
        <f t="shared" si="84"/>
        <v>5.1888947362827148E-2</v>
      </c>
      <c r="O207" s="69">
        <f t="shared" si="84"/>
        <v>4.8190635309129794E-2</v>
      </c>
      <c r="P207" s="69">
        <f t="shared" si="84"/>
        <v>4.2242962975296013E-2</v>
      </c>
      <c r="Q207" s="69">
        <f t="shared" si="84"/>
        <v>3.0676482723249059E-2</v>
      </c>
      <c r="R207" s="69">
        <f t="shared" si="84"/>
        <v>1.3973454476966737E-2</v>
      </c>
      <c r="S207" s="69">
        <f t="shared" si="84"/>
        <v>3.7884884040845653E-3</v>
      </c>
      <c r="T207" s="69">
        <f t="shared" si="84"/>
        <v>3.806573423753966E-4</v>
      </c>
      <c r="U207" s="69">
        <f t="shared" si="84"/>
        <v>7.599161194832777E-6</v>
      </c>
      <c r="V207" s="69">
        <f t="shared" si="84"/>
        <v>1.8723720376492405E-7</v>
      </c>
      <c r="W207" s="69">
        <f t="shared" si="84"/>
        <v>0</v>
      </c>
    </row>
    <row r="208" spans="1:23" x14ac:dyDescent="0.2">
      <c r="A208" s="80">
        <f>$A$91</f>
        <v>6</v>
      </c>
      <c r="B208" s="85">
        <f>$B$91</f>
        <v>0.4375</v>
      </c>
      <c r="C208" s="69">
        <f t="shared" ref="C208:W208" si="85">C206+h/6*(C120^2+4*C121^2+C122^2)</f>
        <v>1.4766538200410898E-8</v>
      </c>
      <c r="D208" s="69">
        <f t="shared" si="85"/>
        <v>5.6131404380249197E-7</v>
      </c>
      <c r="E208" s="69">
        <f t="shared" si="85"/>
        <v>6.6803070835538421E-5</v>
      </c>
      <c r="F208" s="69">
        <f t="shared" si="85"/>
        <v>4.5950013868916156E-3</v>
      </c>
      <c r="G208" s="69">
        <f t="shared" si="85"/>
        <v>2.0915710120760041E-2</v>
      </c>
      <c r="H208" s="69">
        <f t="shared" si="85"/>
        <v>4.3402792454687991E-2</v>
      </c>
      <c r="I208" s="69">
        <f t="shared" si="85"/>
        <v>7.2061038790499507E-2</v>
      </c>
      <c r="J208" s="69">
        <f t="shared" si="85"/>
        <v>8.2150853090298043E-2</v>
      </c>
      <c r="K208" s="69">
        <f t="shared" si="85"/>
        <v>8.978625750794926E-2</v>
      </c>
      <c r="L208" s="69">
        <f t="shared" si="85"/>
        <v>9.4554041695907864E-2</v>
      </c>
      <c r="M208" s="69">
        <f t="shared" si="85"/>
        <v>9.6177477547471191E-2</v>
      </c>
      <c r="N208" s="69">
        <f t="shared" si="85"/>
        <v>9.4554041695907864E-2</v>
      </c>
      <c r="O208" s="69">
        <f t="shared" si="85"/>
        <v>8.9786257507949191E-2</v>
      </c>
      <c r="P208" s="69">
        <f t="shared" si="85"/>
        <v>8.2150853090297946E-2</v>
      </c>
      <c r="Q208" s="69">
        <f t="shared" si="85"/>
        <v>6.4362215623623223E-2</v>
      </c>
      <c r="R208" s="69">
        <f t="shared" si="85"/>
        <v>3.545799566074221E-2</v>
      </c>
      <c r="S208" s="69">
        <f t="shared" si="85"/>
        <v>1.1459685923438781E-2</v>
      </c>
      <c r="T208" s="69">
        <f t="shared" si="85"/>
        <v>1.8358776707769109E-3</v>
      </c>
      <c r="U208" s="69">
        <f t="shared" si="85"/>
        <v>9.2406534657430141E-5</v>
      </c>
      <c r="V208" s="69">
        <f t="shared" si="85"/>
        <v>7.7276899702135022E-7</v>
      </c>
      <c r="W208" s="69">
        <f t="shared" si="85"/>
        <v>0</v>
      </c>
    </row>
    <row r="209" spans="1:23" x14ac:dyDescent="0.2">
      <c r="A209" s="80">
        <f>$A$92</f>
        <v>7</v>
      </c>
      <c r="B209" s="85">
        <f>$B$92</f>
        <v>0.51041666666666663</v>
      </c>
      <c r="C209" s="69">
        <f t="shared" ref="C209:W209" si="86">C207+h/6*(C121^2+4*C122^2+C123^2)</f>
        <v>4.2236353388635708E-8</v>
      </c>
      <c r="D209" s="69">
        <f t="shared" si="86"/>
        <v>1.5551913801503575E-6</v>
      </c>
      <c r="E209" s="69">
        <f t="shared" si="86"/>
        <v>5.4025359180933958E-4</v>
      </c>
      <c r="F209" s="69">
        <f t="shared" si="86"/>
        <v>1.2739138590215153E-2</v>
      </c>
      <c r="G209" s="69">
        <f t="shared" si="86"/>
        <v>4.4836301152485665E-2</v>
      </c>
      <c r="H209" s="69">
        <f t="shared" si="86"/>
        <v>8.3150095724471657E-2</v>
      </c>
      <c r="I209" s="69">
        <f t="shared" si="86"/>
        <v>0.11972749279899109</v>
      </c>
      <c r="J209" s="69">
        <f t="shared" si="86"/>
        <v>0.13284999799177616</v>
      </c>
      <c r="K209" s="69">
        <f t="shared" si="86"/>
        <v>0.1425950251799358</v>
      </c>
      <c r="L209" s="69">
        <f t="shared" si="86"/>
        <v>0.14856184000827372</v>
      </c>
      <c r="M209" s="69">
        <f t="shared" si="86"/>
        <v>0.15057019434473881</v>
      </c>
      <c r="N209" s="69">
        <f t="shared" si="86"/>
        <v>0.14856184000827369</v>
      </c>
      <c r="O209" s="69">
        <f t="shared" si="86"/>
        <v>0.14259502517993572</v>
      </c>
      <c r="P209" s="69">
        <f t="shared" si="86"/>
        <v>0.13284999799177608</v>
      </c>
      <c r="Q209" s="69">
        <f t="shared" si="86"/>
        <v>0.10787152218029482</v>
      </c>
      <c r="R209" s="69">
        <f t="shared" si="86"/>
        <v>6.6839166428750693E-2</v>
      </c>
      <c r="S209" s="69">
        <f t="shared" si="86"/>
        <v>2.6579670211531823E-2</v>
      </c>
      <c r="T209" s="69">
        <f t="shared" si="86"/>
        <v>5.666889659148174E-3</v>
      </c>
      <c r="U209" s="69">
        <f t="shared" si="86"/>
        <v>5.31696120240418E-4</v>
      </c>
      <c r="V209" s="69">
        <f t="shared" si="86"/>
        <v>2.6649059276626979E-6</v>
      </c>
      <c r="W209" s="69">
        <f t="shared" si="86"/>
        <v>0</v>
      </c>
    </row>
    <row r="210" spans="1:23" x14ac:dyDescent="0.2">
      <c r="A210" s="80">
        <f>$A$93</f>
        <v>8</v>
      </c>
      <c r="B210" s="85">
        <f>$B$93</f>
        <v>0.58333333333333337</v>
      </c>
      <c r="C210" s="69">
        <f t="shared" ref="C210:W210" si="87">C208+h/6*(C122^2+4*C123^2+C124^2)</f>
        <v>1.1875646848538349E-7</v>
      </c>
      <c r="D210" s="69">
        <f t="shared" si="87"/>
        <v>6.7138938828296661E-6</v>
      </c>
      <c r="E210" s="69">
        <f t="shared" si="87"/>
        <v>2.4975909074019739E-3</v>
      </c>
      <c r="F210" s="69">
        <f t="shared" si="87"/>
        <v>2.8641269230492615E-2</v>
      </c>
      <c r="G210" s="69">
        <f t="shared" si="87"/>
        <v>7.9907169551774723E-2</v>
      </c>
      <c r="H210" s="69">
        <f t="shared" si="87"/>
        <v>0.1329909933030575</v>
      </c>
      <c r="I210" s="69">
        <f t="shared" si="87"/>
        <v>0.17595138407379751</v>
      </c>
      <c r="J210" s="69">
        <f t="shared" si="87"/>
        <v>0.19105967966550158</v>
      </c>
      <c r="K210" s="69">
        <f t="shared" si="87"/>
        <v>0.20226263991756155</v>
      </c>
      <c r="L210" s="69">
        <f t="shared" si="87"/>
        <v>0.20915762526317644</v>
      </c>
      <c r="M210" s="69">
        <f t="shared" si="87"/>
        <v>0.21148712228591493</v>
      </c>
      <c r="N210" s="69">
        <f t="shared" si="87"/>
        <v>0.20915762526317644</v>
      </c>
      <c r="O210" s="69">
        <f t="shared" si="87"/>
        <v>0.20226263991756138</v>
      </c>
      <c r="P210" s="69">
        <f t="shared" si="87"/>
        <v>0.19105967966550144</v>
      </c>
      <c r="Q210" s="69">
        <f t="shared" si="87"/>
        <v>0.15995685617892966</v>
      </c>
      <c r="R210" s="69">
        <f t="shared" si="87"/>
        <v>0.10646459322839905</v>
      </c>
      <c r="S210" s="69">
        <f t="shared" si="87"/>
        <v>4.8731501212969812E-2</v>
      </c>
      <c r="T210" s="69">
        <f t="shared" si="87"/>
        <v>1.27804668557767E-2</v>
      </c>
      <c r="U210" s="69">
        <f t="shared" si="87"/>
        <v>1.8764607833623764E-3</v>
      </c>
      <c r="V210" s="69">
        <f t="shared" si="87"/>
        <v>3.8108202628234357E-5</v>
      </c>
      <c r="W210" s="69">
        <f t="shared" si="87"/>
        <v>0</v>
      </c>
    </row>
    <row r="211" spans="1:23" x14ac:dyDescent="0.2">
      <c r="A211" s="80">
        <f>$A$94</f>
        <v>9</v>
      </c>
      <c r="B211" s="85">
        <f>$B$94</f>
        <v>0.65625</v>
      </c>
      <c r="C211" s="69">
        <f t="shared" ref="C211:W211" si="88">C209+h/6*(C123^2+4*C124^2+C125^2)</f>
        <v>4.7428979273926223E-7</v>
      </c>
      <c r="D211" s="69">
        <f t="shared" si="88"/>
        <v>1.8017084913471325E-5</v>
      </c>
      <c r="E211" s="69">
        <f t="shared" si="88"/>
        <v>7.8890264280035722E-3</v>
      </c>
      <c r="F211" s="69">
        <f t="shared" si="88"/>
        <v>5.3862180393061836E-2</v>
      </c>
      <c r="G211" s="69">
        <f t="shared" si="88"/>
        <v>0.12488168554737161</v>
      </c>
      <c r="H211" s="69">
        <f t="shared" si="88"/>
        <v>0.19013345697491074</v>
      </c>
      <c r="I211" s="69">
        <f t="shared" si="88"/>
        <v>0.24032349598781594</v>
      </c>
      <c r="J211" s="69">
        <f t="shared" si="88"/>
        <v>0.25799734495840571</v>
      </c>
      <c r="K211" s="69">
        <f t="shared" si="88"/>
        <v>0.2709007989867096</v>
      </c>
      <c r="L211" s="69">
        <f t="shared" si="88"/>
        <v>0.27872458941904582</v>
      </c>
      <c r="M211" s="69">
        <f t="shared" si="88"/>
        <v>0.28134551546071279</v>
      </c>
      <c r="N211" s="69">
        <f t="shared" si="88"/>
        <v>0.27872458941904588</v>
      </c>
      <c r="O211" s="69">
        <f t="shared" si="88"/>
        <v>0.27090079898670943</v>
      </c>
      <c r="P211" s="69">
        <f t="shared" si="88"/>
        <v>0.25799734495840559</v>
      </c>
      <c r="Q211" s="69">
        <f t="shared" si="88"/>
        <v>0.22001820315657125</v>
      </c>
      <c r="R211" s="69">
        <f t="shared" si="88"/>
        <v>0.15237770371334014</v>
      </c>
      <c r="S211" s="69">
        <f t="shared" si="88"/>
        <v>7.5858203332845861E-2</v>
      </c>
      <c r="T211" s="69">
        <f t="shared" si="88"/>
        <v>2.3042141529435123E-2</v>
      </c>
      <c r="U211" s="69">
        <f t="shared" si="88"/>
        <v>4.6825467521729794E-3</v>
      </c>
      <c r="V211" s="69">
        <f t="shared" si="88"/>
        <v>2.780668700823627E-4</v>
      </c>
      <c r="W211" s="69">
        <f t="shared" si="88"/>
        <v>0</v>
      </c>
    </row>
    <row r="212" spans="1:23" x14ac:dyDescent="0.2">
      <c r="A212" s="80">
        <f>$A$95</f>
        <v>10</v>
      </c>
      <c r="B212" s="85">
        <f>$B$95</f>
        <v>0.72916666666666663</v>
      </c>
      <c r="C212" s="69">
        <f t="shared" ref="C212:R212" si="89">C210+h/6*(C124^2+4*C125^2+C126^2)</f>
        <v>1.0528174775642867E-6</v>
      </c>
      <c r="D212" s="69">
        <f t="shared" si="89"/>
        <v>1.920143971605332E-4</v>
      </c>
      <c r="E212" s="69">
        <f t="shared" si="89"/>
        <v>1.9260900242435635E-2</v>
      </c>
      <c r="F212" s="69">
        <f t="shared" si="89"/>
        <v>8.8800191943364942E-2</v>
      </c>
      <c r="G212" s="69">
        <f t="shared" si="89"/>
        <v>0.17848858749763064</v>
      </c>
      <c r="H212" s="69">
        <f t="shared" si="89"/>
        <v>0.25425979758260225</v>
      </c>
      <c r="I212" s="69">
        <f t="shared" si="89"/>
        <v>0.31086824643987632</v>
      </c>
      <c r="J212" s="69">
        <f t="shared" si="89"/>
        <v>0.32995686853273931</v>
      </c>
      <c r="K212" s="69">
        <f t="shared" si="89"/>
        <v>0.34393197078986415</v>
      </c>
      <c r="L212" s="69">
        <f t="shared" si="89"/>
        <v>0.35246412933479354</v>
      </c>
      <c r="M212" s="69">
        <f t="shared" si="89"/>
        <v>0.35533531795116163</v>
      </c>
      <c r="N212" s="69">
        <f t="shared" si="89"/>
        <v>0.35246412933479354</v>
      </c>
      <c r="O212" s="69">
        <f t="shared" si="89"/>
        <v>0.34393197078986393</v>
      </c>
      <c r="P212" s="69">
        <f t="shared" si="89"/>
        <v>0.32995686853273909</v>
      </c>
      <c r="Q212" s="69">
        <f t="shared" si="89"/>
        <v>0.28606244379933932</v>
      </c>
      <c r="R212" s="69">
        <f t="shared" si="89"/>
        <v>0.20417643358698118</v>
      </c>
      <c r="S212" s="69">
        <f>S210+h/6*(S124^2+4*S125^2+S126^2)</f>
        <v>0.10764981766367898</v>
      </c>
      <c r="T212" s="69">
        <f>T210+h/6*(T124^2+4*T125^2+T126^2)</f>
        <v>3.6135127723191565E-2</v>
      </c>
      <c r="U212" s="69">
        <f>U210+h/6*(U124^2+4*U125^2+U126^2)</f>
        <v>9.315396913676199E-3</v>
      </c>
      <c r="V212" s="69">
        <f>V210+h/6*(V124^2+4*V125^2+V126^2)</f>
        <v>1.0976625479750452E-3</v>
      </c>
      <c r="W212" s="69">
        <f>W210+h/6*(W124^2+4*W125^2+W126^2)</f>
        <v>0</v>
      </c>
    </row>
    <row r="213" spans="1:23" x14ac:dyDescent="0.2">
      <c r="A213" s="80">
        <f>$A$96</f>
        <v>11</v>
      </c>
      <c r="B213" s="85">
        <f>$B$96</f>
        <v>0.80208333333333337</v>
      </c>
      <c r="C213" s="69">
        <f t="shared" ref="C213:W213" si="90">C211+h/6*(C125^2+4*C126^2+C127^2)</f>
        <v>4.6847166204141864E-6</v>
      </c>
      <c r="D213" s="69">
        <f t="shared" si="90"/>
        <v>1.4218369818111353E-3</v>
      </c>
      <c r="E213" s="69">
        <f t="shared" si="90"/>
        <v>3.8831632445640946E-2</v>
      </c>
      <c r="F213" s="69">
        <f t="shared" si="90"/>
        <v>0.13289942425496759</v>
      </c>
      <c r="G213" s="69">
        <f t="shared" si="90"/>
        <v>0.23935861087716392</v>
      </c>
      <c r="H213" s="69">
        <f t="shared" si="90"/>
        <v>0.32546427196574496</v>
      </c>
      <c r="I213" s="69">
        <f t="shared" si="90"/>
        <v>0.38779505688031135</v>
      </c>
      <c r="J213" s="69">
        <f t="shared" si="90"/>
        <v>0.40917275092595651</v>
      </c>
      <c r="K213" s="69">
        <f t="shared" si="90"/>
        <v>0.42469656900642366</v>
      </c>
      <c r="L213" s="69">
        <f t="shared" si="90"/>
        <v>0.43407907137428214</v>
      </c>
      <c r="M213" s="69">
        <f t="shared" si="90"/>
        <v>0.43721697470575294</v>
      </c>
      <c r="N213" s="69">
        <f t="shared" si="90"/>
        <v>0.43407907137428225</v>
      </c>
      <c r="O213" s="69">
        <f t="shared" si="90"/>
        <v>0.42469656900642339</v>
      </c>
      <c r="P213" s="69">
        <f t="shared" si="90"/>
        <v>0.4091727509259564</v>
      </c>
      <c r="Q213" s="69">
        <f t="shared" si="90"/>
        <v>0.35825525159272043</v>
      </c>
      <c r="R213" s="69">
        <f t="shared" si="90"/>
        <v>0.26145581283002184</v>
      </c>
      <c r="S213" s="69">
        <f t="shared" si="90"/>
        <v>0.14429588801388868</v>
      </c>
      <c r="T213" s="69">
        <f t="shared" si="90"/>
        <v>5.1892663549253856E-2</v>
      </c>
      <c r="U213" s="69">
        <f t="shared" si="90"/>
        <v>1.5934132956758211E-2</v>
      </c>
      <c r="V213" s="69">
        <f t="shared" si="90"/>
        <v>2.7431320169261737E-3</v>
      </c>
      <c r="W213" s="69">
        <f t="shared" si="90"/>
        <v>0</v>
      </c>
    </row>
    <row r="214" spans="1:23" x14ac:dyDescent="0.2">
      <c r="A214" s="80">
        <f>$A$97</f>
        <v>12</v>
      </c>
      <c r="B214" s="85">
        <f>$B$97</f>
        <v>0.875</v>
      </c>
      <c r="C214" s="69">
        <f t="shared" ref="C214:W214" si="91">C212+h/6*(C126^2+4*C127^2+C128^2)</f>
        <v>1.0248388750764133E-5</v>
      </c>
      <c r="D214" s="69">
        <f t="shared" si="91"/>
        <v>5.5185579800992989E-3</v>
      </c>
      <c r="E214" s="69">
        <f t="shared" si="91"/>
        <v>6.7882833080499042E-2</v>
      </c>
      <c r="F214" s="69">
        <f t="shared" si="91"/>
        <v>0.18560497288699535</v>
      </c>
      <c r="G214" s="69">
        <f t="shared" si="91"/>
        <v>0.30771521854930139</v>
      </c>
      <c r="H214" s="69">
        <f t="shared" si="91"/>
        <v>0.40376930364114461</v>
      </c>
      <c r="I214" s="69">
        <f t="shared" si="91"/>
        <v>0.47031734062240615</v>
      </c>
      <c r="J214" s="69">
        <f t="shared" si="91"/>
        <v>0.49295673251396244</v>
      </c>
      <c r="K214" s="69">
        <f t="shared" si="91"/>
        <v>0.50940822752217263</v>
      </c>
      <c r="L214" s="69">
        <f t="shared" si="91"/>
        <v>0.51939715311311752</v>
      </c>
      <c r="M214" s="69">
        <f t="shared" si="91"/>
        <v>0.52274857708586464</v>
      </c>
      <c r="N214" s="69">
        <f t="shared" si="91"/>
        <v>0.51939715311311752</v>
      </c>
      <c r="O214" s="69">
        <f t="shared" si="91"/>
        <v>0.5094082275221723</v>
      </c>
      <c r="P214" s="69">
        <f t="shared" si="91"/>
        <v>0.49295673251396221</v>
      </c>
      <c r="Q214" s="69">
        <f t="shared" si="91"/>
        <v>0.43594937692392421</v>
      </c>
      <c r="R214" s="69">
        <f t="shared" si="91"/>
        <v>0.32470132028276011</v>
      </c>
      <c r="S214" s="69">
        <f t="shared" si="91"/>
        <v>0.18575667260240808</v>
      </c>
      <c r="T214" s="69">
        <f t="shared" si="91"/>
        <v>7.0495297203800489E-2</v>
      </c>
      <c r="U214" s="69">
        <f t="shared" si="91"/>
        <v>2.4277951795885946E-2</v>
      </c>
      <c r="V214" s="69">
        <f t="shared" si="91"/>
        <v>4.7496502367273558E-3</v>
      </c>
      <c r="W214" s="69">
        <f t="shared" si="91"/>
        <v>0</v>
      </c>
    </row>
    <row r="215" spans="1:23" x14ac:dyDescent="0.2">
      <c r="A215" s="80">
        <f>$A$98</f>
        <v>13</v>
      </c>
      <c r="B215" s="85">
        <f>$B$98</f>
        <v>0.94791666666666663</v>
      </c>
      <c r="C215" s="69">
        <f t="shared" ref="C215:W215" si="92">C213+h/6*(C127^2+4*C128^2+C129^2)</f>
        <v>3.0257535805456886E-5</v>
      </c>
      <c r="D215" s="69">
        <f t="shared" si="92"/>
        <v>1.5133416092191928E-2</v>
      </c>
      <c r="E215" s="69">
        <f t="shared" si="92"/>
        <v>0.10667319486123841</v>
      </c>
      <c r="F215" s="69">
        <f t="shared" si="92"/>
        <v>0.24662928411025842</v>
      </c>
      <c r="G215" s="69">
        <f t="shared" si="92"/>
        <v>0.38342334648103737</v>
      </c>
      <c r="H215" s="69">
        <f t="shared" si="92"/>
        <v>0.48820884808221005</v>
      </c>
      <c r="I215" s="69">
        <f t="shared" si="92"/>
        <v>0.55870517682571119</v>
      </c>
      <c r="J215" s="69">
        <f t="shared" si="92"/>
        <v>0.5832726205107619</v>
      </c>
      <c r="K215" s="69">
        <f t="shared" si="92"/>
        <v>0.60096272375377624</v>
      </c>
      <c r="L215" s="69">
        <f t="shared" si="92"/>
        <v>0.61159691131182337</v>
      </c>
      <c r="M215" s="69">
        <f t="shared" si="92"/>
        <v>0.61514375382016961</v>
      </c>
      <c r="N215" s="69">
        <f t="shared" si="92"/>
        <v>0.61159691131182359</v>
      </c>
      <c r="O215" s="69">
        <f t="shared" si="92"/>
        <v>0.60096272375377591</v>
      </c>
      <c r="P215" s="69">
        <f t="shared" si="92"/>
        <v>0.58327262051076179</v>
      </c>
      <c r="Q215" s="69">
        <f t="shared" si="92"/>
        <v>0.51901290036478009</v>
      </c>
      <c r="R215" s="69">
        <f t="shared" si="92"/>
        <v>0.39310544060649755</v>
      </c>
      <c r="S215" s="69">
        <f t="shared" si="92"/>
        <v>0.23152019641778576</v>
      </c>
      <c r="T215" s="69">
        <f t="shared" si="92"/>
        <v>9.2240845257229448E-2</v>
      </c>
      <c r="U215" s="69">
        <f t="shared" si="92"/>
        <v>3.340563150532172E-2</v>
      </c>
      <c r="V215" s="69">
        <f t="shared" si="92"/>
        <v>6.5165922835361215E-3</v>
      </c>
      <c r="W215" s="69">
        <f t="shared" si="92"/>
        <v>0</v>
      </c>
    </row>
    <row r="216" spans="1:23" x14ac:dyDescent="0.2">
      <c r="A216" s="80">
        <f>$A$99</f>
        <v>14</v>
      </c>
      <c r="B216" s="85">
        <f>$B$99</f>
        <v>1.0208333333333333</v>
      </c>
      <c r="C216" s="69">
        <f t="shared" ref="C216:W216" si="93">C214+h/6*(C128^2+4*C129^2+C130^2)</f>
        <v>1.073902469446339E-4</v>
      </c>
      <c r="D216" s="69">
        <f t="shared" si="93"/>
        <v>3.3331081167408655E-2</v>
      </c>
      <c r="E216" s="69">
        <f t="shared" si="93"/>
        <v>0.15457687067927295</v>
      </c>
      <c r="F216" s="69">
        <f t="shared" si="93"/>
        <v>0.31536265688976473</v>
      </c>
      <c r="G216" s="69">
        <f t="shared" si="93"/>
        <v>0.46541240510353871</v>
      </c>
      <c r="H216" s="69">
        <f t="shared" si="93"/>
        <v>0.57728091310709018</v>
      </c>
      <c r="I216" s="69">
        <f t="shared" si="93"/>
        <v>0.65148048434496209</v>
      </c>
      <c r="J216" s="69">
        <f t="shared" si="93"/>
        <v>0.6767089908793531</v>
      </c>
      <c r="K216" s="69">
        <f t="shared" si="93"/>
        <v>0.69486940475649861</v>
      </c>
      <c r="L216" s="69">
        <f t="shared" si="93"/>
        <v>0.70582753119463459</v>
      </c>
      <c r="M216" s="69">
        <f t="shared" si="93"/>
        <v>0.709492704854634</v>
      </c>
      <c r="N216" s="69">
        <f t="shared" si="93"/>
        <v>0.70582753119463459</v>
      </c>
      <c r="O216" s="69">
        <f t="shared" si="93"/>
        <v>0.69486940475649828</v>
      </c>
      <c r="P216" s="69">
        <f t="shared" si="93"/>
        <v>0.67670899087935277</v>
      </c>
      <c r="Q216" s="69">
        <f t="shared" si="93"/>
        <v>0.60587724746626515</v>
      </c>
      <c r="R216" s="69">
        <f t="shared" si="93"/>
        <v>0.4657681539683286</v>
      </c>
      <c r="S216" s="69">
        <f t="shared" si="93"/>
        <v>0.28117508217626463</v>
      </c>
      <c r="T216" s="69">
        <f t="shared" si="93"/>
        <v>0.11699238626083727</v>
      </c>
      <c r="U216" s="69">
        <f t="shared" si="93"/>
        <v>4.2208144314630824E-2</v>
      </c>
      <c r="V216" s="69">
        <f t="shared" si="93"/>
        <v>8.0712057306717225E-3</v>
      </c>
      <c r="W216" s="69">
        <f t="shared" si="93"/>
        <v>0</v>
      </c>
    </row>
    <row r="217" spans="1:23" x14ac:dyDescent="0.2">
      <c r="A217" s="80">
        <f>$A$100</f>
        <v>15</v>
      </c>
      <c r="B217" s="85">
        <f>$B$100</f>
        <v>1.09375</v>
      </c>
      <c r="C217" s="69">
        <f t="shared" ref="C217:W217" si="94">C215+h/6*(C129^2+4*C130^2+C131^2)</f>
        <v>1.1871991808073237E-3</v>
      </c>
      <c r="D217" s="69">
        <f t="shared" si="94"/>
        <v>6.2142857593932802E-2</v>
      </c>
      <c r="E217" s="69">
        <f t="shared" si="94"/>
        <v>0.21091417330507894</v>
      </c>
      <c r="F217" s="69">
        <f t="shared" si="94"/>
        <v>0.39060537312640442</v>
      </c>
      <c r="G217" s="69">
        <f t="shared" si="94"/>
        <v>0.55212592374990144</v>
      </c>
      <c r="H217" s="69">
        <f t="shared" si="94"/>
        <v>0.67009935976177104</v>
      </c>
      <c r="I217" s="69">
        <f t="shared" si="94"/>
        <v>0.74822016693834514</v>
      </c>
      <c r="J217" s="69">
        <f t="shared" si="94"/>
        <v>0.77465710113942832</v>
      </c>
      <c r="K217" s="69">
        <f t="shared" si="94"/>
        <v>0.79355508155575116</v>
      </c>
      <c r="L217" s="69">
        <f t="shared" si="94"/>
        <v>0.80486759829861865</v>
      </c>
      <c r="M217" s="69">
        <f t="shared" si="94"/>
        <v>0.80863325374079098</v>
      </c>
      <c r="N217" s="69">
        <f t="shared" si="94"/>
        <v>0.80486759829861876</v>
      </c>
      <c r="O217" s="69">
        <f t="shared" si="94"/>
        <v>0.79355508155575083</v>
      </c>
      <c r="P217" s="69">
        <f t="shared" si="94"/>
        <v>0.77465710113942809</v>
      </c>
      <c r="Q217" s="69">
        <f t="shared" si="94"/>
        <v>0.69643608353246655</v>
      </c>
      <c r="R217" s="69">
        <f t="shared" si="94"/>
        <v>0.54177523063374533</v>
      </c>
      <c r="S217" s="69">
        <f t="shared" si="94"/>
        <v>0.33397830029982245</v>
      </c>
      <c r="T217" s="69">
        <f t="shared" si="94"/>
        <v>0.14387740434101357</v>
      </c>
      <c r="U217" s="69">
        <f t="shared" si="94"/>
        <v>5.0578765001166828E-2</v>
      </c>
      <c r="V217" s="69">
        <f t="shared" si="94"/>
        <v>9.5004410161695953E-3</v>
      </c>
      <c r="W217" s="69">
        <f t="shared" si="94"/>
        <v>0</v>
      </c>
    </row>
    <row r="218" spans="1:23" x14ac:dyDescent="0.2">
      <c r="A218" s="80">
        <f>$A$101</f>
        <v>16</v>
      </c>
      <c r="B218" s="85">
        <f>$B$101</f>
        <v>1.1666666666666667</v>
      </c>
      <c r="C218" s="69">
        <f t="shared" ref="C218:W218" si="95">C216+h/6*(C130^2+4*C131^2+C132^2)</f>
        <v>7.8407664466717854E-3</v>
      </c>
      <c r="D218" s="69">
        <f t="shared" si="95"/>
        <v>0.10039300605808367</v>
      </c>
      <c r="E218" s="69">
        <f t="shared" si="95"/>
        <v>0.27485221301040369</v>
      </c>
      <c r="F218" s="69">
        <f t="shared" si="95"/>
        <v>0.47140012667136166</v>
      </c>
      <c r="G218" s="69">
        <f t="shared" si="95"/>
        <v>0.64312166092712519</v>
      </c>
      <c r="H218" s="69">
        <f t="shared" si="95"/>
        <v>0.7664156604511152</v>
      </c>
      <c r="I218" s="69">
        <f t="shared" si="95"/>
        <v>0.8472161347010112</v>
      </c>
      <c r="J218" s="69">
        <f t="shared" si="95"/>
        <v>0.87374129604978412</v>
      </c>
      <c r="K218" s="69">
        <f t="shared" si="95"/>
        <v>0.89274973216958742</v>
      </c>
      <c r="L218" s="69">
        <f t="shared" si="95"/>
        <v>0.90418921744411285</v>
      </c>
      <c r="M218" s="69">
        <f t="shared" si="95"/>
        <v>0.90801061907659508</v>
      </c>
      <c r="N218" s="69">
        <f t="shared" si="95"/>
        <v>0.90418921744411296</v>
      </c>
      <c r="O218" s="69">
        <f t="shared" si="95"/>
        <v>0.89274973216958708</v>
      </c>
      <c r="P218" s="69">
        <f t="shared" si="95"/>
        <v>0.87374129604978368</v>
      </c>
      <c r="Q218" s="69">
        <f t="shared" si="95"/>
        <v>0.789497525714842</v>
      </c>
      <c r="R218" s="69">
        <f t="shared" si="95"/>
        <v>0.62113959236931593</v>
      </c>
      <c r="S218" s="69">
        <f t="shared" si="95"/>
        <v>0.38920350325898506</v>
      </c>
      <c r="T218" s="69">
        <f t="shared" si="95"/>
        <v>0.17236300013517181</v>
      </c>
      <c r="U218" s="69">
        <f t="shared" si="95"/>
        <v>5.8845456576666066E-2</v>
      </c>
      <c r="V218" s="69">
        <f t="shared" si="95"/>
        <v>1.0784434013694838E-2</v>
      </c>
      <c r="W218" s="69">
        <f t="shared" si="95"/>
        <v>0</v>
      </c>
    </row>
    <row r="219" spans="1:23" x14ac:dyDescent="0.2">
      <c r="A219" s="80">
        <f>$A$102</f>
        <v>17</v>
      </c>
      <c r="B219" s="85">
        <f>$B$102</f>
        <v>1.2395833333333333</v>
      </c>
      <c r="C219" s="69">
        <f t="shared" ref="C219:W219" si="96">C217+h/6*(C131^2+4*C132^2+C133^2)</f>
        <v>2.3302606272741853E-2</v>
      </c>
      <c r="D219" s="69">
        <f t="shared" si="96"/>
        <v>0.14624317024177932</v>
      </c>
      <c r="E219" s="69">
        <f t="shared" si="96"/>
        <v>0.3453011806394779</v>
      </c>
      <c r="F219" s="69">
        <f t="shared" si="96"/>
        <v>0.55691316470072438</v>
      </c>
      <c r="G219" s="69">
        <f t="shared" si="96"/>
        <v>0.73767863333266015</v>
      </c>
      <c r="H219" s="69">
        <f t="shared" si="96"/>
        <v>0.86576233681305736</v>
      </c>
      <c r="I219" s="69">
        <f t="shared" si="96"/>
        <v>0.94871310679236664</v>
      </c>
      <c r="J219" s="69">
        <f t="shared" si="96"/>
        <v>0.97612922513798894</v>
      </c>
      <c r="K219" s="69">
        <f t="shared" si="96"/>
        <v>0.99568537256232292</v>
      </c>
      <c r="L219" s="69">
        <f t="shared" si="96"/>
        <v>1.0073769053012627</v>
      </c>
      <c r="M219" s="69">
        <f t="shared" si="96"/>
        <v>1.0112663025926714</v>
      </c>
      <c r="N219" s="69">
        <f t="shared" si="96"/>
        <v>1.0073769053012627</v>
      </c>
      <c r="O219" s="69">
        <f t="shared" si="96"/>
        <v>0.99568537256232259</v>
      </c>
      <c r="P219" s="69">
        <f t="shared" si="96"/>
        <v>0.97612922513798861</v>
      </c>
      <c r="Q219" s="69">
        <f t="shared" si="96"/>
        <v>0.88505973477187905</v>
      </c>
      <c r="R219" s="69">
        <f t="shared" si="96"/>
        <v>0.70301802829989868</v>
      </c>
      <c r="S219" s="69">
        <f t="shared" si="96"/>
        <v>0.4461941972164849</v>
      </c>
      <c r="T219" s="69">
        <f t="shared" si="96"/>
        <v>0.20207758161334402</v>
      </c>
      <c r="U219" s="69">
        <f t="shared" si="96"/>
        <v>6.7291957617117176E-2</v>
      </c>
      <c r="V219" s="69">
        <f t="shared" si="96"/>
        <v>1.1880166697563092E-2</v>
      </c>
      <c r="W219" s="69">
        <f t="shared" si="96"/>
        <v>0</v>
      </c>
    </row>
    <row r="220" spans="1:23" x14ac:dyDescent="0.2">
      <c r="A220" s="80">
        <f>$A$103</f>
        <v>18</v>
      </c>
      <c r="B220" s="85">
        <f>$B$103</f>
        <v>1.3125</v>
      </c>
      <c r="C220" s="69">
        <f t="shared" ref="C220:W220" si="97">C218+h/6*(C132^2+4*C133^2+C134^2)</f>
        <v>4.6739404625950706E-2</v>
      </c>
      <c r="D220" s="69">
        <f t="shared" si="97"/>
        <v>0.19941882613129081</v>
      </c>
      <c r="E220" s="69">
        <f t="shared" si="97"/>
        <v>0.42113144673350977</v>
      </c>
      <c r="F220" s="69">
        <f t="shared" si="97"/>
        <v>0.64652898012651794</v>
      </c>
      <c r="G220" s="69">
        <f t="shared" si="97"/>
        <v>0.83530176591421923</v>
      </c>
      <c r="H220" s="69">
        <f t="shared" si="97"/>
        <v>0.96752712144203168</v>
      </c>
      <c r="I220" s="69">
        <f t="shared" si="97"/>
        <v>1.051775650310762</v>
      </c>
      <c r="J220" s="69">
        <f t="shared" si="97"/>
        <v>1.0790645067119777</v>
      </c>
      <c r="K220" s="69">
        <f t="shared" si="97"/>
        <v>1.0985787869577104</v>
      </c>
      <c r="L220" s="69">
        <f t="shared" si="97"/>
        <v>1.1103062555786598</v>
      </c>
      <c r="M220" s="69">
        <f t="shared" si="97"/>
        <v>1.1142211005364546</v>
      </c>
      <c r="N220" s="69">
        <f t="shared" si="97"/>
        <v>1.1103062555786598</v>
      </c>
      <c r="O220" s="69">
        <f t="shared" si="97"/>
        <v>1.0985787869577102</v>
      </c>
      <c r="P220" s="69">
        <f t="shared" si="97"/>
        <v>1.0790645067119773</v>
      </c>
      <c r="Q220" s="69">
        <f t="shared" si="97"/>
        <v>0.98195512839292254</v>
      </c>
      <c r="R220" s="69">
        <f t="shared" si="97"/>
        <v>0.78682996365224001</v>
      </c>
      <c r="S220" s="69">
        <f t="shared" si="97"/>
        <v>0.50493280000898211</v>
      </c>
      <c r="T220" s="69">
        <f t="shared" si="97"/>
        <v>0.23295299018124183</v>
      </c>
      <c r="U220" s="69">
        <f t="shared" si="97"/>
        <v>7.6046805677149235E-2</v>
      </c>
      <c r="V220" s="69">
        <f t="shared" si="97"/>
        <v>1.2886328873751723E-2</v>
      </c>
      <c r="W220" s="69">
        <f t="shared" si="97"/>
        <v>0</v>
      </c>
    </row>
    <row r="221" spans="1:23" x14ac:dyDescent="0.2">
      <c r="A221" s="80">
        <f>$A$104</f>
        <v>19</v>
      </c>
      <c r="B221" s="85">
        <f>$B$104</f>
        <v>1.3854166666666667</v>
      </c>
      <c r="C221" s="69">
        <f t="shared" ref="C221:W221" si="98">C219+h/6*(C133^2+4*C134^2+C135^2)</f>
        <v>7.6314606977262583E-2</v>
      </c>
      <c r="D221" s="69">
        <f t="shared" si="98"/>
        <v>0.25869909424783522</v>
      </c>
      <c r="E221" s="69">
        <f t="shared" si="98"/>
        <v>0.5014999920427522</v>
      </c>
      <c r="F221" s="69">
        <f t="shared" si="98"/>
        <v>0.73959918312819539</v>
      </c>
      <c r="G221" s="69">
        <f t="shared" si="98"/>
        <v>0.9351738956619271</v>
      </c>
      <c r="H221" s="69">
        <f t="shared" si="98"/>
        <v>1.0709682781371277</v>
      </c>
      <c r="I221" s="69">
        <f t="shared" si="98"/>
        <v>1.1566161107634465</v>
      </c>
      <c r="J221" s="69">
        <f t="shared" si="98"/>
        <v>1.18453455179874</v>
      </c>
      <c r="K221" s="69">
        <f t="shared" si="98"/>
        <v>1.2044116969490475</v>
      </c>
      <c r="L221" s="69">
        <f t="shared" si="98"/>
        <v>1.2162815084189369</v>
      </c>
      <c r="M221" s="69">
        <f t="shared" si="98"/>
        <v>1.2202280240006589</v>
      </c>
      <c r="N221" s="69">
        <f t="shared" si="98"/>
        <v>1.2162815084189369</v>
      </c>
      <c r="O221" s="69">
        <f t="shared" si="98"/>
        <v>1.2044116969490473</v>
      </c>
      <c r="P221" s="69">
        <f t="shared" si="98"/>
        <v>1.1845345517987396</v>
      </c>
      <c r="Q221" s="69">
        <f t="shared" si="98"/>
        <v>1.0803515444194136</v>
      </c>
      <c r="R221" s="69">
        <f t="shared" si="98"/>
        <v>0.87168217753531663</v>
      </c>
      <c r="S221" s="69">
        <f t="shared" si="98"/>
        <v>0.56522895263496997</v>
      </c>
      <c r="T221" s="69">
        <f t="shared" si="98"/>
        <v>0.26483339175555876</v>
      </c>
      <c r="U221" s="69">
        <f t="shared" si="98"/>
        <v>8.5024736953895327E-2</v>
      </c>
      <c r="V221" s="69">
        <f t="shared" si="98"/>
        <v>1.3772005019117066E-2</v>
      </c>
      <c r="W221" s="69">
        <f t="shared" si="98"/>
        <v>0</v>
      </c>
    </row>
    <row r="222" spans="1:23" x14ac:dyDescent="0.2">
      <c r="A222" s="80">
        <f>$A$105</f>
        <v>20</v>
      </c>
      <c r="B222" s="85">
        <f>$B$105</f>
        <v>1.4583333333333333</v>
      </c>
      <c r="C222" s="69">
        <f t="shared" ref="C222:W222" si="99">C220+h/6*(C134^2+4*C135^2+C136^2)</f>
        <v>0.11051531893211133</v>
      </c>
      <c r="D222" s="69">
        <f t="shared" si="99"/>
        <v>0.32243947285332508</v>
      </c>
      <c r="E222" s="69">
        <f t="shared" si="99"/>
        <v>0.5858131732382893</v>
      </c>
      <c r="F222" s="69">
        <f t="shared" si="99"/>
        <v>0.83555364568273527</v>
      </c>
      <c r="G222" s="69">
        <f t="shared" si="99"/>
        <v>1.0371310775386058</v>
      </c>
      <c r="H222" s="69">
        <f t="shared" si="99"/>
        <v>1.1754611557432812</v>
      </c>
      <c r="I222" s="69">
        <f t="shared" si="99"/>
        <v>1.261872733395407</v>
      </c>
      <c r="J222" s="69">
        <f t="shared" si="99"/>
        <v>1.289397238858297</v>
      </c>
      <c r="K222" s="69">
        <f t="shared" si="99"/>
        <v>1.3090559278158129</v>
      </c>
      <c r="L222" s="69">
        <f t="shared" si="99"/>
        <v>1.3208614870983304</v>
      </c>
      <c r="M222" s="69">
        <f t="shared" si="99"/>
        <v>1.3248010282649492</v>
      </c>
      <c r="N222" s="69">
        <f t="shared" si="99"/>
        <v>1.3208614870983304</v>
      </c>
      <c r="O222" s="69">
        <f t="shared" si="99"/>
        <v>1.3090559278158129</v>
      </c>
      <c r="P222" s="69">
        <f t="shared" si="99"/>
        <v>1.2893972388582966</v>
      </c>
      <c r="Q222" s="69">
        <f t="shared" si="99"/>
        <v>1.179334075896878</v>
      </c>
      <c r="R222" s="69">
        <f t="shared" si="99"/>
        <v>0.9575623577095651</v>
      </c>
      <c r="S222" s="69">
        <f t="shared" si="99"/>
        <v>0.62675370128763819</v>
      </c>
      <c r="T222" s="69">
        <f t="shared" si="99"/>
        <v>0.29754808251223097</v>
      </c>
      <c r="U222" s="69">
        <f t="shared" si="99"/>
        <v>9.4105563965794115E-2</v>
      </c>
      <c r="V222" s="69">
        <f t="shared" si="99"/>
        <v>1.4535770621624377E-2</v>
      </c>
      <c r="W222" s="69">
        <f t="shared" si="99"/>
        <v>0</v>
      </c>
    </row>
    <row r="223" spans="1:23" x14ac:dyDescent="0.2">
      <c r="A223" s="80">
        <f>$A$106</f>
        <v>21</v>
      </c>
      <c r="B223" s="85">
        <f>$B$106</f>
        <v>1.53125</v>
      </c>
      <c r="C223" s="69">
        <f t="shared" ref="C223:W223" si="100">C221+h/6*(C135^2+4*C136^2+C137^2)</f>
        <v>0.14931284063087019</v>
      </c>
      <c r="D223" s="69">
        <f t="shared" si="100"/>
        <v>0.38989537820004205</v>
      </c>
      <c r="E223" s="69">
        <f t="shared" si="100"/>
        <v>0.67378518582837266</v>
      </c>
      <c r="F223" s="69">
        <f t="shared" si="100"/>
        <v>0.93374190252221378</v>
      </c>
      <c r="G223" s="69">
        <f t="shared" si="100"/>
        <v>1.1406727372184793</v>
      </c>
      <c r="H223" s="69">
        <f t="shared" si="100"/>
        <v>1.2804535074344408</v>
      </c>
      <c r="I223" s="69">
        <f t="shared" si="100"/>
        <v>1.3677144401166887</v>
      </c>
      <c r="J223" s="69">
        <f t="shared" si="100"/>
        <v>1.3957038708835707</v>
      </c>
      <c r="K223" s="69">
        <f t="shared" si="100"/>
        <v>1.4156222942831722</v>
      </c>
      <c r="L223" s="69">
        <f t="shared" si="100"/>
        <v>1.4275136482108388</v>
      </c>
      <c r="M223" s="69">
        <f t="shared" si="100"/>
        <v>1.4314668553084988</v>
      </c>
      <c r="N223" s="69">
        <f t="shared" si="100"/>
        <v>1.4275136482108388</v>
      </c>
      <c r="O223" s="69">
        <f t="shared" si="100"/>
        <v>1.415622294283172</v>
      </c>
      <c r="P223" s="69">
        <f t="shared" si="100"/>
        <v>1.3957038708835703</v>
      </c>
      <c r="Q223" s="69">
        <f t="shared" si="100"/>
        <v>1.2792762991540965</v>
      </c>
      <c r="R223" s="69">
        <f t="shared" si="100"/>
        <v>1.0440154897486937</v>
      </c>
      <c r="S223" s="69">
        <f t="shared" si="100"/>
        <v>0.68891095589658202</v>
      </c>
      <c r="T223" s="69">
        <f t="shared" si="100"/>
        <v>0.33070611323377619</v>
      </c>
      <c r="U223" s="69">
        <f t="shared" si="100"/>
        <v>0.10321299431217228</v>
      </c>
      <c r="V223" s="69">
        <f t="shared" si="100"/>
        <v>1.5172580443297961E-2</v>
      </c>
      <c r="W223" s="69">
        <f t="shared" si="100"/>
        <v>0</v>
      </c>
    </row>
    <row r="224" spans="1:23" x14ac:dyDescent="0.2">
      <c r="A224" s="80">
        <f>$A$107</f>
        <v>22</v>
      </c>
      <c r="B224" s="85">
        <f>$B$107</f>
        <v>1.6041666666666667</v>
      </c>
      <c r="C224" s="69">
        <f t="shared" ref="C224:W224" si="101">C222+h/6*(C136^2+4*C137^2+C138^2)</f>
        <v>0.1920768264827234</v>
      </c>
      <c r="D224" s="69">
        <f t="shared" si="101"/>
        <v>0.4611432616086234</v>
      </c>
      <c r="E224" s="69">
        <f t="shared" si="101"/>
        <v>0.76495540807465034</v>
      </c>
      <c r="F224" s="69">
        <f t="shared" si="101"/>
        <v>1.0336955891175306</v>
      </c>
      <c r="G224" s="69">
        <f t="shared" si="101"/>
        <v>1.2455074970308551</v>
      </c>
      <c r="H224" s="69">
        <f t="shared" si="101"/>
        <v>1.3857363635925368</v>
      </c>
      <c r="I224" s="69">
        <f t="shared" si="101"/>
        <v>1.4732417689875428</v>
      </c>
      <c r="J224" s="69">
        <f t="shared" si="101"/>
        <v>1.5007758437275611</v>
      </c>
      <c r="K224" s="69">
        <f t="shared" si="101"/>
        <v>1.5204395756182549</v>
      </c>
      <c r="L224" s="69">
        <f t="shared" si="101"/>
        <v>1.5322476066514648</v>
      </c>
      <c r="M224" s="69">
        <f t="shared" si="101"/>
        <v>1.5361878917374139</v>
      </c>
      <c r="N224" s="69">
        <f t="shared" si="101"/>
        <v>1.5322476066514648</v>
      </c>
      <c r="O224" s="69">
        <f t="shared" si="101"/>
        <v>1.5204395756182549</v>
      </c>
      <c r="P224" s="69">
        <f t="shared" si="101"/>
        <v>1.5007758437275607</v>
      </c>
      <c r="Q224" s="69">
        <f t="shared" si="101"/>
        <v>1.3793965176757306</v>
      </c>
      <c r="R224" s="69">
        <f t="shared" si="101"/>
        <v>1.1310147193908864</v>
      </c>
      <c r="S224" s="69">
        <f t="shared" si="101"/>
        <v>0.75142379977321638</v>
      </c>
      <c r="T224" s="69">
        <f t="shared" si="101"/>
        <v>0.36411341459450597</v>
      </c>
      <c r="U224" s="69">
        <f t="shared" si="101"/>
        <v>0.11231220660112376</v>
      </c>
      <c r="V224" s="69">
        <f t="shared" si="101"/>
        <v>1.5754284662638299E-2</v>
      </c>
      <c r="W224" s="69">
        <f t="shared" si="101"/>
        <v>0</v>
      </c>
    </row>
    <row r="225" spans="1:23" x14ac:dyDescent="0.2">
      <c r="A225" s="80">
        <f>$A$138+1</f>
        <v>23</v>
      </c>
      <c r="B225" s="85">
        <f>$B$108</f>
        <v>1.6770833333333333</v>
      </c>
      <c r="C225" s="69">
        <f t="shared" ref="C225:W225" si="102">C223+h/6*(C137^2+4*C138^2+C139^2)</f>
        <v>0.23843645016738166</v>
      </c>
      <c r="D225" s="69">
        <f t="shared" si="102"/>
        <v>0.53527399697497691</v>
      </c>
      <c r="E225" s="69">
        <f t="shared" si="102"/>
        <v>0.8585424601333671</v>
      </c>
      <c r="F225" s="69">
        <f t="shared" si="102"/>
        <v>1.1349724554789875</v>
      </c>
      <c r="G225" s="69">
        <f t="shared" si="102"/>
        <v>1.3508737317568658</v>
      </c>
      <c r="H225" s="69">
        <f t="shared" si="102"/>
        <v>1.4911883221009694</v>
      </c>
      <c r="I225" s="69">
        <f t="shared" si="102"/>
        <v>1.5791167124170338</v>
      </c>
      <c r="J225" s="69">
        <f t="shared" si="102"/>
        <v>1.607105424759361</v>
      </c>
      <c r="K225" s="69">
        <f t="shared" si="102"/>
        <v>1.6270232205437134</v>
      </c>
      <c r="L225" s="69">
        <f t="shared" si="102"/>
        <v>1.6389141754532712</v>
      </c>
      <c r="M225" s="69">
        <f t="shared" si="102"/>
        <v>1.6428672473314785</v>
      </c>
      <c r="N225" s="69">
        <f t="shared" si="102"/>
        <v>1.6389141754532712</v>
      </c>
      <c r="O225" s="69">
        <f t="shared" si="102"/>
        <v>1.6270232205437132</v>
      </c>
      <c r="P225" s="69">
        <f t="shared" si="102"/>
        <v>1.6071054247593606</v>
      </c>
      <c r="Q225" s="69">
        <f t="shared" si="102"/>
        <v>1.4801812199128099</v>
      </c>
      <c r="R225" s="69">
        <f t="shared" si="102"/>
        <v>1.2179987480640178</v>
      </c>
      <c r="S225" s="69">
        <f t="shared" si="102"/>
        <v>0.81397350457747519</v>
      </c>
      <c r="T225" s="69">
        <f t="shared" si="102"/>
        <v>0.3975520020477723</v>
      </c>
      <c r="U225" s="69">
        <f t="shared" si="102"/>
        <v>0.12140259302826437</v>
      </c>
      <c r="V225" s="69">
        <f t="shared" si="102"/>
        <v>1.6242341458996348E-2</v>
      </c>
      <c r="W225" s="69">
        <f t="shared" si="102"/>
        <v>0</v>
      </c>
    </row>
    <row r="226" spans="1:23" ht="13.5" thickBot="1" x14ac:dyDescent="0.25">
      <c r="A226" s="82">
        <f>$A$139+1</f>
        <v>24</v>
      </c>
      <c r="B226" s="89">
        <f>$B$109</f>
        <v>1.75</v>
      </c>
      <c r="C226" s="69">
        <f t="shared" ref="C226:W226" si="103">C224+h/6*(C138^2+4*C139^2+C140^2)</f>
        <v>0.28689902853174198</v>
      </c>
      <c r="D226" s="69">
        <f t="shared" si="103"/>
        <v>0.61144203503202732</v>
      </c>
      <c r="E226" s="69">
        <f t="shared" si="103"/>
        <v>0.95384528970342597</v>
      </c>
      <c r="F226" s="69">
        <f t="shared" si="103"/>
        <v>1.2373736765648706</v>
      </c>
      <c r="G226" s="69">
        <f t="shared" si="103"/>
        <v>1.4565689732626874</v>
      </c>
      <c r="H226" s="69">
        <f t="shared" si="103"/>
        <v>1.5968233520892687</v>
      </c>
      <c r="I226" s="69">
        <f t="shared" si="103"/>
        <v>1.6846441480237324</v>
      </c>
      <c r="J226" s="69">
        <f t="shared" si="103"/>
        <v>1.7121772743530717</v>
      </c>
      <c r="K226" s="69">
        <f t="shared" si="103"/>
        <v>1.731840364793312</v>
      </c>
      <c r="L226" s="69">
        <f t="shared" si="103"/>
        <v>1.7436480255121631</v>
      </c>
      <c r="M226" s="69">
        <f t="shared" si="103"/>
        <v>1.7475881895901655</v>
      </c>
      <c r="N226" s="69">
        <f t="shared" si="103"/>
        <v>1.7436480255121631</v>
      </c>
      <c r="O226" s="69">
        <f t="shared" si="103"/>
        <v>1.731840364793312</v>
      </c>
      <c r="P226" s="69">
        <f t="shared" si="103"/>
        <v>1.7121772743530712</v>
      </c>
      <c r="Q226" s="69">
        <f t="shared" si="103"/>
        <v>1.5809512182574685</v>
      </c>
      <c r="R226" s="69">
        <f t="shared" si="103"/>
        <v>1.3050283473507833</v>
      </c>
      <c r="S226" s="69">
        <f t="shared" si="103"/>
        <v>0.87652803472467589</v>
      </c>
      <c r="T226" s="69">
        <f t="shared" si="103"/>
        <v>0.43100315051820826</v>
      </c>
      <c r="U226" s="69">
        <f t="shared" si="103"/>
        <v>0.13049545048916272</v>
      </c>
      <c r="V226" s="69">
        <f t="shared" si="103"/>
        <v>1.6651062845490523E-2</v>
      </c>
      <c r="W226" s="69">
        <f t="shared" si="103"/>
        <v>0</v>
      </c>
    </row>
    <row r="227" spans="1:23" x14ac:dyDescent="0.2">
      <c r="A227" s="91"/>
      <c r="B227" s="19"/>
      <c r="C227" s="19"/>
      <c r="D227" s="19"/>
      <c r="E227" s="19"/>
      <c r="F227" s="19"/>
      <c r="G227" s="19"/>
      <c r="H227" s="19"/>
      <c r="I227" s="19"/>
      <c r="J227" s="19"/>
      <c r="K227" s="19"/>
      <c r="L227" s="19"/>
      <c r="M227" s="19"/>
      <c r="N227" s="19"/>
      <c r="O227" s="19"/>
      <c r="P227" s="19"/>
      <c r="Q227" s="19"/>
      <c r="R227" s="19"/>
      <c r="S227" s="19"/>
      <c r="T227" s="19"/>
      <c r="U227" s="19"/>
      <c r="V227" s="19"/>
    </row>
    <row r="228" spans="1:23" ht="13.5" thickBot="1" x14ac:dyDescent="0.25">
      <c r="A228" s="91" t="s">
        <v>7</v>
      </c>
      <c r="B228" s="19"/>
      <c r="C228" s="19"/>
      <c r="D228" s="19"/>
      <c r="E228" s="19"/>
      <c r="F228" s="19"/>
      <c r="G228" s="19"/>
      <c r="H228" s="19"/>
      <c r="I228" s="19"/>
      <c r="J228" s="19"/>
      <c r="K228" s="19"/>
      <c r="L228" s="19"/>
      <c r="M228" s="19"/>
      <c r="N228" s="19"/>
      <c r="O228" s="19"/>
      <c r="P228" s="19"/>
      <c r="Q228" s="19"/>
      <c r="R228" s="19"/>
      <c r="S228" s="19"/>
      <c r="T228" s="19"/>
      <c r="U228" s="19"/>
      <c r="V228" s="19"/>
    </row>
    <row r="229" spans="1:23" x14ac:dyDescent="0.2">
      <c r="A229" s="86"/>
      <c r="B229" s="87"/>
      <c r="C229" s="72">
        <v>21</v>
      </c>
      <c r="D229" s="72">
        <v>20</v>
      </c>
      <c r="E229" s="72">
        <v>19</v>
      </c>
      <c r="F229" s="72">
        <v>18</v>
      </c>
      <c r="G229" s="72">
        <v>17</v>
      </c>
      <c r="H229" s="72">
        <v>16</v>
      </c>
      <c r="I229" s="72">
        <v>15</v>
      </c>
      <c r="J229" s="72">
        <v>14</v>
      </c>
      <c r="K229" s="72">
        <v>13</v>
      </c>
      <c r="L229" s="72">
        <v>12</v>
      </c>
      <c r="M229" s="72">
        <v>11</v>
      </c>
      <c r="N229" s="72">
        <v>10</v>
      </c>
      <c r="O229" s="72">
        <v>9</v>
      </c>
      <c r="P229" s="72">
        <v>8</v>
      </c>
      <c r="Q229" s="72">
        <v>7</v>
      </c>
      <c r="R229" s="72">
        <v>6</v>
      </c>
      <c r="S229" s="72">
        <v>5</v>
      </c>
      <c r="T229" s="72">
        <v>4</v>
      </c>
      <c r="U229" s="72">
        <v>3</v>
      </c>
      <c r="V229" s="72">
        <v>2</v>
      </c>
      <c r="W229" s="73">
        <v>1</v>
      </c>
    </row>
    <row r="230" spans="1:23" x14ac:dyDescent="0.2">
      <c r="A230" s="88" t="s">
        <v>53</v>
      </c>
      <c r="B230" s="56" t="s">
        <v>54</v>
      </c>
      <c r="C230" s="68">
        <v>0</v>
      </c>
      <c r="D230" s="68">
        <f t="shared" ref="D230:V230" si="104">C230+$W$115/20</f>
        <v>0.86</v>
      </c>
      <c r="E230" s="68">
        <f t="shared" si="104"/>
        <v>1.72</v>
      </c>
      <c r="F230" s="68">
        <f t="shared" si="104"/>
        <v>2.58</v>
      </c>
      <c r="G230" s="68">
        <f t="shared" si="104"/>
        <v>3.44</v>
      </c>
      <c r="H230" s="68">
        <f t="shared" si="104"/>
        <v>4.3</v>
      </c>
      <c r="I230" s="68">
        <f t="shared" si="104"/>
        <v>5.16</v>
      </c>
      <c r="J230" s="68">
        <f t="shared" si="104"/>
        <v>6.0200000000000005</v>
      </c>
      <c r="K230" s="68">
        <f t="shared" si="104"/>
        <v>6.8800000000000008</v>
      </c>
      <c r="L230" s="68">
        <f t="shared" si="104"/>
        <v>7.7400000000000011</v>
      </c>
      <c r="M230" s="68">
        <f t="shared" si="104"/>
        <v>8.6000000000000014</v>
      </c>
      <c r="N230" s="68">
        <f t="shared" si="104"/>
        <v>9.4600000000000009</v>
      </c>
      <c r="O230" s="68">
        <f t="shared" si="104"/>
        <v>10.32</v>
      </c>
      <c r="P230" s="68">
        <f t="shared" si="104"/>
        <v>11.18</v>
      </c>
      <c r="Q230" s="68">
        <f t="shared" si="104"/>
        <v>12.04</v>
      </c>
      <c r="R230" s="68">
        <f t="shared" si="104"/>
        <v>12.899999999999999</v>
      </c>
      <c r="S230" s="68">
        <f t="shared" si="104"/>
        <v>13.759999999999998</v>
      </c>
      <c r="T230" s="68">
        <f t="shared" si="104"/>
        <v>14.619999999999997</v>
      </c>
      <c r="U230" s="68">
        <f t="shared" si="104"/>
        <v>15.479999999999997</v>
      </c>
      <c r="V230" s="68">
        <f t="shared" si="104"/>
        <v>16.339999999999996</v>
      </c>
      <c r="W230" s="58">
        <f>LWL</f>
        <v>17.2</v>
      </c>
    </row>
    <row r="231" spans="1:23" x14ac:dyDescent="0.2">
      <c r="A231" s="80">
        <f>$A$85</f>
        <v>0</v>
      </c>
      <c r="B231" s="85">
        <f>$B$85</f>
        <v>0</v>
      </c>
      <c r="C231" s="69">
        <f>C116</f>
        <v>0</v>
      </c>
      <c r="D231" s="69">
        <f t="shared" ref="D231:W231" si="105">D116</f>
        <v>-2.3293446324389832E-19</v>
      </c>
      <c r="E231" s="69">
        <f t="shared" si="105"/>
        <v>1.3077022497903044E-18</v>
      </c>
      <c r="F231" s="69">
        <f t="shared" si="105"/>
        <v>0</v>
      </c>
      <c r="G231" s="69">
        <f t="shared" si="105"/>
        <v>0</v>
      </c>
      <c r="H231" s="69">
        <f t="shared" si="105"/>
        <v>6.0540540540540533E-2</v>
      </c>
      <c r="I231" s="69">
        <f t="shared" si="105"/>
        <v>6.0540540540540526E-2</v>
      </c>
      <c r="J231" s="69">
        <f t="shared" si="105"/>
        <v>6.0540540540540533E-2</v>
      </c>
      <c r="K231" s="69">
        <f t="shared" si="105"/>
        <v>6.0540540540540533E-2</v>
      </c>
      <c r="L231" s="69">
        <f t="shared" si="105"/>
        <v>6.0540540540540533E-2</v>
      </c>
      <c r="M231" s="69">
        <f t="shared" si="105"/>
        <v>6.0540540540540533E-2</v>
      </c>
      <c r="N231" s="69">
        <f t="shared" si="105"/>
        <v>6.0540540540540533E-2</v>
      </c>
      <c r="O231" s="69">
        <f t="shared" si="105"/>
        <v>6.0540540540540526E-2</v>
      </c>
      <c r="P231" s="69">
        <f t="shared" si="105"/>
        <v>6.0540540540540554E-2</v>
      </c>
      <c r="Q231" s="69">
        <f t="shared" si="105"/>
        <v>6.0540540540540533E-2</v>
      </c>
      <c r="R231" s="69">
        <f t="shared" si="105"/>
        <v>0</v>
      </c>
      <c r="S231" s="69">
        <f t="shared" si="105"/>
        <v>0</v>
      </c>
      <c r="T231" s="69">
        <f t="shared" si="105"/>
        <v>0</v>
      </c>
      <c r="U231" s="69">
        <f t="shared" si="105"/>
        <v>-1.4957604455816942E-18</v>
      </c>
      <c r="V231" s="69">
        <f t="shared" si="105"/>
        <v>8.8092187296520665E-19</v>
      </c>
      <c r="W231" s="69">
        <f t="shared" si="105"/>
        <v>0</v>
      </c>
    </row>
    <row r="232" spans="1:23" x14ac:dyDescent="0.2">
      <c r="A232" s="80">
        <f>$A$86</f>
        <v>1</v>
      </c>
      <c r="B232" s="85">
        <f>$B$86</f>
        <v>7.2916666666666671E-2</v>
      </c>
      <c r="C232" s="69">
        <f t="shared" ref="C232:C255" si="106">C231+IF(AND(C116=0,C117=0),0,SQRT((C117-C116)^2+($B117-$B116)^2))</f>
        <v>7.2916700555015812E-2</v>
      </c>
      <c r="D232" s="69">
        <f t="shared" ref="D232:D255" si="107">D231+IF(AND(D116=0,D117=0),0,SQRT((D117-D116)^2+($B117-$B116)^2))</f>
        <v>7.291732825975622E-2</v>
      </c>
      <c r="E232" s="69">
        <f t="shared" ref="E232:E255" si="108">E231+IF(AND(E116=0,E117=0),0,SQRT((E117-E116)^2+($B117-$B116)^2))</f>
        <v>7.2917750515244698E-2</v>
      </c>
      <c r="F232" s="69">
        <f t="shared" ref="F232:F255" si="109">F231+IF(AND(F116=0,F117=0),0,SQRT((F117-F116)^2+($B117-$B116)^2))</f>
        <v>7.3119764201775655E-2</v>
      </c>
      <c r="G232" s="69">
        <f t="shared" ref="G232:G255" si="110">G231+IF(AND(G116=0,G117=0),0,SQRT((G117-G116)^2+($B117-$B116)^2))</f>
        <v>8.3986345864290476E-2</v>
      </c>
      <c r="H232" s="69">
        <f t="shared" ref="H232:H255" si="111">H231+IF(AND(H116=0,H117=0),0,SQRT((H117-H116)^2+($B117-$B116)^2))</f>
        <v>0.13358094802903062</v>
      </c>
      <c r="I232" s="69">
        <f t="shared" ref="I232:I255" si="112">I231+IF(AND(I116=0,I117=0),0,SQRT((I117-I116)^2+($B117-$B116)^2))</f>
        <v>0.13385195619063553</v>
      </c>
      <c r="J232" s="69">
        <f t="shared" ref="J232:J255" si="113">J231+IF(AND(J116=0,J117=0),0,SQRT((J117-J116)^2+($B117-$B116)^2))</f>
        <v>0.13384584346851691</v>
      </c>
      <c r="K232" s="69">
        <f t="shared" ref="K232:K255" si="114">K231+IF(AND(K116=0,K117=0),0,SQRT((K117-K116)^2+($B117-$B116)^2))</f>
        <v>0.13384577580066764</v>
      </c>
      <c r="L232" s="69">
        <f t="shared" ref="L232:L255" si="115">L231+IF(AND(L116=0,L117=0),0,SQRT((L117-L116)^2+($B117-$B116)^2))</f>
        <v>0.13384865074746566</v>
      </c>
      <c r="M232" s="69">
        <f t="shared" ref="M232:M255" si="116">M231+IF(AND(M116=0,M117=0),0,SQRT((M117-M116)^2+($B117-$B116)^2))</f>
        <v>0.13385027628208571</v>
      </c>
      <c r="N232" s="69">
        <f t="shared" ref="N232:N255" si="117">N231+IF(AND(N116=0,N117=0),0,SQRT((N117-N116)^2+($B117-$B116)^2))</f>
        <v>0.13384865074746566</v>
      </c>
      <c r="O232" s="69">
        <f t="shared" ref="O232:O255" si="118">O231+IF(AND(O116=0,O117=0),0,SQRT((O117-O116)^2+($B117-$B116)^2))</f>
        <v>0.13384577580066764</v>
      </c>
      <c r="P232" s="69">
        <f t="shared" ref="P232:P255" si="119">P231+IF(AND(P116=0,P117=0),0,SQRT((P117-P116)^2+($B117-$B116)^2))</f>
        <v>0.13384584346851694</v>
      </c>
      <c r="Q232" s="69">
        <f t="shared" ref="Q232:Q255" si="120">Q231+IF(AND(Q116=0,Q117=0),0,SQRT((Q117-Q116)^2+($B117-$B116)^2))</f>
        <v>0.13378824446626772</v>
      </c>
      <c r="R232" s="69">
        <f t="shared" ref="R232:R255" si="121">R231+IF(AND(R116=0,R117=0),0,SQRT((R117-R116)^2+($B117-$B116)^2))</f>
        <v>8.1952402316636627E-2</v>
      </c>
      <c r="S232" s="69">
        <f t="shared" ref="S232:S255" si="122">S231+IF(AND(S116=0,S117=0),0,SQRT((S117-S116)^2+($B117-$B116)^2))</f>
        <v>7.3185166947459468E-2</v>
      </c>
      <c r="T232" s="69">
        <f t="shared" ref="T232:T255" si="123">T231+IF(AND(T116=0,T117=0),0,SQRT((T117-T116)^2+($B117-$B116)^2))</f>
        <v>7.2916836628650478E-2</v>
      </c>
      <c r="U232" s="69">
        <f t="shared" ref="U232:U255" si="124">U231+IF(AND(U116=0,U117=0),0,SQRT((U117-U116)^2+($B117-$B116)^2))</f>
        <v>7.2921558985206816E-2</v>
      </c>
      <c r="V232" s="69">
        <f t="shared" ref="V232:V255" si="125">V231+IF(AND(V116=0,V117=0),0,SQRT((V117-V116)^2+($B117-$B116)^2))</f>
        <v>7.2917577489690175E-2</v>
      </c>
      <c r="W232" s="69">
        <f t="shared" ref="W232:W255" si="126">W231+IF(AND(W116=0,W117=0),0,SQRT((W117-W116)^2+($B117-$B116)^2))</f>
        <v>0</v>
      </c>
    </row>
    <row r="233" spans="1:23" x14ac:dyDescent="0.2">
      <c r="A233" s="80">
        <f>$A$87</f>
        <v>2</v>
      </c>
      <c r="B233" s="85">
        <f>$B$87</f>
        <v>0.14583333333333334</v>
      </c>
      <c r="C233" s="69">
        <f t="shared" si="106"/>
        <v>0.14583337143740505</v>
      </c>
      <c r="D233" s="69">
        <f t="shared" si="107"/>
        <v>0.14583443139222921</v>
      </c>
      <c r="E233" s="69">
        <f t="shared" si="108"/>
        <v>0.14583677938025491</v>
      </c>
      <c r="F233" s="69">
        <f t="shared" si="109"/>
        <v>0.14727170129066192</v>
      </c>
      <c r="G233" s="69">
        <f t="shared" si="110"/>
        <v>0.16221057489790669</v>
      </c>
      <c r="H233" s="69">
        <f t="shared" si="111"/>
        <v>0.20943383944884614</v>
      </c>
      <c r="I233" s="69">
        <f t="shared" si="112"/>
        <v>0.2080433877087986</v>
      </c>
      <c r="J233" s="69">
        <f t="shared" si="113"/>
        <v>0.21138012804101969</v>
      </c>
      <c r="K233" s="69">
        <f t="shared" si="114"/>
        <v>0.21673412957064406</v>
      </c>
      <c r="L233" s="69">
        <f t="shared" si="115"/>
        <v>0.2218790853026969</v>
      </c>
      <c r="M233" s="69">
        <f t="shared" si="116"/>
        <v>0.22400731335048446</v>
      </c>
      <c r="N233" s="69">
        <f t="shared" si="117"/>
        <v>0.22187908530269684</v>
      </c>
      <c r="O233" s="69">
        <f t="shared" si="118"/>
        <v>0.21673412957064403</v>
      </c>
      <c r="P233" s="69">
        <f t="shared" si="119"/>
        <v>0.21138012804101972</v>
      </c>
      <c r="Q233" s="69">
        <f t="shared" si="120"/>
        <v>0.2088957907169024</v>
      </c>
      <c r="R233" s="69">
        <f t="shared" si="121"/>
        <v>0.15812632238489793</v>
      </c>
      <c r="S233" s="69">
        <f t="shared" si="122"/>
        <v>0.15029502235464526</v>
      </c>
      <c r="T233" s="69">
        <f t="shared" si="123"/>
        <v>0.14583375525265674</v>
      </c>
      <c r="U233" s="69">
        <f t="shared" si="124"/>
        <v>0.14584888790772432</v>
      </c>
      <c r="V233" s="69">
        <f t="shared" si="125"/>
        <v>0.14583484504433894</v>
      </c>
      <c r="W233" s="69">
        <f t="shared" si="126"/>
        <v>0</v>
      </c>
    </row>
    <row r="234" spans="1:23" x14ac:dyDescent="0.2">
      <c r="A234" s="80">
        <f>$A$88</f>
        <v>3</v>
      </c>
      <c r="B234" s="85">
        <f>$B$88</f>
        <v>0.21875</v>
      </c>
      <c r="C234" s="69">
        <f t="shared" si="106"/>
        <v>0.21875027677960748</v>
      </c>
      <c r="D234" s="69">
        <f t="shared" si="107"/>
        <v>0.21875722982794926</v>
      </c>
      <c r="E234" s="69">
        <f t="shared" si="108"/>
        <v>0.21876232110901134</v>
      </c>
      <c r="F234" s="69">
        <f t="shared" si="109"/>
        <v>0.23154658442437254</v>
      </c>
      <c r="G234" s="69">
        <f t="shared" si="110"/>
        <v>0.25394863471731532</v>
      </c>
      <c r="H234" s="69">
        <f t="shared" si="111"/>
        <v>0.34144759244444994</v>
      </c>
      <c r="I234" s="69">
        <f t="shared" si="112"/>
        <v>0.41747250420518334</v>
      </c>
      <c r="J234" s="69">
        <f t="shared" si="113"/>
        <v>0.47382130702266489</v>
      </c>
      <c r="K234" s="69">
        <f t="shared" si="114"/>
        <v>0.52056284695937682</v>
      </c>
      <c r="L234" s="69">
        <f t="shared" si="115"/>
        <v>0.55124719559320035</v>
      </c>
      <c r="M234" s="69">
        <f t="shared" si="116"/>
        <v>0.56191515944319415</v>
      </c>
      <c r="N234" s="69">
        <f t="shared" si="117"/>
        <v>0.55124719559320023</v>
      </c>
      <c r="O234" s="69">
        <f t="shared" si="118"/>
        <v>0.52056284695937638</v>
      </c>
      <c r="P234" s="69">
        <f t="shared" si="119"/>
        <v>0.47382130702266456</v>
      </c>
      <c r="Q234" s="69">
        <f t="shared" si="120"/>
        <v>0.40693395478231542</v>
      </c>
      <c r="R234" s="69">
        <f t="shared" si="121"/>
        <v>0.2798290407492241</v>
      </c>
      <c r="S234" s="69">
        <f t="shared" si="122"/>
        <v>0.25147783384678762</v>
      </c>
      <c r="T234" s="69">
        <f t="shared" si="123"/>
        <v>0.21939162749178354</v>
      </c>
      <c r="U234" s="69">
        <f t="shared" si="124"/>
        <v>0.21880560766402038</v>
      </c>
      <c r="V234" s="69">
        <f t="shared" si="125"/>
        <v>0.21875995327064218</v>
      </c>
      <c r="W234" s="69">
        <f t="shared" si="126"/>
        <v>0</v>
      </c>
    </row>
    <row r="235" spans="1:23" x14ac:dyDescent="0.2">
      <c r="A235" s="80">
        <f>$A$89</f>
        <v>4</v>
      </c>
      <c r="B235" s="85">
        <f>$B$89</f>
        <v>0.29166666666666669</v>
      </c>
      <c r="C235" s="69">
        <f t="shared" si="106"/>
        <v>0.29166699525560325</v>
      </c>
      <c r="D235" s="69">
        <f t="shared" si="107"/>
        <v>0.29167503074798101</v>
      </c>
      <c r="E235" s="69">
        <f t="shared" si="108"/>
        <v>0.29171843903972922</v>
      </c>
      <c r="F235" s="69">
        <f t="shared" si="109"/>
        <v>0.33149052653469357</v>
      </c>
      <c r="G235" s="69">
        <f t="shared" si="110"/>
        <v>0.42413440996760965</v>
      </c>
      <c r="H235" s="69">
        <f t="shared" si="111"/>
        <v>0.59757508745080057</v>
      </c>
      <c r="I235" s="69">
        <f t="shared" si="112"/>
        <v>0.80842194428199587</v>
      </c>
      <c r="J235" s="69">
        <f t="shared" si="113"/>
        <v>0.87742856758455545</v>
      </c>
      <c r="K235" s="69">
        <f t="shared" si="114"/>
        <v>0.92277819376108794</v>
      </c>
      <c r="L235" s="69">
        <f t="shared" si="115"/>
        <v>0.94822807370599604</v>
      </c>
      <c r="M235" s="69">
        <f t="shared" si="116"/>
        <v>0.9564340486790166</v>
      </c>
      <c r="N235" s="69">
        <f t="shared" si="117"/>
        <v>0.94822807370599582</v>
      </c>
      <c r="O235" s="69">
        <f t="shared" si="118"/>
        <v>0.92277819376108772</v>
      </c>
      <c r="P235" s="69">
        <f t="shared" si="119"/>
        <v>0.87742856758455501</v>
      </c>
      <c r="Q235" s="69">
        <f t="shared" si="120"/>
        <v>0.76730666963143368</v>
      </c>
      <c r="R235" s="69">
        <f t="shared" si="121"/>
        <v>0.53538115622331994</v>
      </c>
      <c r="S235" s="69">
        <f t="shared" si="122"/>
        <v>0.38632154951350051</v>
      </c>
      <c r="T235" s="69">
        <f t="shared" si="123"/>
        <v>0.30465327423962307</v>
      </c>
      <c r="U235" s="69">
        <f t="shared" si="124"/>
        <v>0.29189579228490031</v>
      </c>
      <c r="V235" s="69">
        <f t="shared" si="125"/>
        <v>0.29167818147541191</v>
      </c>
      <c r="W235" s="69">
        <f t="shared" si="126"/>
        <v>0</v>
      </c>
    </row>
    <row r="236" spans="1:23" x14ac:dyDescent="0.2">
      <c r="A236" s="80">
        <f>$A$90</f>
        <v>5</v>
      </c>
      <c r="B236" s="85">
        <f>$B$90</f>
        <v>0.36458333333333331</v>
      </c>
      <c r="C236" s="69">
        <f t="shared" si="106"/>
        <v>0.3645851776554519</v>
      </c>
      <c r="D236" s="69">
        <f t="shared" si="107"/>
        <v>0.3646706282454919</v>
      </c>
      <c r="E236" s="69">
        <f t="shared" si="108"/>
        <v>0.36629599058839923</v>
      </c>
      <c r="F236" s="69">
        <f t="shared" si="109"/>
        <v>0.4581165212026036</v>
      </c>
      <c r="G236" s="69">
        <f t="shared" si="110"/>
        <v>0.65157699164243077</v>
      </c>
      <c r="H236" s="69">
        <f t="shared" si="111"/>
        <v>0.88672506550307806</v>
      </c>
      <c r="I236" s="69">
        <f t="shared" si="112"/>
        <v>1.0951458069630264</v>
      </c>
      <c r="J236" s="69">
        <f t="shared" si="113"/>
        <v>1.1304727506863168</v>
      </c>
      <c r="K236" s="69">
        <f t="shared" si="114"/>
        <v>1.1520790551722113</v>
      </c>
      <c r="L236" s="69">
        <f t="shared" si="115"/>
        <v>1.163946603530704</v>
      </c>
      <c r="M236" s="69">
        <f t="shared" si="116"/>
        <v>1.1677701810049379</v>
      </c>
      <c r="N236" s="69">
        <f t="shared" si="117"/>
        <v>1.1639466035307038</v>
      </c>
      <c r="O236" s="69">
        <f t="shared" si="118"/>
        <v>1.1520790551722113</v>
      </c>
      <c r="P236" s="69">
        <f t="shared" si="119"/>
        <v>1.1304727506863164</v>
      </c>
      <c r="Q236" s="69">
        <f t="shared" si="120"/>
        <v>1.0392797329615555</v>
      </c>
      <c r="R236" s="69">
        <f t="shared" si="121"/>
        <v>0.80529495923830896</v>
      </c>
      <c r="S236" s="69">
        <f t="shared" si="122"/>
        <v>0.56117537083500335</v>
      </c>
      <c r="T236" s="69">
        <f t="shared" si="123"/>
        <v>0.4173535011764381</v>
      </c>
      <c r="U236" s="69">
        <f t="shared" si="124"/>
        <v>0.36806746094085702</v>
      </c>
      <c r="V236" s="69">
        <f t="shared" si="125"/>
        <v>0.36470349121214357</v>
      </c>
      <c r="W236" s="69">
        <f t="shared" si="126"/>
        <v>0</v>
      </c>
    </row>
    <row r="237" spans="1:23" x14ac:dyDescent="0.2">
      <c r="A237" s="80">
        <f>$A$91</f>
        <v>6</v>
      </c>
      <c r="B237" s="85">
        <f>$B$91</f>
        <v>0.4375</v>
      </c>
      <c r="C237" s="69">
        <f t="shared" si="106"/>
        <v>0.43750462711222682</v>
      </c>
      <c r="D237" s="69">
        <f t="shared" si="107"/>
        <v>0.43758730724965528</v>
      </c>
      <c r="E237" s="69">
        <f t="shared" si="108"/>
        <v>0.45435355470579403</v>
      </c>
      <c r="F237" s="69">
        <f t="shared" si="109"/>
        <v>0.62930741369433163</v>
      </c>
      <c r="G237" s="69">
        <f t="shared" si="110"/>
        <v>0.87955521929113378</v>
      </c>
      <c r="H237" s="69">
        <f t="shared" si="111"/>
        <v>1.1326428640858726</v>
      </c>
      <c r="I237" s="69">
        <f t="shared" si="112"/>
        <v>1.25749897936664</v>
      </c>
      <c r="J237" s="69">
        <f t="shared" si="113"/>
        <v>1.2800646130087372</v>
      </c>
      <c r="K237" s="69">
        <f t="shared" si="114"/>
        <v>1.2955784730766364</v>
      </c>
      <c r="L237" s="69">
        <f t="shared" si="115"/>
        <v>1.3048385133002518</v>
      </c>
      <c r="M237" s="69">
        <f t="shared" si="116"/>
        <v>1.3079457810925994</v>
      </c>
      <c r="N237" s="69">
        <f t="shared" si="117"/>
        <v>1.3048385133002516</v>
      </c>
      <c r="O237" s="69">
        <f t="shared" si="118"/>
        <v>1.2955784730766364</v>
      </c>
      <c r="P237" s="69">
        <f t="shared" si="119"/>
        <v>1.280064613008737</v>
      </c>
      <c r="Q237" s="69">
        <f t="shared" si="120"/>
        <v>1.2032355544632842</v>
      </c>
      <c r="R237" s="69">
        <f t="shared" si="121"/>
        <v>1.0126017556449598</v>
      </c>
      <c r="S237" s="69">
        <f t="shared" si="122"/>
        <v>0.76666678345561778</v>
      </c>
      <c r="T237" s="69">
        <f t="shared" si="123"/>
        <v>0.55654458783173477</v>
      </c>
      <c r="U237" s="69">
        <f t="shared" si="124"/>
        <v>0.45532306554210833</v>
      </c>
      <c r="V237" s="69">
        <f t="shared" si="125"/>
        <v>0.43762017486401622</v>
      </c>
      <c r="W237" s="69">
        <f t="shared" si="126"/>
        <v>0</v>
      </c>
    </row>
    <row r="238" spans="1:23" x14ac:dyDescent="0.2">
      <c r="A238" s="80">
        <f>$A$92</f>
        <v>7</v>
      </c>
      <c r="B238" s="85">
        <f>$B$92</f>
        <v>0.51041666666666663</v>
      </c>
      <c r="C238" s="69">
        <f t="shared" si="106"/>
        <v>0.51042675046631369</v>
      </c>
      <c r="D238" s="69">
        <f t="shared" si="107"/>
        <v>0.51141306239163375</v>
      </c>
      <c r="E238" s="69">
        <f t="shared" si="108"/>
        <v>0.5752506975779712</v>
      </c>
      <c r="F238" s="69">
        <f t="shared" si="109"/>
        <v>0.83088784026070861</v>
      </c>
      <c r="G238" s="69">
        <f t="shared" si="110"/>
        <v>1.0828442001429956</v>
      </c>
      <c r="H238" s="69">
        <f t="shared" si="111"/>
        <v>1.3087936994686546</v>
      </c>
      <c r="I238" s="69">
        <f t="shared" si="112"/>
        <v>1.3898089951701049</v>
      </c>
      <c r="J238" s="69">
        <f t="shared" si="113"/>
        <v>1.4099786150511373</v>
      </c>
      <c r="K238" s="69">
        <f t="shared" si="114"/>
        <v>1.4235638454465327</v>
      </c>
      <c r="L238" s="69">
        <f t="shared" si="115"/>
        <v>1.4315579765154456</v>
      </c>
      <c r="M238" s="69">
        <f t="shared" si="116"/>
        <v>1.434222517425138</v>
      </c>
      <c r="N238" s="69">
        <f t="shared" si="117"/>
        <v>1.4315579765154451</v>
      </c>
      <c r="O238" s="69">
        <f t="shared" si="118"/>
        <v>1.4235638454465327</v>
      </c>
      <c r="P238" s="69">
        <f t="shared" si="119"/>
        <v>1.4099786150511371</v>
      </c>
      <c r="Q238" s="69">
        <f t="shared" si="120"/>
        <v>1.339425979924445</v>
      </c>
      <c r="R238" s="69">
        <f t="shared" si="121"/>
        <v>1.1666646340320852</v>
      </c>
      <c r="S238" s="69">
        <f t="shared" si="122"/>
        <v>0.94927907027962477</v>
      </c>
      <c r="T238" s="69">
        <f t="shared" si="123"/>
        <v>0.70297623566986034</v>
      </c>
      <c r="U238" s="69">
        <f t="shared" si="124"/>
        <v>0.56004229495680957</v>
      </c>
      <c r="V238" s="69">
        <f t="shared" si="125"/>
        <v>0.51216293538127244</v>
      </c>
      <c r="W238" s="69">
        <f t="shared" si="126"/>
        <v>0</v>
      </c>
    </row>
    <row r="239" spans="1:23" x14ac:dyDescent="0.2">
      <c r="A239" s="80">
        <f>$A$93</f>
        <v>8</v>
      </c>
      <c r="B239" s="85">
        <f>$B$93</f>
        <v>0.58333333333333337</v>
      </c>
      <c r="C239" s="69">
        <f t="shared" si="106"/>
        <v>0.5833962778097993</v>
      </c>
      <c r="D239" s="69">
        <f t="shared" si="107"/>
        <v>0.58452542916994465</v>
      </c>
      <c r="E239" s="69">
        <f t="shared" si="108"/>
        <v>0.7308561947031027</v>
      </c>
      <c r="F239" s="69">
        <f t="shared" si="109"/>
        <v>1.0280194243516343</v>
      </c>
      <c r="G239" s="69">
        <f t="shared" si="110"/>
        <v>1.2497628402274097</v>
      </c>
      <c r="H239" s="69">
        <f t="shared" si="111"/>
        <v>1.4306762415818277</v>
      </c>
      <c r="I239" s="69">
        <f t="shared" si="112"/>
        <v>1.5083564160897012</v>
      </c>
      <c r="J239" s="69">
        <f t="shared" si="113"/>
        <v>1.5247484674024476</v>
      </c>
      <c r="K239" s="69">
        <f t="shared" si="114"/>
        <v>1.5353829198421876</v>
      </c>
      <c r="L239" s="69">
        <f t="shared" si="115"/>
        <v>1.5415514647225876</v>
      </c>
      <c r="M239" s="69">
        <f t="shared" si="116"/>
        <v>1.5436036471364996</v>
      </c>
      <c r="N239" s="69">
        <f t="shared" si="117"/>
        <v>1.5415514647225874</v>
      </c>
      <c r="O239" s="69">
        <f t="shared" si="118"/>
        <v>1.5353829198421876</v>
      </c>
      <c r="P239" s="69">
        <f t="shared" si="119"/>
        <v>1.5247484674024476</v>
      </c>
      <c r="Q239" s="69">
        <f t="shared" si="120"/>
        <v>1.4603922855263314</v>
      </c>
      <c r="R239" s="69">
        <f t="shared" si="121"/>
        <v>1.2857205420019988</v>
      </c>
      <c r="S239" s="69">
        <f t="shared" si="122"/>
        <v>1.0771179493374448</v>
      </c>
      <c r="T239" s="69">
        <f t="shared" si="123"/>
        <v>0.8303979975244048</v>
      </c>
      <c r="U239" s="69">
        <f t="shared" si="124"/>
        <v>0.67333142844227567</v>
      </c>
      <c r="V239" s="69">
        <f t="shared" si="125"/>
        <v>0.59421155191148034</v>
      </c>
      <c r="W239" s="69">
        <f t="shared" si="126"/>
        <v>0</v>
      </c>
    </row>
    <row r="240" spans="1:23" x14ac:dyDescent="0.2">
      <c r="A240" s="80">
        <f>$A$94</f>
        <v>9</v>
      </c>
      <c r="B240" s="85">
        <f>$B$94</f>
        <v>0.65625</v>
      </c>
      <c r="C240" s="69">
        <f t="shared" si="106"/>
        <v>0.65631618759469246</v>
      </c>
      <c r="D240" s="69">
        <f t="shared" si="107"/>
        <v>0.66594058907169407</v>
      </c>
      <c r="E240" s="69">
        <f t="shared" si="108"/>
        <v>0.91330974122822361</v>
      </c>
      <c r="F240" s="69">
        <f t="shared" si="109"/>
        <v>1.2044295622130907</v>
      </c>
      <c r="G240" s="69">
        <f t="shared" si="110"/>
        <v>1.3858195409739704</v>
      </c>
      <c r="H240" s="69">
        <f t="shared" si="111"/>
        <v>1.53557020591481</v>
      </c>
      <c r="I240" s="69">
        <f t="shared" si="112"/>
        <v>1.6117918629960881</v>
      </c>
      <c r="J240" s="69">
        <f t="shared" si="113"/>
        <v>1.6249876612120022</v>
      </c>
      <c r="K240" s="69">
        <f t="shared" si="114"/>
        <v>1.6336267152217727</v>
      </c>
      <c r="L240" s="69">
        <f t="shared" si="115"/>
        <v>1.6387209977276487</v>
      </c>
      <c r="M240" s="69">
        <f t="shared" si="116"/>
        <v>1.6404364538158553</v>
      </c>
      <c r="N240" s="69">
        <f t="shared" si="117"/>
        <v>1.6387209977276485</v>
      </c>
      <c r="O240" s="69">
        <f t="shared" si="118"/>
        <v>1.6336267152217729</v>
      </c>
      <c r="P240" s="69">
        <f t="shared" si="119"/>
        <v>1.6249876612120022</v>
      </c>
      <c r="Q240" s="69">
        <f t="shared" si="120"/>
        <v>1.5641612315653688</v>
      </c>
      <c r="R240" s="69">
        <f t="shared" si="121"/>
        <v>1.3886958782780781</v>
      </c>
      <c r="S240" s="69">
        <f t="shared" si="122"/>
        <v>1.1799319897497118</v>
      </c>
      <c r="T240" s="69">
        <f t="shared" si="123"/>
        <v>0.93660534229350567</v>
      </c>
      <c r="U240" s="69">
        <f t="shared" si="124"/>
        <v>0.78411405325514794</v>
      </c>
      <c r="V240" s="69">
        <f t="shared" si="125"/>
        <v>0.69031765518196753</v>
      </c>
      <c r="W240" s="69">
        <f t="shared" si="126"/>
        <v>0</v>
      </c>
    </row>
    <row r="241" spans="1:23" x14ac:dyDescent="0.2">
      <c r="A241" s="80">
        <f>$A$95</f>
        <v>10</v>
      </c>
      <c r="B241" s="85">
        <f>$B$95</f>
        <v>0.72916666666666663</v>
      </c>
      <c r="C241" s="69">
        <f t="shared" si="106"/>
        <v>0.72981994501557002</v>
      </c>
      <c r="D241" s="69">
        <f t="shared" si="107"/>
        <v>0.78347531200039011</v>
      </c>
      <c r="E241" s="69">
        <f t="shared" si="108"/>
        <v>1.1055282558418016</v>
      </c>
      <c r="F241" s="69">
        <f t="shared" si="109"/>
        <v>1.3568822883538798</v>
      </c>
      <c r="G241" s="69">
        <f t="shared" si="110"/>
        <v>1.5003944114436825</v>
      </c>
      <c r="H241" s="69">
        <f t="shared" si="111"/>
        <v>1.6385634720615074</v>
      </c>
      <c r="I241" s="69">
        <f t="shared" si="112"/>
        <v>1.7065603881330769</v>
      </c>
      <c r="J241" s="69">
        <f t="shared" si="113"/>
        <v>1.7185504453850977</v>
      </c>
      <c r="K241" s="69">
        <f t="shared" si="114"/>
        <v>1.7265857525498738</v>
      </c>
      <c r="L241" s="69">
        <f t="shared" si="115"/>
        <v>1.7313861889425322</v>
      </c>
      <c r="M241" s="69">
        <f t="shared" si="116"/>
        <v>1.7330113907029645</v>
      </c>
      <c r="N241" s="69">
        <f t="shared" si="117"/>
        <v>1.7313861889425319</v>
      </c>
      <c r="O241" s="69">
        <f t="shared" si="118"/>
        <v>1.7265857525498736</v>
      </c>
      <c r="P241" s="69">
        <f t="shared" si="119"/>
        <v>1.7185504453850975</v>
      </c>
      <c r="Q241" s="69">
        <f t="shared" si="120"/>
        <v>1.65868583641544</v>
      </c>
      <c r="R241" s="69">
        <f t="shared" si="121"/>
        <v>1.4860461800670812</v>
      </c>
      <c r="S241" s="69">
        <f t="shared" si="122"/>
        <v>1.2810896103865472</v>
      </c>
      <c r="T241" s="69">
        <f t="shared" si="123"/>
        <v>1.032296483895969</v>
      </c>
      <c r="U241" s="69">
        <f t="shared" si="124"/>
        <v>0.88897504548023965</v>
      </c>
      <c r="V241" s="69">
        <f t="shared" si="125"/>
        <v>0.79326548023159704</v>
      </c>
      <c r="W241" s="69">
        <f t="shared" si="126"/>
        <v>0</v>
      </c>
    </row>
    <row r="242" spans="1:23" x14ac:dyDescent="0.2">
      <c r="A242" s="80">
        <f>$A$96</f>
        <v>11</v>
      </c>
      <c r="B242" s="85">
        <f>$B$96</f>
        <v>0.80208333333333337</v>
      </c>
      <c r="C242" s="69">
        <f t="shared" si="106"/>
        <v>0.80287601866397751</v>
      </c>
      <c r="D242" s="69">
        <f t="shared" si="107"/>
        <v>0.93780804335761825</v>
      </c>
      <c r="E242" s="69">
        <f t="shared" si="108"/>
        <v>1.289879292330564</v>
      </c>
      <c r="F242" s="69">
        <f t="shared" si="109"/>
        <v>1.48911722936265</v>
      </c>
      <c r="G242" s="69">
        <f t="shared" si="110"/>
        <v>1.6061510434416313</v>
      </c>
      <c r="H242" s="69">
        <f t="shared" si="111"/>
        <v>1.7399587905165499</v>
      </c>
      <c r="I242" s="69">
        <f t="shared" si="112"/>
        <v>1.7989239104618548</v>
      </c>
      <c r="J242" s="69">
        <f t="shared" si="113"/>
        <v>1.8102806089542969</v>
      </c>
      <c r="K242" s="69">
        <f t="shared" si="114"/>
        <v>1.8177271918622084</v>
      </c>
      <c r="L242" s="69">
        <f t="shared" si="115"/>
        <v>1.8221214420330323</v>
      </c>
      <c r="M242" s="69">
        <f t="shared" si="116"/>
        <v>1.8236026992705858</v>
      </c>
      <c r="N242" s="69">
        <f t="shared" si="117"/>
        <v>1.8221214420330321</v>
      </c>
      <c r="O242" s="69">
        <f t="shared" si="118"/>
        <v>1.8177271918622084</v>
      </c>
      <c r="P242" s="69">
        <f t="shared" si="119"/>
        <v>1.8102806089542969</v>
      </c>
      <c r="Q242" s="69">
        <f t="shared" si="120"/>
        <v>1.7514351174804006</v>
      </c>
      <c r="R242" s="69">
        <f t="shared" si="121"/>
        <v>1.5823491006971699</v>
      </c>
      <c r="S242" s="69">
        <f t="shared" si="122"/>
        <v>1.3802785800261796</v>
      </c>
      <c r="T242" s="69">
        <f t="shared" si="123"/>
        <v>1.1244875778861605</v>
      </c>
      <c r="U242" s="69">
        <f t="shared" si="124"/>
        <v>0.98546957026097848</v>
      </c>
      <c r="V242" s="69">
        <f t="shared" si="125"/>
        <v>0.87939836587528275</v>
      </c>
      <c r="W242" s="69">
        <f t="shared" si="126"/>
        <v>0</v>
      </c>
    </row>
    <row r="243" spans="1:23" x14ac:dyDescent="0.2">
      <c r="A243" s="80">
        <f>$A$97</f>
        <v>12</v>
      </c>
      <c r="B243" s="85">
        <f>$B$97</f>
        <v>0.875</v>
      </c>
      <c r="C243" s="69">
        <f t="shared" si="106"/>
        <v>0.87973860663524195</v>
      </c>
      <c r="D243" s="69">
        <f t="shared" si="107"/>
        <v>1.1202639184709557</v>
      </c>
      <c r="E243" s="69">
        <f t="shared" si="108"/>
        <v>1.4574233068337388</v>
      </c>
      <c r="F243" s="69">
        <f t="shared" si="109"/>
        <v>1.6100961814625414</v>
      </c>
      <c r="G243" s="69">
        <f t="shared" si="110"/>
        <v>1.7114378809561479</v>
      </c>
      <c r="H243" s="69">
        <f t="shared" si="111"/>
        <v>1.836709193209219</v>
      </c>
      <c r="I243" s="69">
        <f t="shared" si="112"/>
        <v>1.8889677468534802</v>
      </c>
      <c r="J243" s="69">
        <f t="shared" si="113"/>
        <v>1.8990539874836392</v>
      </c>
      <c r="K243" s="69">
        <f t="shared" si="114"/>
        <v>1.9054982747435441</v>
      </c>
      <c r="L243" s="69">
        <f t="shared" si="115"/>
        <v>1.9092635289167319</v>
      </c>
      <c r="M243" s="69">
        <f t="shared" si="116"/>
        <v>1.910531665225685</v>
      </c>
      <c r="N243" s="69">
        <f t="shared" si="117"/>
        <v>1.9092635289167317</v>
      </c>
      <c r="O243" s="69">
        <f t="shared" si="118"/>
        <v>1.9054982747435441</v>
      </c>
      <c r="P243" s="69">
        <f t="shared" si="119"/>
        <v>1.8990539874836392</v>
      </c>
      <c r="Q243" s="69">
        <f t="shared" si="120"/>
        <v>1.8410272861989327</v>
      </c>
      <c r="R243" s="69">
        <f t="shared" si="121"/>
        <v>1.676595345931577</v>
      </c>
      <c r="S243" s="69">
        <f t="shared" si="122"/>
        <v>1.4740702632219336</v>
      </c>
      <c r="T243" s="69">
        <f t="shared" si="123"/>
        <v>1.2175632941760435</v>
      </c>
      <c r="U243" s="69">
        <f t="shared" si="124"/>
        <v>1.0682428985742496</v>
      </c>
      <c r="V243" s="69">
        <f t="shared" si="125"/>
        <v>0.95231647430464372</v>
      </c>
      <c r="W243" s="69">
        <f t="shared" si="126"/>
        <v>0</v>
      </c>
    </row>
    <row r="244" spans="1:23" x14ac:dyDescent="0.2">
      <c r="A244" s="80">
        <f>$A$98</f>
        <v>13</v>
      </c>
      <c r="B244" s="85">
        <f>$B$98</f>
        <v>0.94791666666666663</v>
      </c>
      <c r="C244" s="69">
        <f t="shared" si="106"/>
        <v>0.95645211289554699</v>
      </c>
      <c r="D244" s="69">
        <f t="shared" si="107"/>
        <v>1.3227160275107925</v>
      </c>
      <c r="E244" s="69">
        <f t="shared" si="108"/>
        <v>1.6035773686144417</v>
      </c>
      <c r="F244" s="69">
        <f t="shared" si="109"/>
        <v>1.7229863410188733</v>
      </c>
      <c r="G244" s="69">
        <f t="shared" si="110"/>
        <v>1.8101024418280098</v>
      </c>
      <c r="H244" s="69">
        <f t="shared" si="111"/>
        <v>1.9242336126928867</v>
      </c>
      <c r="I244" s="69">
        <f t="shared" si="112"/>
        <v>1.9750557204744343</v>
      </c>
      <c r="J244" s="69">
        <f t="shared" si="113"/>
        <v>1.9835527377026387</v>
      </c>
      <c r="K244" s="69">
        <f t="shared" si="114"/>
        <v>1.9888687231820268</v>
      </c>
      <c r="L244" s="69">
        <f t="shared" si="115"/>
        <v>1.991968087588462</v>
      </c>
      <c r="M244" s="69">
        <f t="shared" si="116"/>
        <v>1.99301685065881</v>
      </c>
      <c r="N244" s="69">
        <f t="shared" si="117"/>
        <v>1.9919680875884618</v>
      </c>
      <c r="O244" s="69">
        <f t="shared" si="118"/>
        <v>1.9888687231820268</v>
      </c>
      <c r="P244" s="69">
        <f t="shared" si="119"/>
        <v>1.9835527377026387</v>
      </c>
      <c r="Q244" s="69">
        <f t="shared" si="120"/>
        <v>1.9249482880624944</v>
      </c>
      <c r="R244" s="69">
        <f t="shared" si="121"/>
        <v>1.7634422412419795</v>
      </c>
      <c r="S244" s="69">
        <f t="shared" si="122"/>
        <v>1.5626791280580459</v>
      </c>
      <c r="T244" s="69">
        <f t="shared" si="123"/>
        <v>1.3101198823172553</v>
      </c>
      <c r="U244" s="69">
        <f t="shared" si="124"/>
        <v>1.1412577690279178</v>
      </c>
      <c r="V244" s="69">
        <f t="shared" si="125"/>
        <v>1.0275683729123697</v>
      </c>
      <c r="W244" s="69">
        <f t="shared" si="126"/>
        <v>0</v>
      </c>
    </row>
    <row r="245" spans="1:23" x14ac:dyDescent="0.2">
      <c r="A245" s="80">
        <f>$A$99</f>
        <v>14</v>
      </c>
      <c r="B245" s="85">
        <f>$B$99</f>
        <v>1.0208333333333333</v>
      </c>
      <c r="C245" s="69">
        <f t="shared" si="106"/>
        <v>1.0696726202313345</v>
      </c>
      <c r="D245" s="69">
        <f t="shared" si="107"/>
        <v>1.5310783835871518</v>
      </c>
      <c r="E245" s="69">
        <f t="shared" si="108"/>
        <v>1.7314876132294423</v>
      </c>
      <c r="F245" s="69">
        <f t="shared" si="109"/>
        <v>1.8250198431905504</v>
      </c>
      <c r="G245" s="69">
        <f t="shared" si="110"/>
        <v>1.8982287857948623</v>
      </c>
      <c r="H245" s="69">
        <f t="shared" si="111"/>
        <v>2.0053319546014721</v>
      </c>
      <c r="I245" s="69">
        <f t="shared" si="112"/>
        <v>2.0564442061970776</v>
      </c>
      <c r="J245" s="69">
        <f t="shared" si="113"/>
        <v>2.0634337478426099</v>
      </c>
      <c r="K245" s="69">
        <f t="shared" si="114"/>
        <v>2.0677866169449035</v>
      </c>
      <c r="L245" s="69">
        <f t="shared" si="115"/>
        <v>2.070361527202091</v>
      </c>
      <c r="M245" s="69">
        <f t="shared" si="116"/>
        <v>2.0712447993160925</v>
      </c>
      <c r="N245" s="69">
        <f t="shared" si="117"/>
        <v>2.0703615272020905</v>
      </c>
      <c r="O245" s="69">
        <f t="shared" si="118"/>
        <v>2.0677866169449035</v>
      </c>
      <c r="P245" s="69">
        <f t="shared" si="119"/>
        <v>2.0634337478426099</v>
      </c>
      <c r="Q245" s="69">
        <f t="shared" si="120"/>
        <v>2.0049492238313862</v>
      </c>
      <c r="R245" s="69">
        <f t="shared" si="121"/>
        <v>1.8446938272656428</v>
      </c>
      <c r="S245" s="69">
        <f t="shared" si="122"/>
        <v>1.6467398541899516</v>
      </c>
      <c r="T245" s="69">
        <f t="shared" si="123"/>
        <v>1.3949737067032648</v>
      </c>
      <c r="U245" s="69">
        <f t="shared" si="124"/>
        <v>1.2156654244154701</v>
      </c>
      <c r="V245" s="69">
        <f t="shared" si="125"/>
        <v>1.1011459540617252</v>
      </c>
      <c r="W245" s="69">
        <f t="shared" si="126"/>
        <v>0</v>
      </c>
    </row>
    <row r="246" spans="1:23" x14ac:dyDescent="0.2">
      <c r="A246" s="80">
        <f>$A$100</f>
        <v>15</v>
      </c>
      <c r="B246" s="85">
        <f>$B$100</f>
        <v>1.09375</v>
      </c>
      <c r="C246" s="69">
        <f t="shared" si="106"/>
        <v>1.3198846437615679</v>
      </c>
      <c r="D246" s="69">
        <f t="shared" si="107"/>
        <v>1.7090879294848997</v>
      </c>
      <c r="E246" s="69">
        <f t="shared" si="108"/>
        <v>1.8465782135426283</v>
      </c>
      <c r="F246" s="69">
        <f t="shared" si="109"/>
        <v>1.917677580514012</v>
      </c>
      <c r="G246" s="69">
        <f t="shared" si="110"/>
        <v>1.9810528506620433</v>
      </c>
      <c r="H246" s="69">
        <f t="shared" si="111"/>
        <v>2.0845245899278058</v>
      </c>
      <c r="I246" s="69">
        <f t="shared" si="112"/>
        <v>2.1337332095467954</v>
      </c>
      <c r="J246" s="69">
        <f t="shared" si="113"/>
        <v>2.1399004059141498</v>
      </c>
      <c r="K246" s="69">
        <f t="shared" si="114"/>
        <v>2.1437909576978482</v>
      </c>
      <c r="L246" s="69">
        <f t="shared" si="115"/>
        <v>2.1461300792922997</v>
      </c>
      <c r="M246" s="69">
        <f t="shared" si="116"/>
        <v>2.1469409585115384</v>
      </c>
      <c r="N246" s="69">
        <f t="shared" si="117"/>
        <v>2.1461300792922993</v>
      </c>
      <c r="O246" s="69">
        <f t="shared" si="118"/>
        <v>2.1437909576978482</v>
      </c>
      <c r="P246" s="69">
        <f t="shared" si="119"/>
        <v>2.1399004059141493</v>
      </c>
      <c r="Q246" s="69">
        <f t="shared" si="120"/>
        <v>2.0826923582864798</v>
      </c>
      <c r="R246" s="69">
        <f t="shared" si="121"/>
        <v>1.9242555247691033</v>
      </c>
      <c r="S246" s="69">
        <f t="shared" si="122"/>
        <v>1.726268445941449</v>
      </c>
      <c r="T246" s="69">
        <f t="shared" si="123"/>
        <v>1.4733953439825864</v>
      </c>
      <c r="U246" s="69">
        <f t="shared" si="124"/>
        <v>1.2890306346710623</v>
      </c>
      <c r="V246" s="69">
        <f t="shared" si="125"/>
        <v>1.1745316722918056</v>
      </c>
      <c r="W246" s="69">
        <f t="shared" si="126"/>
        <v>0</v>
      </c>
    </row>
    <row r="247" spans="1:23" x14ac:dyDescent="0.2">
      <c r="A247" s="80">
        <f>$A$101</f>
        <v>16</v>
      </c>
      <c r="B247" s="85">
        <f>$B$101</f>
        <v>1.1666666666666667</v>
      </c>
      <c r="C247" s="69">
        <f t="shared" si="106"/>
        <v>1.5869642588031403</v>
      </c>
      <c r="D247" s="69">
        <f t="shared" si="107"/>
        <v>1.8426088643201741</v>
      </c>
      <c r="E247" s="69">
        <f t="shared" si="108"/>
        <v>1.9501069007301457</v>
      </c>
      <c r="F247" s="69">
        <f t="shared" si="109"/>
        <v>2.0044747681148452</v>
      </c>
      <c r="G247" s="69">
        <f t="shared" si="110"/>
        <v>2.0616231497251847</v>
      </c>
      <c r="H247" s="69">
        <f t="shared" si="111"/>
        <v>2.1626120528157191</v>
      </c>
      <c r="I247" s="69">
        <f t="shared" si="112"/>
        <v>2.2091101549890566</v>
      </c>
      <c r="J247" s="69">
        <f t="shared" si="113"/>
        <v>2.2149775043482158</v>
      </c>
      <c r="K247" s="69">
        <f t="shared" si="114"/>
        <v>2.2187068521585438</v>
      </c>
      <c r="L247" s="69">
        <f t="shared" si="115"/>
        <v>2.2209641439483097</v>
      </c>
      <c r="M247" s="69">
        <f t="shared" si="116"/>
        <v>2.2217496975170006</v>
      </c>
      <c r="N247" s="69">
        <f t="shared" si="117"/>
        <v>2.2209641439483092</v>
      </c>
      <c r="O247" s="69">
        <f t="shared" si="118"/>
        <v>2.2187068521585438</v>
      </c>
      <c r="P247" s="69">
        <f t="shared" si="119"/>
        <v>2.2149775043482154</v>
      </c>
      <c r="Q247" s="69">
        <f t="shared" si="120"/>
        <v>2.1587064701040504</v>
      </c>
      <c r="R247" s="69">
        <f t="shared" si="121"/>
        <v>2.0023590176658232</v>
      </c>
      <c r="S247" s="69">
        <f t="shared" si="122"/>
        <v>1.8025773999775572</v>
      </c>
      <c r="T247" s="69">
        <f t="shared" si="123"/>
        <v>1.5493822988794126</v>
      </c>
      <c r="U247" s="69">
        <f t="shared" si="124"/>
        <v>1.3619663595738754</v>
      </c>
      <c r="V247" s="69">
        <f t="shared" si="125"/>
        <v>1.2487077678698026</v>
      </c>
      <c r="W247" s="69">
        <f t="shared" si="126"/>
        <v>0</v>
      </c>
    </row>
    <row r="248" spans="1:23" x14ac:dyDescent="0.2">
      <c r="A248" s="80">
        <f>$A$102</f>
        <v>17</v>
      </c>
      <c r="B248" s="85">
        <f>$B$102</f>
        <v>1.2395833333333333</v>
      </c>
      <c r="C248" s="69">
        <f t="shared" si="106"/>
        <v>1.7900181565165341</v>
      </c>
      <c r="D248" s="69">
        <f t="shared" si="107"/>
        <v>1.9586965171113164</v>
      </c>
      <c r="E248" s="69">
        <f t="shared" si="108"/>
        <v>2.0435574965272538</v>
      </c>
      <c r="F248" s="69">
        <f t="shared" si="109"/>
        <v>2.0873401482423932</v>
      </c>
      <c r="G248" s="69">
        <f t="shared" si="110"/>
        <v>2.1398571660942354</v>
      </c>
      <c r="H248" s="69">
        <f t="shared" si="111"/>
        <v>2.239018651831342</v>
      </c>
      <c r="I248" s="69">
        <f t="shared" si="112"/>
        <v>2.2839437518972288</v>
      </c>
      <c r="J248" s="69">
        <f t="shared" si="113"/>
        <v>2.2896365691019018</v>
      </c>
      <c r="K248" s="69">
        <f t="shared" si="114"/>
        <v>2.2932397985715993</v>
      </c>
      <c r="L248" s="69">
        <f t="shared" si="115"/>
        <v>2.2954216219779782</v>
      </c>
      <c r="M248" s="69">
        <f t="shared" si="116"/>
        <v>2.2961821392380029</v>
      </c>
      <c r="N248" s="69">
        <f t="shared" si="117"/>
        <v>2.2954216219779777</v>
      </c>
      <c r="O248" s="69">
        <f t="shared" si="118"/>
        <v>2.2932397985715993</v>
      </c>
      <c r="P248" s="69">
        <f t="shared" si="119"/>
        <v>2.2896365691019014</v>
      </c>
      <c r="Q248" s="69">
        <f t="shared" si="120"/>
        <v>2.233384068335297</v>
      </c>
      <c r="R248" s="69">
        <f t="shared" si="121"/>
        <v>2.0780712260182006</v>
      </c>
      <c r="S248" s="69">
        <f t="shared" si="122"/>
        <v>1.8778598856866515</v>
      </c>
      <c r="T248" s="69">
        <f t="shared" si="123"/>
        <v>1.6244499775473027</v>
      </c>
      <c r="U248" s="69">
        <f t="shared" si="124"/>
        <v>1.4353154015701155</v>
      </c>
      <c r="V248" s="69">
        <f t="shared" si="125"/>
        <v>1.3224391849510571</v>
      </c>
      <c r="W248" s="69">
        <f t="shared" si="126"/>
        <v>0</v>
      </c>
    </row>
    <row r="249" spans="1:23" x14ac:dyDescent="0.2">
      <c r="A249" s="80">
        <f>$A$103</f>
        <v>18</v>
      </c>
      <c r="B249" s="85">
        <f>$B$103</f>
        <v>1.3125</v>
      </c>
      <c r="C249" s="69">
        <f t="shared" si="106"/>
        <v>1.9319944827005486</v>
      </c>
      <c r="D249" s="69">
        <f t="shared" si="107"/>
        <v>2.0659991826424284</v>
      </c>
      <c r="E249" s="69">
        <f t="shared" si="108"/>
        <v>2.130171804515093</v>
      </c>
      <c r="F249" s="69">
        <f t="shared" si="109"/>
        <v>2.1673946329835356</v>
      </c>
      <c r="G249" s="69">
        <f t="shared" si="110"/>
        <v>2.2160145519208694</v>
      </c>
      <c r="H249" s="69">
        <f t="shared" si="111"/>
        <v>2.3138468892753901</v>
      </c>
      <c r="I249" s="69">
        <f t="shared" si="112"/>
        <v>2.3581972680092469</v>
      </c>
      <c r="J249" s="69">
        <f t="shared" si="113"/>
        <v>2.3636844257879082</v>
      </c>
      <c r="K249" s="69">
        <f t="shared" si="114"/>
        <v>2.3671520389288361</v>
      </c>
      <c r="L249" s="69">
        <f t="shared" si="115"/>
        <v>2.3692572214396499</v>
      </c>
      <c r="M249" s="69">
        <f t="shared" si="116"/>
        <v>2.3699929913105025</v>
      </c>
      <c r="N249" s="69">
        <f t="shared" si="117"/>
        <v>2.3692572214396495</v>
      </c>
      <c r="O249" s="69">
        <f t="shared" si="118"/>
        <v>2.3671520389288361</v>
      </c>
      <c r="P249" s="69">
        <f t="shared" si="119"/>
        <v>2.3636844257879077</v>
      </c>
      <c r="Q249" s="69">
        <f t="shared" si="120"/>
        <v>2.307236389031611</v>
      </c>
      <c r="R249" s="69">
        <f t="shared" si="121"/>
        <v>2.1521206540488911</v>
      </c>
      <c r="S249" s="69">
        <f t="shared" si="122"/>
        <v>1.9530375245203699</v>
      </c>
      <c r="T249" s="69">
        <f t="shared" si="123"/>
        <v>1.6991691327828711</v>
      </c>
      <c r="U249" s="69">
        <f t="shared" si="124"/>
        <v>1.5086806850857157</v>
      </c>
      <c r="V249" s="69">
        <f t="shared" si="125"/>
        <v>1.3957486223590778</v>
      </c>
      <c r="W249" s="69">
        <f t="shared" si="126"/>
        <v>0</v>
      </c>
    </row>
    <row r="250" spans="1:23" x14ac:dyDescent="0.2">
      <c r="A250" s="80">
        <f>$A$104</f>
        <v>19</v>
      </c>
      <c r="B250" s="85">
        <f>$B$104</f>
        <v>1.3854166666666667</v>
      </c>
      <c r="C250" s="69">
        <f t="shared" si="106"/>
        <v>2.0394807646607651</v>
      </c>
      <c r="D250" s="69">
        <f t="shared" si="107"/>
        <v>2.1581076806948922</v>
      </c>
      <c r="E250" s="69">
        <f t="shared" si="108"/>
        <v>2.2127222383716325</v>
      </c>
      <c r="F250" s="69">
        <f t="shared" si="109"/>
        <v>2.2452325193202638</v>
      </c>
      <c r="G250" s="69">
        <f t="shared" si="110"/>
        <v>2.2910409201179465</v>
      </c>
      <c r="H250" s="69">
        <f t="shared" si="111"/>
        <v>2.3875879073053077</v>
      </c>
      <c r="I250" s="69">
        <f t="shared" si="112"/>
        <v>2.4316578852582977</v>
      </c>
      <c r="J250" s="69">
        <f t="shared" si="113"/>
        <v>2.4370103958829303</v>
      </c>
      <c r="K250" s="69">
        <f t="shared" si="114"/>
        <v>2.440400014079847</v>
      </c>
      <c r="L250" s="69">
        <f t="shared" si="115"/>
        <v>2.442464919713077</v>
      </c>
      <c r="M250" s="69">
        <f t="shared" si="116"/>
        <v>2.4431882718543849</v>
      </c>
      <c r="N250" s="69">
        <f t="shared" si="117"/>
        <v>2.4424649197130766</v>
      </c>
      <c r="O250" s="69">
        <f t="shared" si="118"/>
        <v>2.440400014079847</v>
      </c>
      <c r="P250" s="69">
        <f t="shared" si="119"/>
        <v>2.4370103958829299</v>
      </c>
      <c r="Q250" s="69">
        <f t="shared" si="120"/>
        <v>2.380655416475522</v>
      </c>
      <c r="R250" s="69">
        <f t="shared" si="121"/>
        <v>2.2255808373884127</v>
      </c>
      <c r="S250" s="69">
        <f t="shared" si="122"/>
        <v>2.0275461387766818</v>
      </c>
      <c r="T250" s="69">
        <f t="shared" si="123"/>
        <v>1.7733942039138328</v>
      </c>
      <c r="U250" s="69">
        <f t="shared" si="124"/>
        <v>1.5817280216645955</v>
      </c>
      <c r="V250" s="69">
        <f t="shared" si="125"/>
        <v>1.4694950787171606</v>
      </c>
      <c r="W250" s="69">
        <f t="shared" si="126"/>
        <v>0</v>
      </c>
    </row>
    <row r="251" spans="1:23" x14ac:dyDescent="0.2">
      <c r="A251" s="80">
        <f>$A$105</f>
        <v>20</v>
      </c>
      <c r="B251" s="85">
        <f>$B$105</f>
        <v>1.4583333333333333</v>
      </c>
      <c r="C251" s="69">
        <f t="shared" si="106"/>
        <v>2.1367363117095368</v>
      </c>
      <c r="D251" s="69">
        <f t="shared" si="107"/>
        <v>2.2413865498419328</v>
      </c>
      <c r="E251" s="69">
        <f t="shared" si="108"/>
        <v>2.2932304492045161</v>
      </c>
      <c r="F251" s="69">
        <f t="shared" si="109"/>
        <v>2.3212711862133011</v>
      </c>
      <c r="G251" s="69">
        <f t="shared" si="110"/>
        <v>2.3655232893970366</v>
      </c>
      <c r="H251" s="69">
        <f t="shared" si="111"/>
        <v>2.4607487838612556</v>
      </c>
      <c r="I251" s="69">
        <f t="shared" si="112"/>
        <v>2.5046661136451132</v>
      </c>
      <c r="J251" s="69">
        <f t="shared" si="113"/>
        <v>2.5099888968556243</v>
      </c>
      <c r="K251" s="69">
        <f t="shared" si="114"/>
        <v>2.5133630792671973</v>
      </c>
      <c r="L251" s="69">
        <f t="shared" si="115"/>
        <v>2.5154205197369084</v>
      </c>
      <c r="M251" s="69">
        <f t="shared" si="116"/>
        <v>2.5161416401023722</v>
      </c>
      <c r="N251" s="69">
        <f t="shared" si="117"/>
        <v>2.5154205197369079</v>
      </c>
      <c r="O251" s="69">
        <f t="shared" si="118"/>
        <v>2.5133630792671973</v>
      </c>
      <c r="P251" s="69">
        <f t="shared" si="119"/>
        <v>2.5099888968556239</v>
      </c>
      <c r="Q251" s="69">
        <f t="shared" si="120"/>
        <v>2.4538477381427195</v>
      </c>
      <c r="R251" s="69">
        <f t="shared" si="121"/>
        <v>2.2988556210949</v>
      </c>
      <c r="S251" s="69">
        <f t="shared" si="122"/>
        <v>2.1011075037255869</v>
      </c>
      <c r="T251" s="69">
        <f t="shared" si="123"/>
        <v>1.8468974648154932</v>
      </c>
      <c r="U251" s="69">
        <f t="shared" si="124"/>
        <v>1.6546614940465443</v>
      </c>
      <c r="V251" s="69">
        <f t="shared" si="125"/>
        <v>1.5435132461883128</v>
      </c>
      <c r="W251" s="69">
        <f t="shared" si="126"/>
        <v>0</v>
      </c>
    </row>
    <row r="252" spans="1:23" x14ac:dyDescent="0.2">
      <c r="A252" s="80">
        <f>$A$106</f>
        <v>21</v>
      </c>
      <c r="B252" s="85">
        <f>$B$106</f>
        <v>1.53125</v>
      </c>
      <c r="C252" s="69">
        <f t="shared" si="106"/>
        <v>2.2295586094371336</v>
      </c>
      <c r="D252" s="69">
        <f t="shared" si="107"/>
        <v>2.3237382993847238</v>
      </c>
      <c r="E252" s="69">
        <f t="shared" si="108"/>
        <v>2.3723835527246839</v>
      </c>
      <c r="F252" s="69">
        <f t="shared" si="109"/>
        <v>2.396044947986383</v>
      </c>
      <c r="G252" s="69">
        <f t="shared" si="110"/>
        <v>2.4394136628705958</v>
      </c>
      <c r="H252" s="69">
        <f t="shared" si="111"/>
        <v>2.5337218763352518</v>
      </c>
      <c r="I252" s="69">
        <f t="shared" si="112"/>
        <v>2.5775863105487042</v>
      </c>
      <c r="J252" s="69">
        <f t="shared" si="113"/>
        <v>2.5829073578693427</v>
      </c>
      <c r="K252" s="69">
        <f t="shared" si="114"/>
        <v>2.5862808109854423</v>
      </c>
      <c r="L252" s="69">
        <f t="shared" si="115"/>
        <v>2.588337951410729</v>
      </c>
      <c r="M252" s="69">
        <f t="shared" si="116"/>
        <v>2.5890589895955967</v>
      </c>
      <c r="N252" s="69">
        <f t="shared" si="117"/>
        <v>2.5883379514107281</v>
      </c>
      <c r="O252" s="69">
        <f t="shared" si="118"/>
        <v>2.5862808109854423</v>
      </c>
      <c r="P252" s="69">
        <f t="shared" si="119"/>
        <v>2.5829073578693422</v>
      </c>
      <c r="Q252" s="69">
        <f t="shared" si="120"/>
        <v>2.5269116828064595</v>
      </c>
      <c r="R252" s="69">
        <f t="shared" si="121"/>
        <v>2.3719504269631764</v>
      </c>
      <c r="S252" s="69">
        <f t="shared" si="122"/>
        <v>2.1741890557046624</v>
      </c>
      <c r="T252" s="69">
        <f t="shared" si="123"/>
        <v>1.9199667646162872</v>
      </c>
      <c r="U252" s="69">
        <f t="shared" si="124"/>
        <v>1.7275781997868369</v>
      </c>
      <c r="V252" s="69">
        <f t="shared" si="125"/>
        <v>1.6169658607969284</v>
      </c>
      <c r="W252" s="69">
        <f t="shared" si="126"/>
        <v>0</v>
      </c>
    </row>
    <row r="253" spans="1:23" x14ac:dyDescent="0.2">
      <c r="A253" s="80">
        <f>$A$107</f>
        <v>22</v>
      </c>
      <c r="B253" s="85">
        <f>$B$107</f>
        <v>1.6041666666666667</v>
      </c>
      <c r="C253" s="69">
        <f t="shared" si="106"/>
        <v>2.3175565715080886</v>
      </c>
      <c r="D253" s="69">
        <f t="shared" si="107"/>
        <v>2.4041671449368529</v>
      </c>
      <c r="E253" s="69">
        <f t="shared" si="108"/>
        <v>2.4493466967455966</v>
      </c>
      <c r="F253" s="69">
        <f t="shared" si="109"/>
        <v>2.4700437077775357</v>
      </c>
      <c r="G253" s="69">
        <f t="shared" si="110"/>
        <v>2.5126964077204357</v>
      </c>
      <c r="H253" s="69">
        <f t="shared" si="111"/>
        <v>2.6066587653545694</v>
      </c>
      <c r="I253" s="69">
        <f t="shared" si="112"/>
        <v>2.6505029804939153</v>
      </c>
      <c r="J253" s="69">
        <f t="shared" si="113"/>
        <v>2.6558240253896557</v>
      </c>
      <c r="K253" s="69">
        <f t="shared" si="114"/>
        <v>2.6591974779115279</v>
      </c>
      <c r="L253" s="69">
        <f t="shared" si="115"/>
        <v>2.661254618173488</v>
      </c>
      <c r="M253" s="69">
        <f t="shared" si="116"/>
        <v>2.6619756563244801</v>
      </c>
      <c r="N253" s="69">
        <f t="shared" si="117"/>
        <v>2.6612546181734871</v>
      </c>
      <c r="O253" s="69">
        <f t="shared" si="118"/>
        <v>2.6591974779115279</v>
      </c>
      <c r="P253" s="69">
        <f t="shared" si="119"/>
        <v>2.6558240253896552</v>
      </c>
      <c r="Q253" s="69">
        <f t="shared" si="120"/>
        <v>2.599908223584416</v>
      </c>
      <c r="R253" s="69">
        <f t="shared" si="121"/>
        <v>2.4449027213957799</v>
      </c>
      <c r="S253" s="69">
        <f t="shared" si="122"/>
        <v>2.2471290073099581</v>
      </c>
      <c r="T253" s="69">
        <f t="shared" si="123"/>
        <v>1.9929055383953183</v>
      </c>
      <c r="U253" s="69">
        <f t="shared" si="124"/>
        <v>1.8004957131675337</v>
      </c>
      <c r="V253" s="69">
        <f t="shared" si="125"/>
        <v>1.6902606744856932</v>
      </c>
      <c r="W253" s="69">
        <f t="shared" si="126"/>
        <v>0</v>
      </c>
    </row>
    <row r="254" spans="1:23" x14ac:dyDescent="0.2">
      <c r="A254" s="80">
        <f>$A$138+1</f>
        <v>23</v>
      </c>
      <c r="B254" s="85">
        <f>$B$108</f>
        <v>1.6770833333333333</v>
      </c>
      <c r="C254" s="69">
        <f t="shared" si="106"/>
        <v>2.3981202514937339</v>
      </c>
      <c r="D254" s="69">
        <f t="shared" si="107"/>
        <v>2.4806542192952041</v>
      </c>
      <c r="E254" s="69">
        <f t="shared" si="108"/>
        <v>2.5242556201113358</v>
      </c>
      <c r="F254" s="69">
        <f t="shared" si="109"/>
        <v>2.5436223415072807</v>
      </c>
      <c r="G254" s="69">
        <f t="shared" si="110"/>
        <v>2.5856802113615238</v>
      </c>
      <c r="H254" s="69">
        <f t="shared" si="111"/>
        <v>2.6795887213099312</v>
      </c>
      <c r="I254" s="69">
        <f t="shared" si="112"/>
        <v>2.723419647180982</v>
      </c>
      <c r="J254" s="69">
        <f t="shared" si="113"/>
        <v>2.7287406920733401</v>
      </c>
      <c r="K254" s="69">
        <f t="shared" si="114"/>
        <v>2.7321141445874462</v>
      </c>
      <c r="L254" s="69">
        <f t="shared" si="115"/>
        <v>2.7341712848447255</v>
      </c>
      <c r="M254" s="69">
        <f t="shared" si="116"/>
        <v>2.734892322994388</v>
      </c>
      <c r="N254" s="69">
        <f t="shared" si="117"/>
        <v>2.7341712848447246</v>
      </c>
      <c r="O254" s="69">
        <f t="shared" si="118"/>
        <v>2.7321141445874462</v>
      </c>
      <c r="P254" s="69">
        <f t="shared" si="119"/>
        <v>2.7287406920733397</v>
      </c>
      <c r="Q254" s="69">
        <f t="shared" si="120"/>
        <v>2.6728717996776479</v>
      </c>
      <c r="R254" s="69">
        <f t="shared" si="121"/>
        <v>2.5178194121057689</v>
      </c>
      <c r="S254" s="69">
        <f t="shared" si="122"/>
        <v>2.3200457071171035</v>
      </c>
      <c r="T254" s="69">
        <f t="shared" si="123"/>
        <v>2.0658224183528739</v>
      </c>
      <c r="U254" s="69">
        <f t="shared" si="124"/>
        <v>1.8734124169618043</v>
      </c>
      <c r="V254" s="69">
        <f t="shared" si="125"/>
        <v>1.7639209517744132</v>
      </c>
      <c r="W254" s="69">
        <f t="shared" si="126"/>
        <v>0</v>
      </c>
    </row>
    <row r="255" spans="1:23" ht="13.5" thickBot="1" x14ac:dyDescent="0.25">
      <c r="A255" s="82">
        <f>$A$139+1</f>
        <v>24</v>
      </c>
      <c r="B255" s="89">
        <f>$B$109</f>
        <v>1.75</v>
      </c>
      <c r="C255" s="69">
        <f t="shared" si="106"/>
        <v>2.4746852368176357</v>
      </c>
      <c r="D255" s="69">
        <f t="shared" si="107"/>
        <v>2.5553402830880434</v>
      </c>
      <c r="E255" s="69">
        <f t="shared" si="108"/>
        <v>2.5983376790202071</v>
      </c>
      <c r="F255" s="69">
        <f t="shared" si="109"/>
        <v>2.6170282038758064</v>
      </c>
      <c r="G255" s="69">
        <f t="shared" si="110"/>
        <v>2.6586038730681021</v>
      </c>
      <c r="H255" s="69">
        <f t="shared" si="111"/>
        <v>2.7525158250033774</v>
      </c>
      <c r="I255" s="69">
        <f t="shared" si="112"/>
        <v>2.7963363148998894</v>
      </c>
      <c r="J255" s="69">
        <f t="shared" si="113"/>
        <v>2.8016573591608558</v>
      </c>
      <c r="K255" s="69">
        <f t="shared" si="114"/>
        <v>2.8050308114132236</v>
      </c>
      <c r="L255" s="69">
        <f t="shared" si="115"/>
        <v>2.8070879515771376</v>
      </c>
      <c r="M255" s="69">
        <f t="shared" si="116"/>
        <v>2.8078089897052045</v>
      </c>
      <c r="N255" s="69">
        <f t="shared" si="117"/>
        <v>2.8070879515771368</v>
      </c>
      <c r="O255" s="69">
        <f t="shared" si="118"/>
        <v>2.8050308114132236</v>
      </c>
      <c r="P255" s="69">
        <f t="shared" si="119"/>
        <v>2.8016573591608553</v>
      </c>
      <c r="Q255" s="69">
        <f t="shared" si="120"/>
        <v>2.7458221623635657</v>
      </c>
      <c r="R255" s="69">
        <f t="shared" si="121"/>
        <v>2.5907465028802941</v>
      </c>
      <c r="S255" s="69">
        <f t="shared" si="122"/>
        <v>2.3929668791974086</v>
      </c>
      <c r="T255" s="69">
        <f t="shared" si="123"/>
        <v>2.1387416869688733</v>
      </c>
      <c r="U255" s="69">
        <f t="shared" si="124"/>
        <v>1.9463291862011176</v>
      </c>
      <c r="V255" s="69">
        <f t="shared" si="125"/>
        <v>1.8379343371307253</v>
      </c>
      <c r="W255" s="69">
        <f t="shared" si="126"/>
        <v>0</v>
      </c>
    </row>
    <row r="256" spans="1:23" x14ac:dyDescent="0.2">
      <c r="A256" s="91"/>
      <c r="B256" s="19"/>
      <c r="C256" s="19"/>
      <c r="D256" s="19"/>
      <c r="E256" s="19"/>
      <c r="F256" s="19"/>
      <c r="G256" s="19"/>
      <c r="H256" s="19"/>
      <c r="I256" s="19"/>
      <c r="J256" s="19"/>
      <c r="K256" s="19"/>
      <c r="L256" s="19"/>
      <c r="M256" s="19"/>
      <c r="N256" s="19"/>
      <c r="O256" s="19"/>
      <c r="P256" s="19"/>
      <c r="Q256" s="19"/>
      <c r="R256" s="19"/>
      <c r="S256" s="19"/>
      <c r="T256" s="19"/>
      <c r="U256" s="19"/>
      <c r="V256" s="19"/>
    </row>
    <row r="257" spans="1:23" x14ac:dyDescent="0.2">
      <c r="A257" s="91" t="s">
        <v>124</v>
      </c>
      <c r="B257" s="19"/>
      <c r="C257" s="19"/>
      <c r="D257" s="19"/>
      <c r="E257" s="19" t="s">
        <v>8</v>
      </c>
      <c r="F257" s="19">
        <f>Input!B9</f>
        <v>0.97750000000000004</v>
      </c>
      <c r="G257" s="19" t="s">
        <v>61</v>
      </c>
      <c r="H257" s="19"/>
      <c r="I257" s="19"/>
      <c r="J257" s="19"/>
      <c r="K257" s="19"/>
      <c r="L257" s="19"/>
      <c r="M257" s="19"/>
      <c r="N257" s="19"/>
      <c r="O257" s="19"/>
      <c r="P257" s="19"/>
      <c r="Q257" s="19"/>
      <c r="R257" s="19"/>
      <c r="S257" s="19"/>
      <c r="T257" s="19"/>
      <c r="U257" s="19"/>
      <c r="V257" s="19"/>
    </row>
    <row r="258" spans="1:23" ht="13.5" thickBot="1" x14ac:dyDescent="0.25">
      <c r="A258" s="91"/>
      <c r="B258" s="19"/>
      <c r="C258" s="19"/>
      <c r="D258" s="19"/>
      <c r="E258" s="19" t="s">
        <v>85</v>
      </c>
      <c r="F258" s="19">
        <f>D261</f>
        <v>0.86</v>
      </c>
      <c r="G258" s="19" t="s">
        <v>61</v>
      </c>
      <c r="H258" s="19"/>
      <c r="I258" s="19"/>
      <c r="J258" s="19"/>
      <c r="K258" s="19"/>
      <c r="L258" s="19"/>
      <c r="M258" s="19"/>
      <c r="N258" s="19"/>
      <c r="O258" s="19"/>
      <c r="P258" s="19"/>
      <c r="Q258" s="19"/>
      <c r="R258" s="19"/>
      <c r="S258" s="19"/>
      <c r="T258" s="19"/>
      <c r="U258" s="19"/>
      <c r="V258" s="19"/>
    </row>
    <row r="259" spans="1:23" x14ac:dyDescent="0.2">
      <c r="A259" s="92" t="s">
        <v>62</v>
      </c>
      <c r="B259" s="72"/>
      <c r="C259" s="72">
        <v>1</v>
      </c>
      <c r="D259" s="72">
        <v>4</v>
      </c>
      <c r="E259" s="72">
        <v>2</v>
      </c>
      <c r="F259" s="72">
        <v>4</v>
      </c>
      <c r="G259" s="72">
        <v>2</v>
      </c>
      <c r="H259" s="72">
        <v>4</v>
      </c>
      <c r="I259" s="72">
        <v>2</v>
      </c>
      <c r="J259" s="72">
        <v>4</v>
      </c>
      <c r="K259" s="72">
        <v>2</v>
      </c>
      <c r="L259" s="72">
        <v>4</v>
      </c>
      <c r="M259" s="72">
        <v>2</v>
      </c>
      <c r="N259" s="72">
        <v>4</v>
      </c>
      <c r="O259" s="72">
        <v>2</v>
      </c>
      <c r="P259" s="72">
        <v>4</v>
      </c>
      <c r="Q259" s="72">
        <v>2</v>
      </c>
      <c r="R259" s="72">
        <v>4</v>
      </c>
      <c r="S259" s="72">
        <v>2</v>
      </c>
      <c r="T259" s="72">
        <v>4</v>
      </c>
      <c r="U259" s="72">
        <v>2</v>
      </c>
      <c r="V259" s="72">
        <v>4</v>
      </c>
      <c r="W259" s="73">
        <v>1</v>
      </c>
    </row>
    <row r="260" spans="1:23" x14ac:dyDescent="0.2">
      <c r="A260" s="93" t="s">
        <v>57</v>
      </c>
      <c r="B260" s="68"/>
      <c r="C260" s="68">
        <v>21</v>
      </c>
      <c r="D260" s="68">
        <v>20</v>
      </c>
      <c r="E260" s="68">
        <v>19</v>
      </c>
      <c r="F260" s="68">
        <v>18</v>
      </c>
      <c r="G260" s="68">
        <v>17</v>
      </c>
      <c r="H260" s="68">
        <v>16</v>
      </c>
      <c r="I260" s="68">
        <v>15</v>
      </c>
      <c r="J260" s="68">
        <v>14</v>
      </c>
      <c r="K260" s="68">
        <v>13</v>
      </c>
      <c r="L260" s="68">
        <v>12</v>
      </c>
      <c r="M260" s="68">
        <v>11</v>
      </c>
      <c r="N260" s="68">
        <v>10</v>
      </c>
      <c r="O260" s="68">
        <v>9</v>
      </c>
      <c r="P260" s="68">
        <v>8</v>
      </c>
      <c r="Q260" s="68">
        <v>7</v>
      </c>
      <c r="R260" s="68">
        <v>6</v>
      </c>
      <c r="S260" s="68">
        <v>5</v>
      </c>
      <c r="T260" s="68">
        <v>4</v>
      </c>
      <c r="U260" s="68">
        <v>3</v>
      </c>
      <c r="V260" s="68">
        <v>2</v>
      </c>
      <c r="W260" s="94">
        <v>1</v>
      </c>
    </row>
    <row r="261" spans="1:23" x14ac:dyDescent="0.2">
      <c r="A261" s="93" t="s">
        <v>58</v>
      </c>
      <c r="B261" s="68"/>
      <c r="C261" s="68">
        <v>0</v>
      </c>
      <c r="D261" s="68">
        <f>C261+$W$115/20</f>
        <v>0.86</v>
      </c>
      <c r="E261" s="68">
        <f t="shared" ref="E261:V261" si="127">D261+$W$115/20</f>
        <v>1.72</v>
      </c>
      <c r="F261" s="68">
        <f t="shared" si="127"/>
        <v>2.58</v>
      </c>
      <c r="G261" s="68">
        <f t="shared" si="127"/>
        <v>3.44</v>
      </c>
      <c r="H261" s="68">
        <f t="shared" si="127"/>
        <v>4.3</v>
      </c>
      <c r="I261" s="68">
        <f t="shared" si="127"/>
        <v>5.16</v>
      </c>
      <c r="J261" s="68">
        <f t="shared" si="127"/>
        <v>6.0200000000000005</v>
      </c>
      <c r="K261" s="68">
        <f t="shared" si="127"/>
        <v>6.8800000000000008</v>
      </c>
      <c r="L261" s="68">
        <f t="shared" si="127"/>
        <v>7.7400000000000011</v>
      </c>
      <c r="M261" s="68">
        <f t="shared" si="127"/>
        <v>8.6000000000000014</v>
      </c>
      <c r="N261" s="68">
        <f t="shared" si="127"/>
        <v>9.4600000000000009</v>
      </c>
      <c r="O261" s="68">
        <f t="shared" si="127"/>
        <v>10.32</v>
      </c>
      <c r="P261" s="68">
        <f t="shared" si="127"/>
        <v>11.18</v>
      </c>
      <c r="Q261" s="68">
        <f t="shared" si="127"/>
        <v>12.04</v>
      </c>
      <c r="R261" s="68">
        <f t="shared" si="127"/>
        <v>12.899999999999999</v>
      </c>
      <c r="S261" s="68">
        <f t="shared" si="127"/>
        <v>13.759999999999998</v>
      </c>
      <c r="T261" s="68">
        <f t="shared" si="127"/>
        <v>14.619999999999997</v>
      </c>
      <c r="U261" s="68">
        <f t="shared" si="127"/>
        <v>15.479999999999997</v>
      </c>
      <c r="V261" s="68">
        <f t="shared" si="127"/>
        <v>16.339999999999996</v>
      </c>
      <c r="W261" s="58">
        <f>LWL</f>
        <v>17.2</v>
      </c>
    </row>
    <row r="262" spans="1:23" x14ac:dyDescent="0.2">
      <c r="A262" s="93" t="s">
        <v>59</v>
      </c>
      <c r="B262" s="68"/>
      <c r="C262" s="68">
        <f t="shared" ref="C262:W262" si="128">Interpolate($B$116:$B$140,C116:C140,$F$257)</f>
        <v>-1.4640228271446827E-2</v>
      </c>
      <c r="D262" s="68">
        <f t="shared" si="128"/>
        <v>0.68493945852309979</v>
      </c>
      <c r="E262" s="68">
        <f t="shared" si="128"/>
        <v>1.1371557548764588</v>
      </c>
      <c r="F262" s="68">
        <f t="shared" si="128"/>
        <v>1.3664220334526691</v>
      </c>
      <c r="G262" s="68">
        <f t="shared" si="128"/>
        <v>1.4951822338292522</v>
      </c>
      <c r="H262" s="68">
        <f t="shared" si="128"/>
        <v>1.5605091670407227</v>
      </c>
      <c r="I262" s="68">
        <f t="shared" si="128"/>
        <v>1.5934864531858359</v>
      </c>
      <c r="J262" s="68">
        <f t="shared" si="128"/>
        <v>1.6034392702696798</v>
      </c>
      <c r="K262" s="68">
        <f t="shared" si="128"/>
        <v>1.609879544337929</v>
      </c>
      <c r="L262" s="68">
        <f t="shared" si="128"/>
        <v>1.6134861527272468</v>
      </c>
      <c r="M262" s="68">
        <f t="shared" si="128"/>
        <v>1.6146465018531475</v>
      </c>
      <c r="N262" s="68">
        <f t="shared" si="128"/>
        <v>1.6134861527272468</v>
      </c>
      <c r="O262" s="68">
        <f t="shared" si="128"/>
        <v>1.609879544337929</v>
      </c>
      <c r="P262" s="68">
        <f t="shared" si="128"/>
        <v>1.6034392702696798</v>
      </c>
      <c r="Q262" s="68">
        <f t="shared" si="128"/>
        <v>1.5422573162523998</v>
      </c>
      <c r="R262" s="68">
        <f t="shared" si="128"/>
        <v>1.4084984572119044</v>
      </c>
      <c r="S262" s="68">
        <f t="shared" si="128"/>
        <v>1.1630436555795045</v>
      </c>
      <c r="T262" s="68">
        <f t="shared" si="128"/>
        <v>0.81952864026064998</v>
      </c>
      <c r="U262" s="68">
        <f t="shared" si="128"/>
        <v>0.49518435726327148</v>
      </c>
      <c r="V262" s="68">
        <f t="shared" si="128"/>
        <v>0.20675432786792999</v>
      </c>
      <c r="W262" s="94">
        <f t="shared" si="128"/>
        <v>0</v>
      </c>
    </row>
    <row r="263" spans="1:23" x14ac:dyDescent="0.2">
      <c r="A263" s="93" t="s">
        <v>60</v>
      </c>
      <c r="B263" s="68"/>
      <c r="C263" s="68">
        <f t="shared" ref="C263:W263" si="129">Interpolate($B$145:$B$169,C145:C169,$F$257)</f>
        <v>-1.5623603952037821E-3</v>
      </c>
      <c r="D263" s="68">
        <f t="shared" si="129"/>
        <v>9.7423063814927935E-2</v>
      </c>
      <c r="E263" s="68">
        <f t="shared" si="129"/>
        <v>0.32264605304416993</v>
      </c>
      <c r="F263" s="68">
        <f t="shared" si="129"/>
        <v>0.55743086077273951</v>
      </c>
      <c r="G263" s="68">
        <f t="shared" si="129"/>
        <v>0.74145216930092062</v>
      </c>
      <c r="H263" s="68">
        <f t="shared" si="129"/>
        <v>0.8606651202526483</v>
      </c>
      <c r="I263" s="68">
        <f t="shared" si="129"/>
        <v>0.93716863837228925</v>
      </c>
      <c r="J263" s="68">
        <f t="shared" si="129"/>
        <v>0.9641402357129043</v>
      </c>
      <c r="K263" s="68">
        <f t="shared" si="129"/>
        <v>0.98335504567123955</v>
      </c>
      <c r="L263" s="68">
        <f t="shared" si="129"/>
        <v>0.99486046122474769</v>
      </c>
      <c r="M263" s="68">
        <f t="shared" si="129"/>
        <v>0.99869446544915808</v>
      </c>
      <c r="N263" s="68">
        <f t="shared" si="129"/>
        <v>0.99486046122474769</v>
      </c>
      <c r="O263" s="68">
        <f t="shared" si="129"/>
        <v>0.98335504567123921</v>
      </c>
      <c r="P263" s="68">
        <f t="shared" si="129"/>
        <v>0.96414023571290408</v>
      </c>
      <c r="Q263" s="68">
        <f t="shared" si="129"/>
        <v>0.90263655157226119</v>
      </c>
      <c r="R263" s="68">
        <f t="shared" si="129"/>
        <v>0.76763301351046942</v>
      </c>
      <c r="S263" s="68">
        <f t="shared" si="129"/>
        <v>0.5685234112880545</v>
      </c>
      <c r="T263" s="68">
        <f t="shared" si="129"/>
        <v>0.34164397513775335</v>
      </c>
      <c r="U263" s="68">
        <f t="shared" si="129"/>
        <v>0.18888250341015822</v>
      </c>
      <c r="V263" s="68">
        <f t="shared" si="129"/>
        <v>7.344589170242552E-2</v>
      </c>
      <c r="W263" s="94">
        <f t="shared" si="129"/>
        <v>0</v>
      </c>
    </row>
    <row r="264" spans="1:23" x14ac:dyDescent="0.2">
      <c r="A264" s="93" t="s">
        <v>56</v>
      </c>
      <c r="B264" s="68"/>
      <c r="C264" s="68">
        <f t="shared" ref="C264:W264" si="130">Interpolate($B$173:$B$197,C173:C197,$F$257)</f>
        <v>-1.5180800951291008E-3</v>
      </c>
      <c r="D264" s="68">
        <f t="shared" si="130"/>
        <v>8.5765789098720568E-2</v>
      </c>
      <c r="E264" s="68">
        <f t="shared" si="130"/>
        <v>0.25556344963334388</v>
      </c>
      <c r="F264" s="68">
        <f t="shared" si="130"/>
        <v>0.40381602269743588</v>
      </c>
      <c r="G264" s="68">
        <f t="shared" si="130"/>
        <v>0.50515494667348049</v>
      </c>
      <c r="H264" s="68">
        <f t="shared" si="130"/>
        <v>0.56666409094019832</v>
      </c>
      <c r="I264" s="68">
        <f t="shared" si="130"/>
        <v>0.60244246256877998</v>
      </c>
      <c r="J264" s="68">
        <f t="shared" si="130"/>
        <v>0.61421260116652521</v>
      </c>
      <c r="K264" s="68">
        <f t="shared" si="130"/>
        <v>0.62239771518167042</v>
      </c>
      <c r="L264" s="68">
        <f t="shared" si="130"/>
        <v>0.62721289434058425</v>
      </c>
      <c r="M264" s="68">
        <f t="shared" si="130"/>
        <v>0.62880213968061527</v>
      </c>
      <c r="N264" s="68">
        <f t="shared" si="130"/>
        <v>0.62721289434058425</v>
      </c>
      <c r="O264" s="68">
        <f t="shared" si="130"/>
        <v>0.6223977151816702</v>
      </c>
      <c r="P264" s="68">
        <f t="shared" si="130"/>
        <v>0.61421260116652499</v>
      </c>
      <c r="Q264" s="68">
        <f t="shared" si="130"/>
        <v>0.58138426700090684</v>
      </c>
      <c r="R264" s="68">
        <f t="shared" si="130"/>
        <v>0.50849544481536157</v>
      </c>
      <c r="S264" s="68">
        <f t="shared" si="130"/>
        <v>0.3916621244980999</v>
      </c>
      <c r="T264" s="68">
        <f t="shared" si="130"/>
        <v>0.24656573657684117</v>
      </c>
      <c r="U264" s="68">
        <f t="shared" si="130"/>
        <v>0.14389708292328585</v>
      </c>
      <c r="V264" s="68">
        <f t="shared" si="130"/>
        <v>5.9104449460919944E-2</v>
      </c>
      <c r="W264" s="94">
        <f t="shared" si="130"/>
        <v>0</v>
      </c>
    </row>
    <row r="265" spans="1:23" x14ac:dyDescent="0.2">
      <c r="A265" s="93" t="s">
        <v>55</v>
      </c>
      <c r="B265" s="68"/>
      <c r="C265" s="68">
        <f t="shared" ref="C265:W265" si="131">Interpolate($B$202:$B$226,C202:C226,$F$257)</f>
        <v>5.4664841513354392E-5</v>
      </c>
      <c r="D265" s="68">
        <f t="shared" si="131"/>
        <v>2.1481767610615252E-2</v>
      </c>
      <c r="E265" s="68">
        <f t="shared" si="131"/>
        <v>0.12500974397514492</v>
      </c>
      <c r="F265" s="68">
        <f t="shared" si="131"/>
        <v>0.27358602864967779</v>
      </c>
      <c r="G265" s="68">
        <f t="shared" si="131"/>
        <v>0.41593028059611575</v>
      </c>
      <c r="H265" s="68">
        <f t="shared" si="131"/>
        <v>0.52378818332918786</v>
      </c>
      <c r="I265" s="68">
        <f t="shared" si="131"/>
        <v>0.59581651239561229</v>
      </c>
      <c r="J265" s="68">
        <f t="shared" si="131"/>
        <v>0.62080490070384253</v>
      </c>
      <c r="K265" s="68">
        <f t="shared" si="131"/>
        <v>0.63877843788549415</v>
      </c>
      <c r="L265" s="68">
        <f t="shared" si="131"/>
        <v>0.64958278921243451</v>
      </c>
      <c r="M265" s="68">
        <f t="shared" si="131"/>
        <v>0.65318693363688907</v>
      </c>
      <c r="N265" s="68">
        <f t="shared" si="131"/>
        <v>0.64958278921243462</v>
      </c>
      <c r="O265" s="68">
        <f t="shared" si="131"/>
        <v>0.63877843788549371</v>
      </c>
      <c r="P265" s="68">
        <f t="shared" si="131"/>
        <v>0.62080490070384231</v>
      </c>
      <c r="Q265" s="68">
        <f t="shared" si="131"/>
        <v>0.55379679821885064</v>
      </c>
      <c r="R265" s="68">
        <f t="shared" si="131"/>
        <v>0.42207234633789714</v>
      </c>
      <c r="S265" s="68">
        <f t="shared" si="131"/>
        <v>0.25119676938938318</v>
      </c>
      <c r="T265" s="68">
        <f t="shared" si="131"/>
        <v>0.10192051124899329</v>
      </c>
      <c r="U265" s="68">
        <f t="shared" si="131"/>
        <v>3.701613723106649E-2</v>
      </c>
      <c r="V265" s="68">
        <f t="shared" si="131"/>
        <v>7.1729184638023493E-3</v>
      </c>
      <c r="W265" s="94">
        <f t="shared" si="131"/>
        <v>0</v>
      </c>
    </row>
    <row r="266" spans="1:23" x14ac:dyDescent="0.2">
      <c r="A266" s="93" t="s">
        <v>87</v>
      </c>
      <c r="B266" s="68"/>
      <c r="C266" s="68">
        <f t="shared" ref="C266:W266" si="132">Interpolate($B$231:$B$255,C231:C255,$F$257)</f>
        <v>0.99798618491763613</v>
      </c>
      <c r="D266" s="68">
        <f t="shared" si="132"/>
        <v>1.4065391015414841</v>
      </c>
      <c r="E266" s="68">
        <f t="shared" si="132"/>
        <v>1.6576717673839816</v>
      </c>
      <c r="F266" s="68">
        <f t="shared" si="132"/>
        <v>1.7656916159102116</v>
      </c>
      <c r="G266" s="68">
        <f t="shared" si="132"/>
        <v>1.8471269943374446</v>
      </c>
      <c r="H266" s="68">
        <f t="shared" si="132"/>
        <v>1.9579110649907279</v>
      </c>
      <c r="I266" s="68">
        <f t="shared" si="132"/>
        <v>2.0086427390678843</v>
      </c>
      <c r="J266" s="68">
        <f t="shared" si="132"/>
        <v>2.0165182968001378</v>
      </c>
      <c r="K266" s="68">
        <f t="shared" si="132"/>
        <v>2.021423618263368</v>
      </c>
      <c r="L266" s="68">
        <f t="shared" si="132"/>
        <v>2.024293153343951</v>
      </c>
      <c r="M266" s="68">
        <f t="shared" si="132"/>
        <v>2.0252682785851168</v>
      </c>
      <c r="N266" s="68">
        <f t="shared" si="132"/>
        <v>2.024293153343951</v>
      </c>
      <c r="O266" s="68">
        <f t="shared" si="132"/>
        <v>2.021423618263368</v>
      </c>
      <c r="P266" s="68">
        <f t="shared" si="132"/>
        <v>2.0165182968001378</v>
      </c>
      <c r="Q266" s="68">
        <f t="shared" si="132"/>
        <v>1.9578783945424947</v>
      </c>
      <c r="R266" s="68">
        <f t="shared" si="132"/>
        <v>1.7970817135107358</v>
      </c>
      <c r="S266" s="68">
        <f t="shared" si="132"/>
        <v>1.5973320668428577</v>
      </c>
      <c r="T266" s="68">
        <f t="shared" si="132"/>
        <v>1.3454748985386553</v>
      </c>
      <c r="U266" s="68">
        <f t="shared" si="132"/>
        <v>1.171278110455328</v>
      </c>
      <c r="V266" s="68">
        <f t="shared" si="132"/>
        <v>1.057621696205008</v>
      </c>
      <c r="W266" s="94">
        <f t="shared" si="132"/>
        <v>0</v>
      </c>
    </row>
    <row r="267" spans="1:23" ht="13.5" thickBot="1" x14ac:dyDescent="0.25">
      <c r="A267" s="95" t="s">
        <v>82</v>
      </c>
      <c r="B267" s="96"/>
      <c r="C267" s="59">
        <f>C261-$C$279</f>
        <v>-8.0212437317644838</v>
      </c>
      <c r="D267" s="59">
        <f>D261-$C$279</f>
        <v>-7.1612437317644835</v>
      </c>
      <c r="E267" s="59">
        <f>E261-$C$279</f>
        <v>-6.301243731764484</v>
      </c>
      <c r="F267" s="59">
        <f>F261-$C$279</f>
        <v>-5.4412437317644837</v>
      </c>
      <c r="G267" s="59">
        <f t="shared" ref="G267:W267" si="133">G261-$C$279</f>
        <v>-4.5812437317644843</v>
      </c>
      <c r="H267" s="59">
        <f t="shared" si="133"/>
        <v>-3.721243731764484</v>
      </c>
      <c r="I267" s="59">
        <f t="shared" si="133"/>
        <v>-2.8612437317644837</v>
      </c>
      <c r="J267" s="59">
        <f t="shared" si="133"/>
        <v>-2.0012437317644833</v>
      </c>
      <c r="K267" s="59">
        <f t="shared" si="133"/>
        <v>-1.141243731764483</v>
      </c>
      <c r="L267" s="59">
        <f t="shared" si="133"/>
        <v>-0.2812437317644827</v>
      </c>
      <c r="M267" s="59">
        <f t="shared" si="133"/>
        <v>0.57875626823551762</v>
      </c>
      <c r="N267" s="59">
        <f t="shared" si="133"/>
        <v>1.4387562682355171</v>
      </c>
      <c r="O267" s="59">
        <f t="shared" si="133"/>
        <v>2.2987562682355165</v>
      </c>
      <c r="P267" s="59">
        <f t="shared" si="133"/>
        <v>3.1587562682355159</v>
      </c>
      <c r="Q267" s="59">
        <f t="shared" si="133"/>
        <v>4.0187562682355153</v>
      </c>
      <c r="R267" s="59">
        <f t="shared" si="133"/>
        <v>4.8787562682355148</v>
      </c>
      <c r="S267" s="59">
        <f t="shared" si="133"/>
        <v>5.7387562682355142</v>
      </c>
      <c r="T267" s="59">
        <f t="shared" si="133"/>
        <v>6.5987562682355136</v>
      </c>
      <c r="U267" s="59">
        <f t="shared" si="133"/>
        <v>7.4587562682355131</v>
      </c>
      <c r="V267" s="59">
        <f t="shared" si="133"/>
        <v>8.3187562682355125</v>
      </c>
      <c r="W267" s="60">
        <f t="shared" si="133"/>
        <v>9.1787562682355155</v>
      </c>
    </row>
    <row r="268" spans="1:23" x14ac:dyDescent="0.2">
      <c r="A268" t="s">
        <v>63</v>
      </c>
      <c r="B268"/>
      <c r="C268" s="21">
        <f>2*$F$258/3*SUMPRODUCT(C$259:W$259,C263:W263)</f>
        <v>22.770987511832541</v>
      </c>
      <c r="D268" t="s">
        <v>64</v>
      </c>
      <c r="E268"/>
      <c r="F268"/>
      <c r="G268"/>
      <c r="H268"/>
      <c r="I268"/>
      <c r="J268"/>
      <c r="K268"/>
      <c r="L268"/>
      <c r="M268"/>
      <c r="N268"/>
      <c r="O268"/>
      <c r="P268"/>
      <c r="Q268"/>
      <c r="R268"/>
      <c r="S268"/>
      <c r="T268"/>
      <c r="U268"/>
      <c r="V268"/>
    </row>
    <row r="269" spans="1:23" x14ac:dyDescent="0.2">
      <c r="A269" s="4" t="s">
        <v>65</v>
      </c>
      <c r="B269"/>
      <c r="C269" s="21">
        <f>2*$F$258/3*SUMPRODUCT(C$259:W$259,C264:W264)</f>
        <v>14.97485653966859</v>
      </c>
      <c r="D269"/>
      <c r="E269"/>
      <c r="F269"/>
      <c r="G269"/>
      <c r="H269"/>
      <c r="I269"/>
      <c r="J269"/>
      <c r="K269"/>
      <c r="L269"/>
      <c r="M269"/>
      <c r="N269"/>
      <c r="O269"/>
      <c r="P269"/>
      <c r="Q269"/>
      <c r="R269"/>
      <c r="S269"/>
      <c r="T269"/>
      <c r="U269"/>
      <c r="V269"/>
    </row>
    <row r="270" spans="1:23" ht="15.75" x14ac:dyDescent="0.3">
      <c r="A270" s="4" t="s">
        <v>71</v>
      </c>
      <c r="B270"/>
      <c r="C270" s="21">
        <f>2/3*F258/3*SUMPRODUCT(C259:W259,C262:W262,C262:W262,C262:W262)</f>
        <v>30.623885996537815</v>
      </c>
      <c r="D270"/>
      <c r="E270"/>
      <c r="F270"/>
      <c r="G270"/>
      <c r="H270"/>
      <c r="I270"/>
      <c r="J270"/>
      <c r="K270"/>
      <c r="L270"/>
      <c r="M270"/>
      <c r="N270"/>
      <c r="O270"/>
      <c r="P270"/>
      <c r="Q270"/>
      <c r="R270"/>
      <c r="S270"/>
      <c r="T270"/>
      <c r="U270"/>
      <c r="V270"/>
    </row>
    <row r="271" spans="1:23" x14ac:dyDescent="0.2">
      <c r="A271" s="4" t="s">
        <v>66</v>
      </c>
      <c r="B271"/>
      <c r="C271" s="21">
        <f>2*$F$258/3*SUMPRODUCT(C$259:AQ$259,C263:AQ263,C261:AQ261)</f>
        <v>189.30137869394181</v>
      </c>
      <c r="D271"/>
      <c r="E271"/>
      <c r="F271"/>
      <c r="G271"/>
      <c r="H271"/>
      <c r="I271"/>
      <c r="J271"/>
      <c r="K271"/>
      <c r="L271"/>
      <c r="M271"/>
      <c r="N271"/>
      <c r="O271"/>
      <c r="P271"/>
      <c r="Q271"/>
      <c r="R271"/>
      <c r="S271"/>
      <c r="T271"/>
      <c r="U271"/>
      <c r="V271"/>
    </row>
    <row r="272" spans="1:23" x14ac:dyDescent="0.2">
      <c r="A272" s="4" t="s">
        <v>67</v>
      </c>
      <c r="B272"/>
      <c r="C272" s="21">
        <f>2*$F$258/3*SUMPRODUCT(C$259:W$259,C262:W262)</f>
        <v>42.672513270600312</v>
      </c>
      <c r="D272"/>
      <c r="E272"/>
      <c r="F272"/>
      <c r="G272"/>
      <c r="H272"/>
      <c r="I272"/>
      <c r="J272"/>
      <c r="K272"/>
      <c r="L272"/>
      <c r="M272"/>
      <c r="N272"/>
      <c r="O272"/>
      <c r="P272"/>
      <c r="Q272"/>
      <c r="R272"/>
      <c r="S272"/>
      <c r="T272"/>
      <c r="U272"/>
      <c r="V272"/>
    </row>
    <row r="273" spans="1:23" x14ac:dyDescent="0.2">
      <c r="A273" s="4" t="s">
        <v>68</v>
      </c>
      <c r="B273"/>
      <c r="C273" s="21">
        <f>C271/C268</f>
        <v>8.3132704980657817</v>
      </c>
      <c r="D273"/>
      <c r="E273"/>
      <c r="F273"/>
      <c r="G273"/>
      <c r="H273"/>
      <c r="I273"/>
      <c r="J273"/>
      <c r="K273"/>
      <c r="L273"/>
      <c r="M273"/>
      <c r="N273"/>
      <c r="O273"/>
      <c r="P273"/>
      <c r="Q273"/>
      <c r="R273"/>
      <c r="S273"/>
      <c r="T273"/>
      <c r="U273"/>
      <c r="V273"/>
    </row>
    <row r="274" spans="1:23" x14ac:dyDescent="0.2">
      <c r="A274" s="4" t="s">
        <v>69</v>
      </c>
      <c r="B274"/>
      <c r="C274" s="21">
        <f>C269/C268</f>
        <v>0.65762877134279618</v>
      </c>
      <c r="D274"/>
      <c r="E274"/>
      <c r="F274"/>
      <c r="G274"/>
      <c r="H274"/>
      <c r="I274"/>
      <c r="J274"/>
      <c r="K274"/>
      <c r="L274"/>
      <c r="M274"/>
      <c r="N274"/>
      <c r="O274"/>
      <c r="P274"/>
      <c r="Q274"/>
      <c r="R274"/>
      <c r="S274"/>
      <c r="T274"/>
      <c r="U274"/>
      <c r="V274"/>
    </row>
    <row r="275" spans="1:23" ht="15.75" x14ac:dyDescent="0.3">
      <c r="A275" s="4" t="s">
        <v>72</v>
      </c>
      <c r="B275"/>
      <c r="C275">
        <f>C270/C268</f>
        <v>1.3448642040941199</v>
      </c>
      <c r="D275"/>
      <c r="E275"/>
      <c r="F275"/>
      <c r="G275"/>
      <c r="H275"/>
      <c r="I275"/>
      <c r="J275"/>
      <c r="K275"/>
      <c r="L275"/>
      <c r="M275"/>
      <c r="N275"/>
      <c r="O275"/>
      <c r="P275"/>
      <c r="Q275"/>
      <c r="R275"/>
      <c r="S275"/>
      <c r="T275"/>
      <c r="U275"/>
      <c r="V275"/>
    </row>
    <row r="276" spans="1:23" x14ac:dyDescent="0.2">
      <c r="A276" t="s">
        <v>77</v>
      </c>
      <c r="B276"/>
      <c r="C276">
        <f>2*MAX(C263:W263)</f>
        <v>1.9973889308983162</v>
      </c>
      <c r="D276" t="s">
        <v>75</v>
      </c>
      <c r="E276"/>
      <c r="F276"/>
      <c r="G276"/>
      <c r="H276"/>
      <c r="I276"/>
      <c r="J276"/>
      <c r="K276"/>
      <c r="L276"/>
      <c r="M276"/>
      <c r="N276"/>
      <c r="O276"/>
      <c r="P276"/>
      <c r="Q276"/>
      <c r="R276"/>
      <c r="S276"/>
      <c r="T276"/>
      <c r="U276"/>
      <c r="V276"/>
    </row>
    <row r="277" spans="1:23" ht="15.75" x14ac:dyDescent="0.3">
      <c r="A277" s="1" t="s">
        <v>80</v>
      </c>
      <c r="B277"/>
      <c r="C277">
        <f>2*F258/3*SUMPRODUCT(C259:AQ259,C267:AQ267,C267:AQ267,C262:AQ262)</f>
        <v>692.82308561235357</v>
      </c>
      <c r="D277"/>
      <c r="E277"/>
      <c r="F277"/>
      <c r="G277"/>
      <c r="H277"/>
      <c r="I277"/>
      <c r="J277"/>
      <c r="K277"/>
      <c r="L277"/>
      <c r="M277"/>
      <c r="N277"/>
      <c r="O277"/>
      <c r="P277"/>
      <c r="Q277"/>
      <c r="R277"/>
      <c r="S277"/>
      <c r="T277"/>
      <c r="U277"/>
      <c r="V277"/>
    </row>
    <row r="278" spans="1:23" ht="15.75" x14ac:dyDescent="0.3">
      <c r="A278" t="s">
        <v>79</v>
      </c>
      <c r="B278"/>
      <c r="C278">
        <f>C277/C268</f>
        <v>30.425693451034583</v>
      </c>
      <c r="D278"/>
      <c r="E278"/>
      <c r="F278"/>
      <c r="G278"/>
      <c r="H278"/>
      <c r="I278"/>
      <c r="J278"/>
      <c r="K278"/>
      <c r="L278"/>
      <c r="M278"/>
      <c r="N278"/>
      <c r="O278"/>
      <c r="P278"/>
      <c r="Q278"/>
      <c r="R278"/>
      <c r="S278"/>
      <c r="T278"/>
      <c r="U278"/>
      <c r="V278"/>
    </row>
    <row r="279" spans="1:23" x14ac:dyDescent="0.2">
      <c r="A279" t="s">
        <v>81</v>
      </c>
      <c r="B279"/>
      <c r="C279">
        <f>2*$F$258/3*SUMPRODUCT(C$259:W$259,C262:W262,C261:W261)/C272</f>
        <v>8.0212437317644838</v>
      </c>
      <c r="D279"/>
      <c r="E279"/>
      <c r="F279"/>
      <c r="G279"/>
      <c r="H279"/>
      <c r="I279"/>
      <c r="J279"/>
      <c r="K279"/>
      <c r="L279"/>
      <c r="M279"/>
      <c r="N279"/>
      <c r="O279"/>
      <c r="P279"/>
      <c r="Q279"/>
      <c r="R279"/>
      <c r="S279"/>
      <c r="T279"/>
      <c r="U279"/>
      <c r="V279"/>
    </row>
    <row r="280" spans="1:23" x14ac:dyDescent="0.2">
      <c r="A280" t="s">
        <v>88</v>
      </c>
      <c r="B280"/>
      <c r="C280">
        <f>2*$F$258/3*SUMPRODUCT(C$259:W$259,C266:W266)*Transform!Q45</f>
        <v>59.203460279289025</v>
      </c>
      <c r="D280" t="s">
        <v>75</v>
      </c>
      <c r="E280"/>
      <c r="F280"/>
      <c r="G280"/>
      <c r="H280"/>
      <c r="I280"/>
      <c r="J280"/>
      <c r="K280"/>
      <c r="L280"/>
      <c r="M280"/>
      <c r="N280"/>
      <c r="O280"/>
      <c r="P280"/>
      <c r="Q280"/>
      <c r="R280"/>
      <c r="S280"/>
      <c r="T280"/>
      <c r="U280"/>
      <c r="V280"/>
    </row>
    <row r="281" spans="1:23" x14ac:dyDescent="0.2">
      <c r="A281" t="s">
        <v>32</v>
      </c>
      <c r="B281"/>
      <c r="C281">
        <f>C272/(Input!C55*Input!C56)</f>
        <v>0.76826725571965326</v>
      </c>
      <c r="D281"/>
      <c r="E281"/>
      <c r="F281"/>
      <c r="G281"/>
      <c r="H281"/>
      <c r="I281"/>
      <c r="J281"/>
      <c r="K281"/>
      <c r="L281"/>
      <c r="M281"/>
      <c r="N281"/>
      <c r="O281"/>
      <c r="P281"/>
      <c r="Q281"/>
      <c r="R281"/>
      <c r="S281"/>
      <c r="T281"/>
      <c r="U281"/>
      <c r="V281"/>
    </row>
    <row r="282" spans="1:23" x14ac:dyDescent="0.2">
      <c r="A282"/>
      <c r="B282"/>
      <c r="C282"/>
      <c r="D282"/>
      <c r="E282"/>
      <c r="F282"/>
      <c r="G282"/>
      <c r="H282"/>
      <c r="I282"/>
      <c r="J282"/>
      <c r="K282"/>
      <c r="L282"/>
      <c r="M282"/>
      <c r="N282"/>
      <c r="O282"/>
      <c r="P282"/>
      <c r="Q282"/>
      <c r="R282"/>
      <c r="S282"/>
      <c r="T282"/>
      <c r="U282"/>
      <c r="V282"/>
    </row>
    <row r="284" spans="1:23" x14ac:dyDescent="0.2">
      <c r="A284" s="91" t="s">
        <v>9</v>
      </c>
      <c r="B284" s="19"/>
      <c r="C284" s="19"/>
      <c r="D284" s="19"/>
      <c r="E284" s="19" t="s">
        <v>8</v>
      </c>
      <c r="F284" s="19">
        <f>T</f>
        <v>0.75900000000000001</v>
      </c>
      <c r="G284" s="19" t="s">
        <v>61</v>
      </c>
      <c r="H284" s="19"/>
      <c r="I284" s="19"/>
      <c r="J284" s="19"/>
      <c r="K284" s="19"/>
      <c r="L284" s="19"/>
      <c r="M284" s="19"/>
      <c r="N284" s="19"/>
      <c r="O284" s="19"/>
      <c r="P284" s="19"/>
      <c r="Q284" s="19"/>
      <c r="R284" s="19"/>
      <c r="S284" s="19"/>
      <c r="T284" s="19"/>
      <c r="U284" s="19"/>
      <c r="V284" s="19"/>
    </row>
    <row r="285" spans="1:23" ht="13.5" thickBot="1" x14ac:dyDescent="0.25">
      <c r="A285" s="91"/>
      <c r="B285" s="19"/>
      <c r="C285" s="19"/>
      <c r="D285" s="19"/>
      <c r="E285" s="19" t="s">
        <v>85</v>
      </c>
      <c r="F285" s="19">
        <f>D288</f>
        <v>0.86</v>
      </c>
      <c r="G285" s="19" t="s">
        <v>61</v>
      </c>
      <c r="H285" s="19"/>
      <c r="I285" s="19"/>
      <c r="J285" s="19"/>
      <c r="K285" s="19"/>
      <c r="L285" s="19"/>
      <c r="M285" s="19"/>
      <c r="N285" s="19"/>
      <c r="O285" s="19"/>
      <c r="P285" s="19"/>
      <c r="Q285" s="19"/>
      <c r="R285" s="19"/>
      <c r="S285" s="19"/>
      <c r="T285" s="19"/>
      <c r="U285" s="19"/>
      <c r="V285" s="19"/>
    </row>
    <row r="286" spans="1:23" x14ac:dyDescent="0.2">
      <c r="A286" s="92" t="s">
        <v>62</v>
      </c>
      <c r="B286" s="72"/>
      <c r="C286" s="72">
        <v>1</v>
      </c>
      <c r="D286" s="72">
        <v>4</v>
      </c>
      <c r="E286" s="72">
        <v>2</v>
      </c>
      <c r="F286" s="72">
        <v>4</v>
      </c>
      <c r="G286" s="72">
        <v>2</v>
      </c>
      <c r="H286" s="72">
        <v>4</v>
      </c>
      <c r="I286" s="72">
        <v>2</v>
      </c>
      <c r="J286" s="72">
        <v>4</v>
      </c>
      <c r="K286" s="72">
        <v>2</v>
      </c>
      <c r="L286" s="72">
        <v>4</v>
      </c>
      <c r="M286" s="72">
        <v>2</v>
      </c>
      <c r="N286" s="72">
        <v>4</v>
      </c>
      <c r="O286" s="72">
        <v>2</v>
      </c>
      <c r="P286" s="72">
        <v>4</v>
      </c>
      <c r="Q286" s="72">
        <v>2</v>
      </c>
      <c r="R286" s="72">
        <v>4</v>
      </c>
      <c r="S286" s="72">
        <v>2</v>
      </c>
      <c r="T286" s="72">
        <v>4</v>
      </c>
      <c r="U286" s="72">
        <v>2</v>
      </c>
      <c r="V286" s="72">
        <v>4</v>
      </c>
      <c r="W286" s="73">
        <v>1</v>
      </c>
    </row>
    <row r="287" spans="1:23" x14ac:dyDescent="0.2">
      <c r="A287" s="93" t="s">
        <v>57</v>
      </c>
      <c r="B287" s="68"/>
      <c r="C287" s="68">
        <v>21</v>
      </c>
      <c r="D287" s="68">
        <v>20</v>
      </c>
      <c r="E287" s="68">
        <v>19</v>
      </c>
      <c r="F287" s="68">
        <v>18</v>
      </c>
      <c r="G287" s="68">
        <v>17</v>
      </c>
      <c r="H287" s="68">
        <v>16</v>
      </c>
      <c r="I287" s="68">
        <v>15</v>
      </c>
      <c r="J287" s="68">
        <v>14</v>
      </c>
      <c r="K287" s="68">
        <v>13</v>
      </c>
      <c r="L287" s="68">
        <v>12</v>
      </c>
      <c r="M287" s="68">
        <v>11</v>
      </c>
      <c r="N287" s="68">
        <v>10</v>
      </c>
      <c r="O287" s="68">
        <v>9</v>
      </c>
      <c r="P287" s="68">
        <v>8</v>
      </c>
      <c r="Q287" s="68">
        <v>7</v>
      </c>
      <c r="R287" s="68">
        <v>6</v>
      </c>
      <c r="S287" s="68">
        <v>5</v>
      </c>
      <c r="T287" s="68">
        <v>4</v>
      </c>
      <c r="U287" s="68">
        <v>3</v>
      </c>
      <c r="V287" s="68">
        <v>2</v>
      </c>
      <c r="W287" s="94">
        <v>1</v>
      </c>
    </row>
    <row r="288" spans="1:23" x14ac:dyDescent="0.2">
      <c r="A288" s="93" t="s">
        <v>58</v>
      </c>
      <c r="B288" s="68"/>
      <c r="C288" s="68">
        <v>0</v>
      </c>
      <c r="D288" s="68">
        <f t="shared" ref="D288:V288" si="134">C288+$W$115/20</f>
        <v>0.86</v>
      </c>
      <c r="E288" s="68">
        <f t="shared" si="134"/>
        <v>1.72</v>
      </c>
      <c r="F288" s="68">
        <f t="shared" si="134"/>
        <v>2.58</v>
      </c>
      <c r="G288" s="68">
        <f t="shared" si="134"/>
        <v>3.44</v>
      </c>
      <c r="H288" s="68">
        <f t="shared" si="134"/>
        <v>4.3</v>
      </c>
      <c r="I288" s="68">
        <f t="shared" si="134"/>
        <v>5.16</v>
      </c>
      <c r="J288" s="68">
        <f t="shared" si="134"/>
        <v>6.0200000000000005</v>
      </c>
      <c r="K288" s="68">
        <f t="shared" si="134"/>
        <v>6.8800000000000008</v>
      </c>
      <c r="L288" s="68">
        <f t="shared" si="134"/>
        <v>7.7400000000000011</v>
      </c>
      <c r="M288" s="68">
        <f t="shared" si="134"/>
        <v>8.6000000000000014</v>
      </c>
      <c r="N288" s="68">
        <f t="shared" si="134"/>
        <v>9.4600000000000009</v>
      </c>
      <c r="O288" s="68">
        <f t="shared" si="134"/>
        <v>10.32</v>
      </c>
      <c r="P288" s="68">
        <f t="shared" si="134"/>
        <v>11.18</v>
      </c>
      <c r="Q288" s="68">
        <f t="shared" si="134"/>
        <v>12.04</v>
      </c>
      <c r="R288" s="68">
        <f t="shared" si="134"/>
        <v>12.899999999999999</v>
      </c>
      <c r="S288" s="68">
        <f t="shared" si="134"/>
        <v>13.759999999999998</v>
      </c>
      <c r="T288" s="68">
        <f t="shared" si="134"/>
        <v>14.619999999999997</v>
      </c>
      <c r="U288" s="68">
        <f t="shared" si="134"/>
        <v>15.479999999999997</v>
      </c>
      <c r="V288" s="68">
        <f t="shared" si="134"/>
        <v>16.339999999999996</v>
      </c>
      <c r="W288" s="58">
        <f>LWL</f>
        <v>17.2</v>
      </c>
    </row>
    <row r="289" spans="1:23" x14ac:dyDescent="0.2">
      <c r="A289" s="93" t="s">
        <v>59</v>
      </c>
      <c r="B289" s="68"/>
      <c r="C289" s="68">
        <f t="shared" ref="C289:W289" si="135">Interpolate($B$116:$B$140,C116:C140,$F$284)</f>
        <v>1.2498901233240394E-2</v>
      </c>
      <c r="D289" s="68">
        <f t="shared" si="135"/>
        <v>0.16625005644986315</v>
      </c>
      <c r="E289" s="68">
        <f t="shared" si="135"/>
        <v>0.71659773886041667</v>
      </c>
      <c r="F289" s="68">
        <f t="shared" si="135"/>
        <v>1.0894480443659298</v>
      </c>
      <c r="G289" s="68">
        <f t="shared" si="135"/>
        <v>1.2854575434549729</v>
      </c>
      <c r="H289" s="68">
        <f t="shared" si="135"/>
        <v>1.3917478256940139</v>
      </c>
      <c r="I289" s="68">
        <f t="shared" si="135"/>
        <v>1.4460344056735905</v>
      </c>
      <c r="J289" s="68">
        <f t="shared" si="135"/>
        <v>1.4633780932278073</v>
      </c>
      <c r="K289" s="68">
        <f t="shared" si="135"/>
        <v>1.4755183380953341</v>
      </c>
      <c r="L289" s="68">
        <f t="shared" si="135"/>
        <v>1.4826800428170892</v>
      </c>
      <c r="M289" s="68">
        <f t="shared" si="135"/>
        <v>1.4850444914822634</v>
      </c>
      <c r="N289" s="68">
        <f t="shared" si="135"/>
        <v>1.4826800428170892</v>
      </c>
      <c r="O289" s="68">
        <f t="shared" si="135"/>
        <v>1.4755183380953336</v>
      </c>
      <c r="P289" s="68">
        <f t="shared" si="135"/>
        <v>1.4633780932278069</v>
      </c>
      <c r="Q289" s="68">
        <f t="shared" si="135"/>
        <v>1.4010308247542571</v>
      </c>
      <c r="R289" s="68">
        <f t="shared" si="135"/>
        <v>1.2489183007465181</v>
      </c>
      <c r="S289" s="68">
        <f t="shared" si="135"/>
        <v>0.99697611298164435</v>
      </c>
      <c r="T289" s="68">
        <f t="shared" si="135"/>
        <v>0.65192136745503948</v>
      </c>
      <c r="U289" s="68">
        <f t="shared" si="135"/>
        <v>0.42155641700462387</v>
      </c>
      <c r="V289" s="68">
        <f t="shared" si="135"/>
        <v>0.20937012165419613</v>
      </c>
      <c r="W289" s="94">
        <f t="shared" si="135"/>
        <v>0</v>
      </c>
    </row>
    <row r="290" spans="1:23" x14ac:dyDescent="0.2">
      <c r="A290" s="93" t="s">
        <v>60</v>
      </c>
      <c r="B290" s="68"/>
      <c r="C290" s="68">
        <f t="shared" ref="C290:W290" si="136">Interpolate($B$145:$B$169,C145:C169,$F$284)</f>
        <v>2.8358836233101424E-4</v>
      </c>
      <c r="D290" s="68">
        <f t="shared" si="136"/>
        <v>7.7788237527724579E-3</v>
      </c>
      <c r="E290" s="68">
        <f t="shared" si="136"/>
        <v>0.11667145247525162</v>
      </c>
      <c r="F290" s="68">
        <f t="shared" si="136"/>
        <v>0.28728985197984408</v>
      </c>
      <c r="G290" s="68">
        <f t="shared" si="136"/>
        <v>0.43633927542816009</v>
      </c>
      <c r="H290" s="68">
        <f t="shared" si="136"/>
        <v>0.53614735779821054</v>
      </c>
      <c r="I290" s="68">
        <f t="shared" si="136"/>
        <v>0.60404882726128151</v>
      </c>
      <c r="J290" s="68">
        <f t="shared" si="136"/>
        <v>0.62795567324084933</v>
      </c>
      <c r="K290" s="68">
        <f t="shared" si="136"/>
        <v>0.64513075905263251</v>
      </c>
      <c r="L290" s="68">
        <f t="shared" si="136"/>
        <v>0.65547383548363514</v>
      </c>
      <c r="M290" s="68">
        <f t="shared" si="136"/>
        <v>0.65893042303887306</v>
      </c>
      <c r="N290" s="68">
        <f t="shared" si="136"/>
        <v>0.65547383548363514</v>
      </c>
      <c r="O290" s="68">
        <f t="shared" si="136"/>
        <v>0.64513075905263229</v>
      </c>
      <c r="P290" s="68">
        <f t="shared" si="136"/>
        <v>0.62795567324084922</v>
      </c>
      <c r="Q290" s="68">
        <f t="shared" si="136"/>
        <v>0.57969070405111323</v>
      </c>
      <c r="R290" s="68">
        <f t="shared" si="136"/>
        <v>0.47573202693384958</v>
      </c>
      <c r="S290" s="68">
        <f t="shared" si="136"/>
        <v>0.33123824668190383</v>
      </c>
      <c r="T290" s="68">
        <f t="shared" si="136"/>
        <v>0.18053103887120292</v>
      </c>
      <c r="U290" s="68">
        <f t="shared" si="136"/>
        <v>8.410963030160766E-2</v>
      </c>
      <c r="V290" s="68">
        <f t="shared" si="136"/>
        <v>2.4734316173516159E-2</v>
      </c>
      <c r="W290" s="94">
        <f t="shared" si="136"/>
        <v>0</v>
      </c>
    </row>
    <row r="291" spans="1:23" x14ac:dyDescent="0.2">
      <c r="A291" s="93" t="s">
        <v>56</v>
      </c>
      <c r="B291" s="68"/>
      <c r="C291" s="68">
        <f t="shared" ref="C291:W291" si="137">Interpolate($B$173:$B$197,C173:C197,$F$284)</f>
        <v>2.3908161607752275E-4</v>
      </c>
      <c r="D291" s="68">
        <f t="shared" si="137"/>
        <v>5.6402489590891948E-3</v>
      </c>
      <c r="E291" s="68">
        <f t="shared" si="137"/>
        <v>7.4870889290742704E-2</v>
      </c>
      <c r="F291" s="68">
        <f t="shared" si="137"/>
        <v>0.16803795300351027</v>
      </c>
      <c r="G291" s="68">
        <f t="shared" si="137"/>
        <v>0.23932629770861966</v>
      </c>
      <c r="H291" s="68">
        <f t="shared" si="137"/>
        <v>0.28416111695156221</v>
      </c>
      <c r="I291" s="68">
        <f t="shared" si="137"/>
        <v>0.31255839029558125</v>
      </c>
      <c r="J291" s="68">
        <f t="shared" si="137"/>
        <v>0.32165187570057613</v>
      </c>
      <c r="K291" s="68">
        <f t="shared" si="137"/>
        <v>0.32803483424990953</v>
      </c>
      <c r="L291" s="68">
        <f t="shared" si="137"/>
        <v>0.33181497194610216</v>
      </c>
      <c r="M291" s="68">
        <f t="shared" si="137"/>
        <v>0.33306703498611978</v>
      </c>
      <c r="N291" s="68">
        <f t="shared" si="137"/>
        <v>0.33181497194610216</v>
      </c>
      <c r="O291" s="68">
        <f t="shared" si="137"/>
        <v>0.32803483424990953</v>
      </c>
      <c r="P291" s="68">
        <f t="shared" si="137"/>
        <v>0.32165187570057607</v>
      </c>
      <c r="Q291" s="68">
        <f t="shared" si="137"/>
        <v>0.30035997179769247</v>
      </c>
      <c r="R291" s="68">
        <f t="shared" si="137"/>
        <v>0.25436403100574839</v>
      </c>
      <c r="S291" s="68">
        <f t="shared" si="137"/>
        <v>0.18489606407986839</v>
      </c>
      <c r="T291" s="68">
        <f t="shared" si="137"/>
        <v>0.10594002540362202</v>
      </c>
      <c r="U291" s="68">
        <f t="shared" si="137"/>
        <v>5.2602239368745377E-2</v>
      </c>
      <c r="V291" s="68">
        <f t="shared" si="137"/>
        <v>1.6840820347076797E-2</v>
      </c>
      <c r="W291" s="94">
        <f t="shared" si="137"/>
        <v>0</v>
      </c>
    </row>
    <row r="292" spans="1:23" x14ac:dyDescent="0.2">
      <c r="A292" s="93" t="s">
        <v>55</v>
      </c>
      <c r="B292" s="68"/>
      <c r="C292" s="68">
        <f t="shared" ref="C292:W292" si="138">Interpolate($B$202:$B$226,C202:C226,$F$284)</f>
        <v>2.3052848590049581E-6</v>
      </c>
      <c r="D292" s="68">
        <f t="shared" si="138"/>
        <v>3.4865837397495231E-4</v>
      </c>
      <c r="E292" s="68">
        <f t="shared" si="138"/>
        <v>2.6122197708667302E-2</v>
      </c>
      <c r="F292" s="68">
        <f t="shared" si="138"/>
        <v>0.10580281096751962</v>
      </c>
      <c r="G292" s="68">
        <f t="shared" si="138"/>
        <v>0.20248820069397133</v>
      </c>
      <c r="H292" s="68">
        <f t="shared" si="138"/>
        <v>0.28253433763422298</v>
      </c>
      <c r="I292" s="68">
        <f t="shared" si="138"/>
        <v>0.34166596266480465</v>
      </c>
      <c r="J292" s="68">
        <f t="shared" si="138"/>
        <v>0.36181532346288386</v>
      </c>
      <c r="K292" s="68">
        <f t="shared" si="138"/>
        <v>0.37649913825444453</v>
      </c>
      <c r="L292" s="68">
        <f t="shared" si="138"/>
        <v>0.38540869219085644</v>
      </c>
      <c r="M292" s="68">
        <f t="shared" si="138"/>
        <v>0.38839543492794942</v>
      </c>
      <c r="N292" s="68">
        <f t="shared" si="138"/>
        <v>0.38540869219085649</v>
      </c>
      <c r="O292" s="68">
        <f t="shared" si="138"/>
        <v>0.37649913825444425</v>
      </c>
      <c r="P292" s="68">
        <f t="shared" si="138"/>
        <v>0.36181532346288375</v>
      </c>
      <c r="Q292" s="68">
        <f t="shared" si="138"/>
        <v>0.31493465749713379</v>
      </c>
      <c r="R292" s="68">
        <f t="shared" si="138"/>
        <v>0.22689074169470025</v>
      </c>
      <c r="S292" s="68">
        <f t="shared" si="138"/>
        <v>0.12206132909218156</v>
      </c>
      <c r="T292" s="68">
        <f t="shared" si="138"/>
        <v>4.2238316894355754E-2</v>
      </c>
      <c r="U292" s="68">
        <f t="shared" si="138"/>
        <v>1.181489043635503E-2</v>
      </c>
      <c r="V292" s="68">
        <f t="shared" si="138"/>
        <v>1.7272537663900974E-3</v>
      </c>
      <c r="W292" s="94">
        <f t="shared" si="138"/>
        <v>0</v>
      </c>
    </row>
    <row r="293" spans="1:23" x14ac:dyDescent="0.2">
      <c r="A293" s="93" t="s">
        <v>87</v>
      </c>
      <c r="B293" s="68"/>
      <c r="C293" s="68">
        <f>Interpolate($B$231:$B$255,C231:C255,$F$284)</f>
        <v>0.75925021285607086</v>
      </c>
      <c r="D293" s="68">
        <f t="shared" ref="D293:W293" si="139">Interpolate($B$231:$B$255,D231:D255,$F$284)</f>
        <v>0.84322013225185799</v>
      </c>
      <c r="E293" s="68">
        <f t="shared" si="139"/>
        <v>1.1829856722215137</v>
      </c>
      <c r="F293" s="68">
        <f t="shared" si="139"/>
        <v>1.4123458093368566</v>
      </c>
      <c r="G293" s="68">
        <f t="shared" si="139"/>
        <v>1.5437207672500337</v>
      </c>
      <c r="H293" s="68">
        <f t="shared" si="139"/>
        <v>1.680610084888204</v>
      </c>
      <c r="I293" s="68">
        <f t="shared" si="139"/>
        <v>1.744630649769219</v>
      </c>
      <c r="J293" s="68">
        <f t="shared" si="139"/>
        <v>1.7564385805635403</v>
      </c>
      <c r="K293" s="68">
        <f t="shared" si="139"/>
        <v>1.7642830048075493</v>
      </c>
      <c r="L293" s="68">
        <f t="shared" si="139"/>
        <v>1.7689441845812259</v>
      </c>
      <c r="M293" s="68">
        <f t="shared" si="139"/>
        <v>1.7705188539926922</v>
      </c>
      <c r="N293" s="68">
        <f t="shared" si="139"/>
        <v>1.7689441845812259</v>
      </c>
      <c r="O293" s="68">
        <f t="shared" si="139"/>
        <v>1.7642830048075493</v>
      </c>
      <c r="P293" s="68">
        <f t="shared" si="139"/>
        <v>1.7564385805635401</v>
      </c>
      <c r="Q293" s="68">
        <f t="shared" si="139"/>
        <v>1.6970151502981821</v>
      </c>
      <c r="R293" s="68">
        <f t="shared" si="139"/>
        <v>1.5256964276406555</v>
      </c>
      <c r="S293" s="68">
        <f t="shared" si="139"/>
        <v>1.3223244522725757</v>
      </c>
      <c r="T293" s="68">
        <f t="shared" si="139"/>
        <v>1.0699088849943488</v>
      </c>
      <c r="U293" s="68">
        <f t="shared" si="139"/>
        <v>0.93011360622767525</v>
      </c>
      <c r="V293" s="68">
        <f t="shared" si="139"/>
        <v>0.83010343818180732</v>
      </c>
      <c r="W293" s="94">
        <f t="shared" si="139"/>
        <v>0</v>
      </c>
    </row>
    <row r="294" spans="1:23" ht="13.5" thickBot="1" x14ac:dyDescent="0.25">
      <c r="A294" s="95" t="s">
        <v>82</v>
      </c>
      <c r="B294" s="96"/>
      <c r="C294" s="59">
        <f t="shared" ref="C294:W294" si="140">C288-$C$307</f>
        <v>-8.3014744274718648</v>
      </c>
      <c r="D294" s="59">
        <f t="shared" si="140"/>
        <v>-7.4414744274718645</v>
      </c>
      <c r="E294" s="59">
        <f t="shared" si="140"/>
        <v>-6.5814744274718651</v>
      </c>
      <c r="F294" s="59">
        <f t="shared" si="140"/>
        <v>-5.7214744274718647</v>
      </c>
      <c r="G294" s="59">
        <f t="shared" si="140"/>
        <v>-4.8614744274718653</v>
      </c>
      <c r="H294" s="59">
        <f t="shared" si="140"/>
        <v>-4.001474427471865</v>
      </c>
      <c r="I294" s="59">
        <f t="shared" si="140"/>
        <v>-3.1414744274718647</v>
      </c>
      <c r="J294" s="59">
        <f t="shared" si="140"/>
        <v>-2.2814744274718644</v>
      </c>
      <c r="K294" s="59">
        <f t="shared" si="140"/>
        <v>-1.421474427471864</v>
      </c>
      <c r="L294" s="59">
        <f t="shared" si="140"/>
        <v>-0.56147442747186371</v>
      </c>
      <c r="M294" s="59">
        <f t="shared" si="140"/>
        <v>0.29852557252813661</v>
      </c>
      <c r="N294" s="59">
        <f t="shared" si="140"/>
        <v>1.158525572528136</v>
      </c>
      <c r="O294" s="59">
        <f t="shared" si="140"/>
        <v>2.0185255725281355</v>
      </c>
      <c r="P294" s="59">
        <f t="shared" si="140"/>
        <v>2.8785255725281349</v>
      </c>
      <c r="Q294" s="59">
        <f t="shared" si="140"/>
        <v>3.7385255725281343</v>
      </c>
      <c r="R294" s="59">
        <f t="shared" si="140"/>
        <v>4.5985255725281338</v>
      </c>
      <c r="S294" s="59">
        <f t="shared" si="140"/>
        <v>5.4585255725281332</v>
      </c>
      <c r="T294" s="59">
        <f t="shared" si="140"/>
        <v>6.3185255725281326</v>
      </c>
      <c r="U294" s="59">
        <f t="shared" si="140"/>
        <v>7.1785255725281321</v>
      </c>
      <c r="V294" s="59">
        <f t="shared" si="140"/>
        <v>8.0385255725281315</v>
      </c>
      <c r="W294" s="60">
        <f t="shared" si="140"/>
        <v>8.8985255725281345</v>
      </c>
    </row>
    <row r="295" spans="1:23" x14ac:dyDescent="0.2">
      <c r="A295" t="s">
        <v>63</v>
      </c>
      <c r="B295"/>
      <c r="C295" s="21">
        <f>2*$F$285/3*SUMPRODUCT(C$286:W$286,C290:W290)</f>
        <v>14.057647992266082</v>
      </c>
      <c r="D295" t="s">
        <v>64</v>
      </c>
      <c r="E295" t="s">
        <v>188</v>
      </c>
      <c r="F295"/>
      <c r="G295"/>
      <c r="H295"/>
      <c r="I295"/>
      <c r="J295"/>
      <c r="K295"/>
      <c r="L295"/>
      <c r="M295"/>
      <c r="N295"/>
      <c r="O295"/>
      <c r="P295"/>
      <c r="Q295"/>
      <c r="R295"/>
      <c r="S295"/>
      <c r="T295"/>
      <c r="U295"/>
      <c r="V295"/>
    </row>
    <row r="296" spans="1:23" x14ac:dyDescent="0.2">
      <c r="A296"/>
      <c r="B296"/>
      <c r="C296" s="21">
        <f>C295+C308*P6</f>
        <v>14.057647992266082</v>
      </c>
      <c r="D296" t="s">
        <v>64</v>
      </c>
      <c r="E296" t="s">
        <v>191</v>
      </c>
      <c r="F296"/>
      <c r="G296"/>
      <c r="H296"/>
      <c r="I296"/>
      <c r="J296"/>
      <c r="K296"/>
      <c r="L296"/>
      <c r="M296"/>
      <c r="N296"/>
      <c r="O296"/>
      <c r="P296"/>
      <c r="Q296"/>
      <c r="R296"/>
      <c r="S296"/>
      <c r="T296"/>
      <c r="U296"/>
      <c r="V296"/>
    </row>
    <row r="297" spans="1:23" x14ac:dyDescent="0.2">
      <c r="A297" s="4" t="s">
        <v>65</v>
      </c>
      <c r="B297"/>
      <c r="C297" s="21">
        <f>2*$F$285/3*SUMPRODUCT(C$286:W$286,C291:W291)</f>
        <v>7.3819027409817561</v>
      </c>
      <c r="D297"/>
      <c r="E297"/>
      <c r="F297"/>
      <c r="G297"/>
      <c r="H297"/>
      <c r="I297"/>
      <c r="J297"/>
      <c r="K297"/>
      <c r="L297"/>
      <c r="M297"/>
      <c r="N297"/>
      <c r="O297"/>
      <c r="P297"/>
      <c r="Q297"/>
      <c r="R297"/>
      <c r="S297"/>
      <c r="T297"/>
      <c r="U297"/>
      <c r="V297"/>
    </row>
    <row r="298" spans="1:23" ht="15.75" x14ac:dyDescent="0.3">
      <c r="A298" s="4" t="s">
        <v>71</v>
      </c>
      <c r="B298"/>
      <c r="C298" s="21">
        <f>2/3*F285/3*SUMPRODUCT(C286:W286,C289:W289,C289:W289,C289:W289)</f>
        <v>21.809580516391716</v>
      </c>
      <c r="D298"/>
      <c r="E298"/>
      <c r="F298"/>
      <c r="G298"/>
      <c r="H298"/>
      <c r="I298"/>
      <c r="J298"/>
      <c r="K298"/>
      <c r="L298"/>
      <c r="M298"/>
      <c r="N298"/>
      <c r="O298"/>
      <c r="P298"/>
      <c r="Q298"/>
      <c r="R298"/>
      <c r="S298"/>
      <c r="T298"/>
      <c r="U298"/>
      <c r="V298"/>
    </row>
    <row r="299" spans="1:23" x14ac:dyDescent="0.2">
      <c r="A299" s="4" t="s">
        <v>66</v>
      </c>
      <c r="B299"/>
      <c r="C299" s="21">
        <f>2*$F$285/3*SUMPRODUCT(C$259:AQ$259,C290:AQ290,C288:AQ288)</f>
        <v>118.15084198935988</v>
      </c>
      <c r="D299"/>
      <c r="E299"/>
      <c r="F299"/>
      <c r="G299"/>
      <c r="H299"/>
      <c r="I299"/>
      <c r="J299"/>
      <c r="K299"/>
      <c r="L299"/>
      <c r="M299"/>
      <c r="N299"/>
      <c r="O299"/>
      <c r="P299"/>
      <c r="Q299"/>
      <c r="R299"/>
      <c r="S299"/>
      <c r="T299"/>
      <c r="U299"/>
      <c r="V299"/>
    </row>
    <row r="300" spans="1:23" x14ac:dyDescent="0.2">
      <c r="A300" s="4" t="s">
        <v>67</v>
      </c>
      <c r="B300"/>
      <c r="C300" s="21">
        <f>2*$F$285/3*SUMPRODUCT(C$286:W$286,C289:W289)</f>
        <v>36.704258358159464</v>
      </c>
      <c r="D300"/>
      <c r="E300"/>
      <c r="F300"/>
      <c r="G300"/>
      <c r="H300"/>
      <c r="I300"/>
      <c r="J300"/>
      <c r="K300"/>
      <c r="L300"/>
      <c r="M300"/>
      <c r="N300"/>
      <c r="O300"/>
      <c r="P300"/>
      <c r="Q300"/>
      <c r="R300"/>
      <c r="S300"/>
      <c r="T300"/>
      <c r="U300"/>
      <c r="V300"/>
    </row>
    <row r="301" spans="1:23" x14ac:dyDescent="0.2">
      <c r="A301" s="4" t="s">
        <v>68</v>
      </c>
      <c r="B301"/>
      <c r="C301" s="21">
        <f>C299/C295</f>
        <v>8.4047375531355897</v>
      </c>
      <c r="D301"/>
      <c r="E301"/>
      <c r="F301"/>
      <c r="G301"/>
      <c r="H301"/>
      <c r="I301"/>
      <c r="J301"/>
      <c r="K301"/>
      <c r="L301"/>
      <c r="M301"/>
      <c r="N301"/>
      <c r="O301"/>
      <c r="P301"/>
      <c r="Q301"/>
      <c r="R301"/>
      <c r="S301"/>
      <c r="T301"/>
      <c r="U301"/>
      <c r="V301"/>
    </row>
    <row r="302" spans="1:23" x14ac:dyDescent="0.2">
      <c r="A302" s="4" t="s">
        <v>69</v>
      </c>
      <c r="B302"/>
      <c r="C302" s="21">
        <f>C297/C295</f>
        <v>0.52511648783942833</v>
      </c>
      <c r="D302"/>
      <c r="E302"/>
      <c r="F302"/>
      <c r="G302"/>
      <c r="H302"/>
      <c r="I302"/>
      <c r="J302"/>
      <c r="K302"/>
      <c r="L302"/>
      <c r="M302"/>
      <c r="N302"/>
      <c r="O302"/>
      <c r="P302"/>
      <c r="Q302"/>
      <c r="R302"/>
      <c r="S302"/>
      <c r="T302"/>
      <c r="U302"/>
      <c r="V302"/>
    </row>
    <row r="303" spans="1:23" ht="15.75" x14ac:dyDescent="0.3">
      <c r="A303" s="4" t="s">
        <v>72</v>
      </c>
      <c r="B303"/>
      <c r="C303">
        <f>C298/C295</f>
        <v>1.5514387988936995</v>
      </c>
      <c r="D303"/>
      <c r="E303"/>
      <c r="F303"/>
      <c r="G303"/>
      <c r="H303"/>
      <c r="I303"/>
      <c r="J303"/>
      <c r="K303"/>
      <c r="L303"/>
      <c r="M303"/>
      <c r="N303"/>
      <c r="P303"/>
      <c r="Q303"/>
      <c r="R303"/>
      <c r="S303"/>
      <c r="T303"/>
      <c r="U303"/>
      <c r="V303"/>
    </row>
    <row r="304" spans="1:23" x14ac:dyDescent="0.2">
      <c r="A304" t="s">
        <v>77</v>
      </c>
      <c r="B304"/>
      <c r="C304">
        <f>2*MAX(C290:W290)</f>
        <v>1.3178608460777461</v>
      </c>
      <c r="D304" t="s">
        <v>75</v>
      </c>
      <c r="E304"/>
      <c r="F304"/>
      <c r="G304"/>
      <c r="H304"/>
      <c r="I304"/>
      <c r="J304"/>
      <c r="L304"/>
      <c r="M304"/>
      <c r="N304"/>
      <c r="P304"/>
      <c r="Q304"/>
      <c r="R304"/>
      <c r="S304"/>
      <c r="T304"/>
      <c r="U304"/>
      <c r="V304"/>
    </row>
    <row r="305" spans="1:23" ht="15.75" x14ac:dyDescent="0.3">
      <c r="A305" s="1" t="s">
        <v>80</v>
      </c>
      <c r="B305"/>
      <c r="C305">
        <f>2*F285/3*SUMPRODUCT(C259:AQ259,C294:AQ294,C267:AQ267,C289:AQ289)</f>
        <v>535.37678150408624</v>
      </c>
      <c r="D305"/>
      <c r="E305"/>
      <c r="F305"/>
      <c r="G305"/>
      <c r="H305"/>
      <c r="I305"/>
      <c r="J305"/>
      <c r="K305"/>
      <c r="L305"/>
      <c r="M305"/>
      <c r="N305"/>
      <c r="P305"/>
      <c r="Q305"/>
      <c r="R305"/>
      <c r="S305"/>
      <c r="T305"/>
      <c r="U305"/>
      <c r="V305"/>
    </row>
    <row r="306" spans="1:23" ht="15.75" x14ac:dyDescent="0.3">
      <c r="A306" t="s">
        <v>79</v>
      </c>
      <c r="B306"/>
      <c r="C306">
        <f>C305/C295</f>
        <v>38.084378112087293</v>
      </c>
      <c r="D306"/>
      <c r="E306"/>
      <c r="F306"/>
      <c r="G306"/>
      <c r="H306"/>
      <c r="I306"/>
      <c r="J306"/>
      <c r="K306"/>
      <c r="L306"/>
      <c r="M306"/>
      <c r="N306"/>
      <c r="P306"/>
      <c r="Q306"/>
      <c r="R306"/>
      <c r="S306"/>
      <c r="T306"/>
      <c r="U306"/>
      <c r="V306"/>
    </row>
    <row r="307" spans="1:23" x14ac:dyDescent="0.2">
      <c r="A307" t="s">
        <v>81</v>
      </c>
      <c r="B307"/>
      <c r="C307">
        <f>2*$F$285/3*SUMPRODUCT(C$286:W$286,C289:W289,C288:W288)/C300</f>
        <v>8.3014744274718648</v>
      </c>
      <c r="D307"/>
      <c r="E307"/>
      <c r="F307"/>
      <c r="G307"/>
      <c r="H307"/>
      <c r="I307"/>
      <c r="J307"/>
      <c r="K307"/>
      <c r="L307"/>
      <c r="M307"/>
      <c r="N307"/>
      <c r="P307"/>
      <c r="Q307"/>
      <c r="R307"/>
      <c r="S307"/>
      <c r="T307"/>
      <c r="U307"/>
      <c r="V307"/>
    </row>
    <row r="308" spans="1:23" x14ac:dyDescent="0.2">
      <c r="A308" t="s">
        <v>88</v>
      </c>
      <c r="B308"/>
      <c r="C308">
        <f>2*$F$285/3*SUMPRODUCT(C$286:W$286,C293:W293)*Q45</f>
        <v>49.220438346116993</v>
      </c>
      <c r="D308" t="s">
        <v>75</v>
      </c>
      <c r="E308"/>
      <c r="F308"/>
      <c r="G308"/>
      <c r="H308"/>
      <c r="I308"/>
      <c r="J308"/>
      <c r="K308"/>
      <c r="L308"/>
      <c r="M308"/>
      <c r="N308"/>
      <c r="P308"/>
      <c r="Q308"/>
      <c r="R308"/>
      <c r="S308"/>
      <c r="T308"/>
      <c r="U308"/>
      <c r="V308"/>
    </row>
    <row r="309" spans="1:23" x14ac:dyDescent="0.2">
      <c r="A309" t="s">
        <v>32</v>
      </c>
      <c r="B309"/>
      <c r="C309">
        <f>C300/(Input!C55*Input!C56)</f>
        <v>0.66081600732610468</v>
      </c>
      <c r="D309"/>
      <c r="E309"/>
      <c r="F309"/>
      <c r="G309"/>
      <c r="H309"/>
      <c r="I309"/>
      <c r="J309"/>
      <c r="K309"/>
      <c r="L309"/>
      <c r="M309"/>
      <c r="N309"/>
      <c r="P309"/>
      <c r="Q309"/>
      <c r="R309"/>
      <c r="S309"/>
      <c r="T309"/>
      <c r="U309"/>
      <c r="V309"/>
    </row>
    <row r="310" spans="1:23" x14ac:dyDescent="0.2">
      <c r="N310"/>
    </row>
    <row r="311" spans="1:23" x14ac:dyDescent="0.2">
      <c r="N311"/>
    </row>
    <row r="312" spans="1:23" x14ac:dyDescent="0.2">
      <c r="B312" s="65" t="s">
        <v>234</v>
      </c>
    </row>
    <row r="313" spans="1:23" x14ac:dyDescent="0.2">
      <c r="B313" s="65" t="s">
        <v>105</v>
      </c>
      <c r="C313" s="4">
        <f>D</f>
        <v>1.75</v>
      </c>
    </row>
    <row r="314" spans="1:23" ht="13.5" thickBot="1" x14ac:dyDescent="0.25">
      <c r="B314" s="1" t="s">
        <v>235</v>
      </c>
      <c r="C314">
        <f>2*$F$285/3*SUMPRODUCT(C$315:W$315,C319:W319)*Q45</f>
        <v>87.391140869362403</v>
      </c>
      <c r="D314" t="s">
        <v>75</v>
      </c>
    </row>
    <row r="315" spans="1:23" ht="13.5" thickBot="1" x14ac:dyDescent="0.25">
      <c r="A315" s="206" t="s">
        <v>62</v>
      </c>
      <c r="B315" s="207"/>
      <c r="C315" s="207">
        <v>1</v>
      </c>
      <c r="D315" s="207">
        <v>4</v>
      </c>
      <c r="E315" s="207">
        <v>2</v>
      </c>
      <c r="F315" s="207">
        <v>4</v>
      </c>
      <c r="G315" s="207">
        <v>2</v>
      </c>
      <c r="H315" s="207">
        <v>4</v>
      </c>
      <c r="I315" s="207">
        <v>2</v>
      </c>
      <c r="J315" s="207">
        <v>4</v>
      </c>
      <c r="K315" s="207">
        <v>2</v>
      </c>
      <c r="L315" s="207">
        <v>4</v>
      </c>
      <c r="M315" s="207">
        <v>2</v>
      </c>
      <c r="N315" s="208">
        <v>4</v>
      </c>
      <c r="O315" s="208">
        <v>2</v>
      </c>
      <c r="P315" s="208">
        <v>4</v>
      </c>
      <c r="Q315" s="208">
        <v>2</v>
      </c>
      <c r="R315" s="208">
        <v>4</v>
      </c>
      <c r="S315" s="208">
        <v>2</v>
      </c>
      <c r="T315" s="208">
        <v>4</v>
      </c>
      <c r="U315" s="208">
        <v>2</v>
      </c>
      <c r="V315" s="208">
        <v>4</v>
      </c>
      <c r="W315" s="209">
        <v>1</v>
      </c>
    </row>
    <row r="316" spans="1:23" x14ac:dyDescent="0.2">
      <c r="A316" s="92" t="s">
        <v>21</v>
      </c>
      <c r="B316" s="72"/>
      <c r="C316" s="72">
        <v>1</v>
      </c>
      <c r="D316" s="72">
        <v>4</v>
      </c>
      <c r="E316" s="72">
        <v>2</v>
      </c>
      <c r="F316" s="72">
        <v>4</v>
      </c>
      <c r="G316" s="72">
        <v>2</v>
      </c>
      <c r="H316" s="72">
        <v>4</v>
      </c>
      <c r="I316" s="72">
        <v>2</v>
      </c>
      <c r="J316" s="72">
        <v>4</v>
      </c>
      <c r="K316" s="72">
        <v>2</v>
      </c>
      <c r="L316" s="72">
        <v>4</v>
      </c>
      <c r="M316" s="72">
        <v>1</v>
      </c>
      <c r="N316" s="105">
        <v>4</v>
      </c>
      <c r="O316" s="105">
        <v>2</v>
      </c>
      <c r="P316" s="105">
        <v>4</v>
      </c>
      <c r="Q316" s="105">
        <v>2</v>
      </c>
      <c r="R316" s="105">
        <v>4</v>
      </c>
      <c r="S316" s="105">
        <v>2</v>
      </c>
      <c r="T316" s="105">
        <v>4</v>
      </c>
      <c r="U316" s="105">
        <v>2</v>
      </c>
      <c r="V316" s="105">
        <v>4</v>
      </c>
      <c r="W316" s="108">
        <v>1</v>
      </c>
    </row>
    <row r="317" spans="1:23" x14ac:dyDescent="0.2">
      <c r="A317" s="93" t="s">
        <v>57</v>
      </c>
      <c r="B317" s="68"/>
      <c r="C317" s="68">
        <v>21</v>
      </c>
      <c r="D317" s="68">
        <v>20</v>
      </c>
      <c r="E317" s="68">
        <v>19</v>
      </c>
      <c r="F317" s="68">
        <v>18</v>
      </c>
      <c r="G317" s="68">
        <v>17</v>
      </c>
      <c r="H317" s="68">
        <v>16</v>
      </c>
      <c r="I317" s="68">
        <v>15</v>
      </c>
      <c r="J317" s="68">
        <v>14</v>
      </c>
      <c r="K317" s="68">
        <v>13</v>
      </c>
      <c r="L317" s="68">
        <v>12</v>
      </c>
      <c r="M317" s="68">
        <v>11</v>
      </c>
      <c r="N317" s="101">
        <v>10</v>
      </c>
      <c r="O317" s="101">
        <v>9</v>
      </c>
      <c r="P317" s="101">
        <v>8</v>
      </c>
      <c r="Q317" s="101">
        <v>7</v>
      </c>
      <c r="R317" s="101">
        <v>6</v>
      </c>
      <c r="S317" s="101">
        <v>5</v>
      </c>
      <c r="T317" s="101">
        <v>4</v>
      </c>
      <c r="U317" s="101">
        <v>3</v>
      </c>
      <c r="V317" s="101">
        <v>2</v>
      </c>
      <c r="W317" s="106">
        <v>1</v>
      </c>
    </row>
    <row r="318" spans="1:23" x14ac:dyDescent="0.2">
      <c r="A318" s="93" t="s">
        <v>58</v>
      </c>
      <c r="B318" s="56"/>
      <c r="C318" s="56">
        <f>C288</f>
        <v>0</v>
      </c>
      <c r="D318" s="56">
        <f t="shared" ref="D318:W318" si="141">D288</f>
        <v>0.86</v>
      </c>
      <c r="E318" s="56">
        <f t="shared" si="141"/>
        <v>1.72</v>
      </c>
      <c r="F318" s="56">
        <f t="shared" si="141"/>
        <v>2.58</v>
      </c>
      <c r="G318" s="56">
        <f t="shared" si="141"/>
        <v>3.44</v>
      </c>
      <c r="H318" s="56">
        <f t="shared" si="141"/>
        <v>4.3</v>
      </c>
      <c r="I318" s="56">
        <f t="shared" si="141"/>
        <v>5.16</v>
      </c>
      <c r="J318" s="56">
        <f t="shared" si="141"/>
        <v>6.0200000000000005</v>
      </c>
      <c r="K318" s="56">
        <f t="shared" si="141"/>
        <v>6.8800000000000008</v>
      </c>
      <c r="L318" s="56">
        <f t="shared" si="141"/>
        <v>7.7400000000000011</v>
      </c>
      <c r="M318" s="56">
        <f t="shared" si="141"/>
        <v>8.6000000000000014</v>
      </c>
      <c r="N318" s="56">
        <f t="shared" si="141"/>
        <v>9.4600000000000009</v>
      </c>
      <c r="O318" s="56">
        <f t="shared" si="141"/>
        <v>10.32</v>
      </c>
      <c r="P318" s="56">
        <f t="shared" si="141"/>
        <v>11.18</v>
      </c>
      <c r="Q318" s="56">
        <f t="shared" si="141"/>
        <v>12.04</v>
      </c>
      <c r="R318" s="56">
        <f t="shared" si="141"/>
        <v>12.899999999999999</v>
      </c>
      <c r="S318" s="56">
        <f t="shared" si="141"/>
        <v>13.759999999999998</v>
      </c>
      <c r="T318" s="56">
        <f t="shared" si="141"/>
        <v>14.619999999999997</v>
      </c>
      <c r="U318" s="56">
        <f t="shared" si="141"/>
        <v>15.479999999999997</v>
      </c>
      <c r="V318" s="56">
        <f t="shared" si="141"/>
        <v>16.339999999999996</v>
      </c>
      <c r="W318" s="58">
        <f t="shared" si="141"/>
        <v>17.2</v>
      </c>
    </row>
    <row r="319" spans="1:23" ht="13.5" thickBot="1" x14ac:dyDescent="0.25">
      <c r="A319" s="95" t="s">
        <v>87</v>
      </c>
      <c r="B319" s="59"/>
      <c r="C319" s="96">
        <f>Interpolate($B$231:$B$255,C231:C255,$C$313)</f>
        <v>2.4746852368176357</v>
      </c>
      <c r="D319" s="96">
        <f t="shared" ref="D319:W319" si="142">Interpolate($B$231:$B$255,D231:D255,$C$313)</f>
        <v>2.5553402830880434</v>
      </c>
      <c r="E319" s="96">
        <f t="shared" si="142"/>
        <v>2.5983376790202071</v>
      </c>
      <c r="F319" s="96">
        <f t="shared" si="142"/>
        <v>2.6170282038758064</v>
      </c>
      <c r="G319" s="96">
        <f t="shared" si="142"/>
        <v>2.6586038730681021</v>
      </c>
      <c r="H319" s="96">
        <f t="shared" si="142"/>
        <v>2.7525158250033774</v>
      </c>
      <c r="I319" s="96">
        <f t="shared" si="142"/>
        <v>2.7963363148998894</v>
      </c>
      <c r="J319" s="96">
        <f t="shared" si="142"/>
        <v>2.8016573591608558</v>
      </c>
      <c r="K319" s="96">
        <f t="shared" si="142"/>
        <v>2.8050308114132236</v>
      </c>
      <c r="L319" s="96">
        <f t="shared" si="142"/>
        <v>2.8070879515771376</v>
      </c>
      <c r="M319" s="96">
        <f t="shared" si="142"/>
        <v>2.8078089897052045</v>
      </c>
      <c r="N319" s="96">
        <f t="shared" si="142"/>
        <v>2.8070879515771368</v>
      </c>
      <c r="O319" s="96">
        <f t="shared" si="142"/>
        <v>2.8050308114132236</v>
      </c>
      <c r="P319" s="96">
        <f t="shared" si="142"/>
        <v>2.8016573591608553</v>
      </c>
      <c r="Q319" s="96">
        <f t="shared" si="142"/>
        <v>2.7458221623635657</v>
      </c>
      <c r="R319" s="96">
        <f t="shared" si="142"/>
        <v>2.5907465028802941</v>
      </c>
      <c r="S319" s="96">
        <f t="shared" si="142"/>
        <v>2.3929668791974086</v>
      </c>
      <c r="T319" s="96">
        <f t="shared" si="142"/>
        <v>2.1387416869688733</v>
      </c>
      <c r="U319" s="96">
        <f t="shared" si="142"/>
        <v>1.9463291862011178</v>
      </c>
      <c r="V319" s="96">
        <f t="shared" si="142"/>
        <v>1.8379343371307253</v>
      </c>
      <c r="W319" s="210">
        <f t="shared" si="142"/>
        <v>0</v>
      </c>
    </row>
    <row r="320" spans="1:23" x14ac:dyDescent="0.2">
      <c r="N320"/>
    </row>
    <row r="321" spans="14:14" x14ac:dyDescent="0.2">
      <c r="N321"/>
    </row>
    <row r="322" spans="14:14" x14ac:dyDescent="0.2">
      <c r="N322"/>
    </row>
    <row r="323" spans="14:14" x14ac:dyDescent="0.2">
      <c r="N323"/>
    </row>
    <row r="324" spans="14:14" x14ac:dyDescent="0.2">
      <c r="N324"/>
    </row>
    <row r="325" spans="14:14" x14ac:dyDescent="0.2">
      <c r="N325"/>
    </row>
    <row r="326" spans="14:14" x14ac:dyDescent="0.2">
      <c r="N326"/>
    </row>
    <row r="327" spans="14:14" x14ac:dyDescent="0.2">
      <c r="N327"/>
    </row>
    <row r="328" spans="14:14" x14ac:dyDescent="0.2">
      <c r="N328"/>
    </row>
    <row r="329" spans="14:14" x14ac:dyDescent="0.2">
      <c r="N329"/>
    </row>
    <row r="330" spans="14:14" x14ac:dyDescent="0.2">
      <c r="N330"/>
    </row>
    <row r="331" spans="14:14" x14ac:dyDescent="0.2">
      <c r="N331"/>
    </row>
    <row r="332" spans="14:14" x14ac:dyDescent="0.2">
      <c r="N332"/>
    </row>
    <row r="333" spans="14:14" x14ac:dyDescent="0.2">
      <c r="N333"/>
    </row>
    <row r="334" spans="14:14" x14ac:dyDescent="0.2">
      <c r="N334"/>
    </row>
    <row r="335" spans="14:14" x14ac:dyDescent="0.2">
      <c r="N335"/>
    </row>
    <row r="336" spans="14:14" x14ac:dyDescent="0.2">
      <c r="N336"/>
    </row>
    <row r="337" spans="14:14" x14ac:dyDescent="0.2">
      <c r="N337"/>
    </row>
    <row r="338" spans="14:14" x14ac:dyDescent="0.2">
      <c r="N338"/>
    </row>
    <row r="339" spans="14:14" x14ac:dyDescent="0.2">
      <c r="N339"/>
    </row>
    <row r="340" spans="14:14" x14ac:dyDescent="0.2">
      <c r="N340"/>
    </row>
    <row r="341" spans="14:14" x14ac:dyDescent="0.2">
      <c r="N341"/>
    </row>
    <row r="342" spans="14:14" x14ac:dyDescent="0.2">
      <c r="N342"/>
    </row>
    <row r="343" spans="14:14" x14ac:dyDescent="0.2">
      <c r="N343"/>
    </row>
    <row r="344" spans="14:14" x14ac:dyDescent="0.2">
      <c r="N344"/>
    </row>
    <row r="345" spans="14:14" x14ac:dyDescent="0.2">
      <c r="N345"/>
    </row>
    <row r="346" spans="14:14" x14ac:dyDescent="0.2">
      <c r="N346"/>
    </row>
    <row r="347" spans="14:14" x14ac:dyDescent="0.2">
      <c r="N347"/>
    </row>
    <row r="348" spans="14:14" x14ac:dyDescent="0.2">
      <c r="N348"/>
    </row>
    <row r="349" spans="14:14" x14ac:dyDescent="0.2">
      <c r="N349"/>
    </row>
    <row r="350" spans="14:14" x14ac:dyDescent="0.2">
      <c r="N350"/>
    </row>
    <row r="351" spans="14:14" x14ac:dyDescent="0.2">
      <c r="N351"/>
    </row>
    <row r="352" spans="14:14" x14ac:dyDescent="0.2">
      <c r="N352"/>
    </row>
    <row r="353" spans="14:15" x14ac:dyDescent="0.2">
      <c r="N353"/>
    </row>
    <row r="354" spans="14:15" x14ac:dyDescent="0.2">
      <c r="N354"/>
    </row>
    <row r="355" spans="14:15" x14ac:dyDescent="0.2">
      <c r="N355"/>
    </row>
    <row r="356" spans="14:15" x14ac:dyDescent="0.2">
      <c r="N356"/>
    </row>
    <row r="357" spans="14:15" x14ac:dyDescent="0.2">
      <c r="N357">
        <f>N356+0.1</f>
        <v>0.1</v>
      </c>
      <c r="O357" s="4" t="e">
        <f>Cubic2($G$303:$M$303,$G$304:$M$304,N357)</f>
        <v>#VALUE!</v>
      </c>
    </row>
    <row r="358" spans="14:15" x14ac:dyDescent="0.2">
      <c r="N358"/>
    </row>
    <row r="359" spans="14:15" x14ac:dyDescent="0.2">
      <c r="N359"/>
    </row>
    <row r="360" spans="14:15" x14ac:dyDescent="0.2">
      <c r="N360"/>
    </row>
    <row r="361" spans="14:15" x14ac:dyDescent="0.2">
      <c r="N361"/>
    </row>
    <row r="362" spans="14:15" x14ac:dyDescent="0.2">
      <c r="N362"/>
    </row>
    <row r="363" spans="14:15" x14ac:dyDescent="0.2">
      <c r="N363"/>
    </row>
    <row r="364" spans="14:15" x14ac:dyDescent="0.2">
      <c r="N364"/>
    </row>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E843D-638C-4499-A700-87D210B52B64}">
  <sheetPr codeName="Sheet61">
    <pageSetUpPr fitToPage="1"/>
  </sheetPr>
  <dimension ref="X1:X2"/>
  <sheetViews>
    <sheetView zoomScale="50" zoomScaleNormal="50" workbookViewId="0">
      <selection activeCell="BJ20" sqref="BJ20"/>
    </sheetView>
  </sheetViews>
  <sheetFormatPr defaultRowHeight="12.75" x14ac:dyDescent="0.2"/>
  <sheetData>
    <row r="1" spans="24:24" ht="30.75" customHeight="1" x14ac:dyDescent="0.3">
      <c r="X1" s="97" t="s">
        <v>12</v>
      </c>
    </row>
    <row r="2" spans="24:24" ht="14.25" customHeight="1" x14ac:dyDescent="0.2"/>
  </sheetData>
  <pageMargins left="0.74803149606299213" right="0.74803149606299213" top="0.98425196850393704" bottom="0.98425196850393704" header="0.51181102362204722" footer="0.51181102362204722"/>
  <pageSetup paperSize="8" scale="41"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Readme</vt:lpstr>
      <vt:lpstr>Input</vt:lpstr>
      <vt:lpstr>Weight</vt:lpstr>
      <vt:lpstr>Manoevering</vt:lpstr>
      <vt:lpstr>Simulation</vt:lpstr>
      <vt:lpstr>Powering</vt:lpstr>
      <vt:lpstr>Basis Hull</vt:lpstr>
      <vt:lpstr>Transform</vt:lpstr>
      <vt:lpstr>Lines </vt:lpstr>
      <vt:lpstr>BOA</vt:lpstr>
      <vt:lpstr>BWL</vt:lpstr>
      <vt:lpstr>D</vt:lpstr>
      <vt:lpstr>'Basis Hull'!h</vt:lpstr>
      <vt:lpstr>h</vt:lpstr>
      <vt:lpstr>HullSA</vt:lpstr>
      <vt:lpstr>LOA</vt:lpstr>
      <vt:lpstr>LWL</vt:lpstr>
      <vt:lpstr>T</vt:lpstr>
      <vt:lpstr>WSA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R.Braithwaite</dc:creator>
  <cp:lastModifiedBy>RICHARD BRAITHWAITE</cp:lastModifiedBy>
  <cp:lastPrinted>2007-10-05T09:44:40Z</cp:lastPrinted>
  <dcterms:created xsi:type="dcterms:W3CDTF">2000-12-01T10:31:11Z</dcterms:created>
  <dcterms:modified xsi:type="dcterms:W3CDTF">2026-08-16T14:27:43Z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ype" linkTarget="Prop_type">
    <vt:lpwstr>#REF!</vt:lpwstr>
  </property>
</Properties>
</file>